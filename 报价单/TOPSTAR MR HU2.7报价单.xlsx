
<file path=[Content_Types].xml><?xml version="1.0" encoding="utf-8"?>
<Types xmlns="http://schemas.openxmlformats.org/package/2006/content-types">
  <Default Extension="wmf" ContentType="image/x-wmf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520" windowHeight="6880"/>
  </bookViews>
  <sheets>
    <sheet name="询价单" sheetId="2" r:id="rId1"/>
  </sheets>
  <definedNames>
    <definedName name="_xlnm._FilterDatabase" localSheetId="0" hidden="1">询价单!$A$2:$Q$43</definedName>
    <definedName name="_xlnm.Print_Area" localSheetId="0">询价单!$A$1:$Q$48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<sst xmlns="http://schemas.openxmlformats.org/spreadsheetml/2006/main" count="123" uniqueCount="95">
  <si>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</si>
  <si>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</si>
  <si>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</si>
  <si>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</si>
  <si>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</si>
  <si>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</si>
  <si>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</si>
  <si>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</si>
  <si>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</si>
  <si>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</si>
  <si>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</si>
  <si>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</si>
  <si>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</si>
  <si>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</si>
  <si>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</si>
  <si>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</si>
  <si>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</si>
  <si>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</si>
  <si>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PE水管</t>
  </si>
  <si>
    <t>米</t>
  </si>
  <si>
    <t>HDPE 63xPN10x100M 2"</t>
  </si>
  <si>
    <t>卷</t>
  </si>
  <si>
    <t>黑胶水管</t>
  </si>
  <si>
    <t>内径20</t>
  </si>
  <si>
    <t>IN HDPE 1 Side Spiral Pipe25x100M单壁波纹管¾"</t>
  </si>
  <si>
    <t>法兰对接弯头</t>
  </si>
  <si>
    <t>PE、150</t>
  </si>
  <si>
    <t>个</t>
  </si>
  <si>
    <t>HDPE 90"EIbow 160 PN12.5 弯头</t>
  </si>
  <si>
    <t>电熔法兰</t>
  </si>
  <si>
    <t>Electro Fusion Stub Flange 160(6”)PN16 电熔法兰头</t>
  </si>
  <si>
    <t>Electro Fusion Flange 160(6”)PN16 电熔法兰盘</t>
  </si>
  <si>
    <t>Flange Gasket 6"(DN150)带眼法兰垫片</t>
  </si>
  <si>
    <t>变径头</t>
  </si>
  <si>
    <t>PE、63变20</t>
  </si>
  <si>
    <t>L HDPE Reducing 63x32 承插大小头</t>
  </si>
  <si>
    <t>L HDPE Reducing 32x20 承插大小头</t>
  </si>
  <si>
    <t>球阀</t>
  </si>
  <si>
    <t>铜或不锈钢、DN20</t>
  </si>
  <si>
    <t>Stainless Steel Ball Valve ¾"不锈钢球阀</t>
  </si>
  <si>
    <t>铜或不锈钢、DN15</t>
  </si>
  <si>
    <t>Stainless Steel Ball Valve ½"不锈钢球阀</t>
  </si>
  <si>
    <t>阀门</t>
  </si>
  <si>
    <t>PE、150阀门</t>
  </si>
  <si>
    <t>VPR-PP04M21001</t>
  </si>
  <si>
    <t>Resilient Gate Valve 6"(DN150) PN16 暗杆闸阀</t>
  </si>
  <si>
    <t>电熔机（20-400）</t>
  </si>
  <si>
    <t>PE管焊接专用、3.5kw</t>
  </si>
  <si>
    <t>Electric Fusion Welding Machine 400 电熔机</t>
  </si>
  <si>
    <t>皮垫</t>
  </si>
  <si>
    <t>4弗150</t>
  </si>
  <si>
    <t>无货</t>
  </si>
  <si>
    <t>热熔法兰</t>
  </si>
  <si>
    <t>PE63</t>
  </si>
  <si>
    <t>HDPE Stub End 63 PN16 法兰头</t>
  </si>
  <si>
    <t>lron flange 2"(DN50)PE铁法兰</t>
  </si>
  <si>
    <t>人Flange Gasket 2"(DN50)带眼法兰垫片</t>
  </si>
  <si>
    <t>63pe管快接球阀</t>
  </si>
  <si>
    <t>L HDPE Stop Valve 63 截止阀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</si>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</sst>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_);\(#,##0.0\)"/>
    <numFmt numFmtId="181" formatCode="0_ "/>
    <numFmt numFmtId="182" formatCode="&quot;￥&quot;#,##0;&quot;￥&quot;\-#,##0"/>
    <numFmt numFmtId="183" formatCode="&quot;￥&quot;#,##0.00;&quot;￥&quot;\-#,##0.00"/>
    <numFmt numFmtId="184" formatCode="0.00_ "/>
    <numFmt numFmtId="185" formatCode="[$Rp-421]#,##0;\-[$Rp-421]#,##0"/>
    <numFmt numFmtId="186" formatCode="yyyy/m/d;@"/>
  </numFmts>
  <fonts count="49">
    <font>
      <sz val="11"/>
      <color theme="1"/>
      <name val="Calibri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Calibri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b/>
      <sz val="14"/>
      <name val="Arial"/>
      <charset val="134"/>
    </font>
    <font>
      <b/>
      <sz val="14"/>
      <name val="宋体"/>
      <charset val="134"/>
    </font>
    <font>
      <b/>
      <sz val="16"/>
      <name val="Arial"/>
      <charset val="134"/>
    </font>
    <font>
      <sz val="14"/>
      <color rgb="FF000000"/>
      <name val="微软雅黑"/>
      <charset val="1"/>
    </font>
    <font>
      <sz val="14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微软雅黑"/>
      <charset val="134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i/>
      <sz val="28"/>
      <name val="宋体"/>
      <charset val="134"/>
    </font>
    <font>
      <b/>
      <sz val="16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21" applyNumberFormat="0" applyAlignment="0" applyProtection="0">
      <alignment vertical="center"/>
    </xf>
    <xf numFmtId="0" fontId="34" fillId="5" borderId="22" applyNumberFormat="0" applyAlignment="0" applyProtection="0">
      <alignment vertical="center"/>
    </xf>
    <xf numFmtId="0" fontId="35" fillId="5" borderId="21" applyNumberFormat="0" applyAlignment="0" applyProtection="0">
      <alignment vertical="center"/>
    </xf>
    <xf numFmtId="0" fontId="36" fillId="6" borderId="23" applyNumberFormat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180" fontId="0" fillId="0" borderId="0">
      <alignment vertical="center"/>
    </xf>
    <xf numFmtId="0" fontId="0" fillId="0" borderId="0"/>
  </cellStyleXfs>
  <cellXfs count="8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81" fontId="1" fillId="0" borderId="0" xfId="0" applyNumberFormat="1" applyFont="1" applyFill="1" applyBorder="1" applyAlignment="1">
      <alignment horizontal="center" vertical="center"/>
    </xf>
    <xf numFmtId="182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 wrapText="1"/>
    </xf>
    <xf numFmtId="184" fontId="7" fillId="0" borderId="2" xfId="0" applyNumberFormat="1" applyFont="1" applyFill="1" applyBorder="1" applyAlignment="1">
      <alignment horizontal="center" vertical="center" wrapText="1"/>
    </xf>
    <xf numFmtId="184" fontId="7" fillId="0" borderId="3" xfId="0" applyNumberFormat="1" applyFont="1" applyFill="1" applyBorder="1" applyAlignment="1">
      <alignment horizontal="center" vertical="center" wrapText="1"/>
    </xf>
    <xf numFmtId="184" fontId="6" fillId="0" borderId="2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1" fillId="0" borderId="5" xfId="50" applyNumberFormat="1" applyFont="1" applyFill="1" applyBorder="1" applyAlignment="1">
      <alignment horizontal="center" vertical="center"/>
    </xf>
    <xf numFmtId="49" fontId="12" fillId="0" borderId="8" xfId="0" applyNumberFormat="1" applyFont="1" applyFill="1" applyBorder="1" applyAlignment="1">
      <alignment horizontal="center" vertical="center" wrapText="1"/>
    </xf>
    <xf numFmtId="49" fontId="12" fillId="0" borderId="9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0" fontId="11" fillId="0" borderId="8" xfId="50" applyNumberFormat="1" applyFont="1" applyFill="1" applyBorder="1" applyAlignment="1">
      <alignment horizontal="center" vertical="center"/>
    </xf>
    <xf numFmtId="0" fontId="11" fillId="0" borderId="10" xfId="50" applyNumberFormat="1" applyFont="1" applyFill="1" applyBorder="1" applyAlignment="1">
      <alignment horizontal="center" vertical="center"/>
    </xf>
    <xf numFmtId="0" fontId="2" fillId="0" borderId="8" xfId="50" applyNumberFormat="1" applyFont="1" applyFill="1" applyBorder="1" applyAlignment="1">
      <alignment horizontal="center" vertical="center" wrapText="1"/>
    </xf>
    <xf numFmtId="0" fontId="2" fillId="0" borderId="9" xfId="50" applyNumberFormat="1" applyFont="1" applyFill="1" applyBorder="1" applyAlignment="1">
      <alignment horizontal="center" vertical="center" wrapText="1"/>
    </xf>
    <xf numFmtId="0" fontId="13" fillId="0" borderId="5" xfId="5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8" fillId="0" borderId="5" xfId="50" applyNumberFormat="1" applyFont="1" applyFill="1" applyBorder="1" applyAlignment="1">
      <alignment horizontal="center" vertical="center" wrapText="1"/>
    </xf>
    <xf numFmtId="0" fontId="8" fillId="0" borderId="6" xfId="5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58" fontId="17" fillId="0" borderId="5" xfId="0" applyNumberFormat="1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84" fontId="6" fillId="0" borderId="3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8" fillId="0" borderId="4" xfId="0" applyNumberFormat="1" applyFont="1" applyFill="1" applyBorder="1" applyAlignment="1">
      <alignment horizontal="center" vertical="center" wrapText="1"/>
    </xf>
    <xf numFmtId="182" fontId="20" fillId="0" borderId="4" xfId="0" applyNumberFormat="1" applyFont="1" applyFill="1" applyBorder="1" applyAlignment="1">
      <alignment horizontal="center" vertical="center" wrapText="1"/>
    </xf>
    <xf numFmtId="183" fontId="21" fillId="0" borderId="4" xfId="0" applyNumberFormat="1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185" fontId="9" fillId="0" borderId="5" xfId="0" applyNumberFormat="1" applyFont="1" applyFill="1" applyBorder="1" applyAlignment="1">
      <alignment horizontal="center" vertical="center"/>
    </xf>
    <xf numFmtId="49" fontId="12" fillId="0" borderId="10" xfId="0" applyNumberFormat="1" applyFont="1" applyFill="1" applyBorder="1" applyAlignment="1">
      <alignment horizontal="center" vertical="center" wrapText="1"/>
    </xf>
    <xf numFmtId="185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wrapText="1"/>
    </xf>
    <xf numFmtId="185" fontId="2" fillId="0" borderId="5" xfId="50" applyNumberFormat="1" applyFont="1" applyFill="1" applyBorder="1" applyAlignment="1">
      <alignment horizontal="center" vertical="center" wrapText="1"/>
    </xf>
    <xf numFmtId="0" fontId="2" fillId="0" borderId="5" xfId="50" applyNumberFormat="1" applyFont="1" applyFill="1" applyBorder="1" applyAlignment="1">
      <alignment horizontal="center" vertical="center" wrapText="1"/>
    </xf>
    <xf numFmtId="0" fontId="2" fillId="0" borderId="10" xfId="50" applyNumberFormat="1" applyFont="1" applyFill="1" applyBorder="1" applyAlignment="1">
      <alignment horizontal="center" vertical="center" wrapText="1"/>
    </xf>
    <xf numFmtId="185" fontId="2" fillId="0" borderId="5" xfId="50" applyNumberFormat="1" applyFont="1" applyFill="1" applyBorder="1" applyAlignment="1">
      <alignment vertical="center" wrapText="1"/>
    </xf>
    <xf numFmtId="0" fontId="2" fillId="0" borderId="5" xfId="50" applyNumberFormat="1" applyFont="1" applyFill="1" applyBorder="1" applyAlignment="1">
      <alignment vertical="center" wrapText="1"/>
    </xf>
    <xf numFmtId="181" fontId="14" fillId="0" borderId="5" xfId="0" applyNumberFormat="1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186" fontId="8" fillId="0" borderId="5" xfId="50" applyNumberFormat="1" applyFont="1" applyFill="1" applyBorder="1" applyAlignment="1">
      <alignment horizontal="center" vertical="center" wrapText="1"/>
    </xf>
    <xf numFmtId="186" fontId="20" fillId="0" borderId="5" xfId="5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182" fontId="1" fillId="0" borderId="15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1" fontId="24" fillId="0" borderId="5" xfId="0" applyNumberFormat="1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7 3" xfId="49"/>
    <cellStyle name="Normal 2" xfId="5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7428865" y="3349625"/>
          <a:ext cx="92329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view="pageBreakPreview" zoomScale="40" zoomScaleNormal="90" topLeftCell="G1" workbookViewId="0">
      <pane ySplit="2" topLeftCell="A3" activePane="bottomLeft" state="frozen"/>
      <selection/>
      <selection pane="bottomLeft" activeCell="K6" sqref="K6"/>
    </sheetView>
  </sheetViews>
  <sheetFormatPr defaultColWidth="9" defaultRowHeight="17.5"/>
  <cols>
    <col min="1" max="1" width="9" style="1" customWidth="1"/>
    <col min="2" max="2" width="39.5" style="6" customWidth="1"/>
    <col min="3" max="3" width="26.3" style="1" customWidth="1"/>
    <col min="4" max="4" width="13.7181818181818" style="1" customWidth="1"/>
    <col min="5" max="5" width="15.1454545454545" style="1" customWidth="1"/>
    <col min="6" max="6" width="15.9090909090909" style="1" customWidth="1"/>
    <col min="7" max="7" width="23.3" style="1" customWidth="1"/>
    <col min="8" max="8" width="45.4" style="7" customWidth="1"/>
    <col min="9" max="9" width="16.9" style="1" customWidth="1"/>
    <col min="10" max="10" width="13.8454545454545" style="1" customWidth="1"/>
    <col min="11" max="11" width="11.0636363636364" style="8" customWidth="1"/>
    <col min="12" max="12" width="10.3545454545455" style="1" customWidth="1"/>
    <col min="13" max="13" width="22.5818181818182" style="9" customWidth="1"/>
    <col min="14" max="14" width="24.3454545454545" style="10" customWidth="1"/>
    <col min="15" max="15" width="21.7818181818182" style="1" customWidth="1"/>
    <col min="16" max="16" width="21.5090909090909" style="1" customWidth="1"/>
    <col min="17" max="17" width="18.0363636363636" style="11" customWidth="1"/>
    <col min="18" max="22" width="9" style="1"/>
    <col min="23" max="23" width="11.5818181818182" style="1"/>
    <col min="24" max="16384" width="9" style="1"/>
  </cols>
  <sheetData>
    <row r="1" customFormat="1" ht="195" customHeight="1" spans="1:17">
      <c r="A1" s="12" t="s">
        <v>0</v>
      </c>
      <c r="B1" s="13"/>
      <c r="C1" s="13"/>
      <c r="D1" s="13"/>
      <c r="E1" s="13"/>
      <c r="F1" s="14"/>
      <c r="G1" s="15" t="s">
        <v>1</v>
      </c>
      <c r="H1" s="15"/>
      <c r="I1" s="15"/>
      <c r="J1" s="15"/>
      <c r="K1" s="15"/>
      <c r="L1" s="15"/>
      <c r="M1" s="15"/>
      <c r="N1" s="56"/>
      <c r="O1" s="57" t="str">
        <f>_xlfn.DISPIMG("ID_2AB6C2DF03EC4B189D9084FA977CA6E6",1)</f>
        <v>=DISPIMG("ID_2AB6C2DF03EC4B189D9084FA977CA6E6",1)</v>
      </c>
      <c r="P1" s="58"/>
      <c r="Q1" s="82"/>
    </row>
    <row r="2" s="1" customFormat="1" ht="70" customHeight="1" spans="1:17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59" t="s">
        <v>6</v>
      </c>
      <c r="L2" s="16" t="s">
        <v>12</v>
      </c>
      <c r="M2" s="60" t="s">
        <v>13</v>
      </c>
      <c r="N2" s="61" t="s">
        <v>14</v>
      </c>
      <c r="O2" s="16" t="s">
        <v>15</v>
      </c>
      <c r="P2" s="62" t="s">
        <v>16</v>
      </c>
      <c r="Q2" s="83" t="s">
        <v>17</v>
      </c>
    </row>
    <row r="3" s="2" customFormat="1" ht="65" customHeight="1" spans="1:17">
      <c r="A3" s="17">
        <v>1</v>
      </c>
      <c r="B3" s="18" t="s">
        <v>18</v>
      </c>
      <c r="C3" s="18">
        <v>63</v>
      </c>
      <c r="D3" s="18" t="s">
        <v>19</v>
      </c>
      <c r="E3" s="18">
        <v>200</v>
      </c>
      <c r="F3" s="18"/>
      <c r="G3" s="19">
        <v>102552</v>
      </c>
      <c r="H3" s="20" t="s">
        <v>20</v>
      </c>
      <c r="I3" s="19"/>
      <c r="J3" s="63" t="s">
        <v>21</v>
      </c>
      <c r="K3" s="63">
        <v>2</v>
      </c>
      <c r="L3" s="18"/>
      <c r="M3" s="64">
        <v>2426889</v>
      </c>
      <c r="N3" s="64">
        <f>M3*K3</f>
        <v>4853778</v>
      </c>
      <c r="O3" s="64"/>
      <c r="P3" s="19"/>
      <c r="Q3" s="84"/>
    </row>
    <row r="4" s="2" customFormat="1" ht="65" customHeight="1" spans="1:17">
      <c r="A4" s="17">
        <v>2</v>
      </c>
      <c r="B4" s="18" t="s">
        <v>22</v>
      </c>
      <c r="C4" s="18" t="s">
        <v>23</v>
      </c>
      <c r="D4" s="18" t="s">
        <v>19</v>
      </c>
      <c r="E4" s="18">
        <v>200</v>
      </c>
      <c r="F4" s="18"/>
      <c r="G4" s="19">
        <v>102603</v>
      </c>
      <c r="H4" s="20" t="s">
        <v>24</v>
      </c>
      <c r="I4" s="19"/>
      <c r="J4" s="63" t="s">
        <v>21</v>
      </c>
      <c r="K4" s="63">
        <v>2</v>
      </c>
      <c r="L4" s="18"/>
      <c r="M4" s="64">
        <v>502333</v>
      </c>
      <c r="N4" s="64">
        <f t="shared" ref="N4:N19" si="0">M4*K4</f>
        <v>1004666</v>
      </c>
      <c r="O4" s="64"/>
      <c r="P4" s="19"/>
      <c r="Q4" s="84"/>
    </row>
    <row r="5" s="2" customFormat="1" ht="65" customHeight="1" spans="1:17">
      <c r="A5" s="17">
        <v>3</v>
      </c>
      <c r="B5" s="18" t="s">
        <v>25</v>
      </c>
      <c r="C5" s="18" t="s">
        <v>26</v>
      </c>
      <c r="D5" s="18" t="s">
        <v>27</v>
      </c>
      <c r="E5" s="18">
        <v>2</v>
      </c>
      <c r="F5" s="18"/>
      <c r="G5" s="19">
        <v>102604</v>
      </c>
      <c r="H5" s="20" t="s">
        <v>28</v>
      </c>
      <c r="I5" s="19"/>
      <c r="J5" s="63" t="s">
        <v>27</v>
      </c>
      <c r="K5" s="63">
        <v>2</v>
      </c>
      <c r="L5" s="18"/>
      <c r="M5" s="64">
        <v>158889</v>
      </c>
      <c r="N5" s="64">
        <f t="shared" si="0"/>
        <v>317778</v>
      </c>
      <c r="O5" s="64"/>
      <c r="P5" s="19"/>
      <c r="Q5" s="84"/>
    </row>
    <row r="6" s="2" customFormat="1" ht="65" customHeight="1" spans="1:17">
      <c r="A6" s="21">
        <v>4</v>
      </c>
      <c r="B6" s="22" t="s">
        <v>29</v>
      </c>
      <c r="C6" s="18" t="s">
        <v>26</v>
      </c>
      <c r="D6" s="18" t="s">
        <v>27</v>
      </c>
      <c r="E6" s="18">
        <v>12</v>
      </c>
      <c r="F6" s="18"/>
      <c r="G6" s="19">
        <v>102412</v>
      </c>
      <c r="H6" s="20" t="s">
        <v>30</v>
      </c>
      <c r="I6" s="19"/>
      <c r="J6" s="18" t="s">
        <v>27</v>
      </c>
      <c r="K6" s="18">
        <v>12</v>
      </c>
      <c r="L6" s="18"/>
      <c r="M6" s="64">
        <v>106556</v>
      </c>
      <c r="N6" s="64">
        <f t="shared" si="0"/>
        <v>1278672</v>
      </c>
      <c r="O6" s="64"/>
      <c r="P6" s="19"/>
      <c r="Q6" s="84"/>
    </row>
    <row r="7" s="2" customFormat="1" ht="65" customHeight="1" spans="1:17">
      <c r="A7" s="23"/>
      <c r="B7" s="24"/>
      <c r="C7" s="18"/>
      <c r="D7" s="18"/>
      <c r="E7" s="18"/>
      <c r="F7" s="18"/>
      <c r="G7" s="19">
        <v>102605</v>
      </c>
      <c r="H7" s="20" t="s">
        <v>31</v>
      </c>
      <c r="I7" s="19"/>
      <c r="J7" s="18" t="s">
        <v>27</v>
      </c>
      <c r="K7" s="18">
        <v>12</v>
      </c>
      <c r="L7" s="18"/>
      <c r="M7" s="64">
        <v>200000</v>
      </c>
      <c r="N7" s="64">
        <f t="shared" si="0"/>
        <v>2400000</v>
      </c>
      <c r="O7" s="64"/>
      <c r="P7" s="19"/>
      <c r="Q7" s="84"/>
    </row>
    <row r="8" s="2" customFormat="1" ht="65" customHeight="1" spans="1:17">
      <c r="A8" s="25"/>
      <c r="B8" s="26"/>
      <c r="C8" s="18"/>
      <c r="D8" s="18"/>
      <c r="E8" s="18"/>
      <c r="F8" s="18"/>
      <c r="G8" s="19">
        <v>102606</v>
      </c>
      <c r="H8" s="20" t="s">
        <v>32</v>
      </c>
      <c r="I8" s="19"/>
      <c r="J8" s="18" t="s">
        <v>27</v>
      </c>
      <c r="K8" s="18">
        <v>12</v>
      </c>
      <c r="L8" s="18"/>
      <c r="M8" s="64">
        <v>14000</v>
      </c>
      <c r="N8" s="64">
        <f t="shared" si="0"/>
        <v>168000</v>
      </c>
      <c r="O8" s="64"/>
      <c r="P8" s="19"/>
      <c r="Q8" s="84"/>
    </row>
    <row r="9" s="2" customFormat="1" ht="65" customHeight="1" spans="1:17">
      <c r="A9" s="21">
        <v>5</v>
      </c>
      <c r="B9" s="22" t="s">
        <v>33</v>
      </c>
      <c r="C9" s="22" t="s">
        <v>34</v>
      </c>
      <c r="D9" s="18" t="s">
        <v>27</v>
      </c>
      <c r="E9" s="18">
        <v>10</v>
      </c>
      <c r="F9" s="18"/>
      <c r="G9" s="19">
        <v>102607</v>
      </c>
      <c r="H9" s="20" t="s">
        <v>35</v>
      </c>
      <c r="I9" s="19"/>
      <c r="J9" s="18" t="s">
        <v>27</v>
      </c>
      <c r="K9" s="63">
        <v>10</v>
      </c>
      <c r="L9" s="18"/>
      <c r="M9" s="64">
        <v>8333</v>
      </c>
      <c r="N9" s="64">
        <f t="shared" si="0"/>
        <v>83330</v>
      </c>
      <c r="O9" s="64"/>
      <c r="P9" s="19"/>
      <c r="Q9" s="84"/>
    </row>
    <row r="10" s="2" customFormat="1" ht="65" customHeight="1" spans="1:17">
      <c r="A10" s="25"/>
      <c r="B10" s="26"/>
      <c r="C10" s="26"/>
      <c r="D10" s="18"/>
      <c r="E10" s="18"/>
      <c r="F10" s="18"/>
      <c r="G10" s="19">
        <v>102608</v>
      </c>
      <c r="H10" s="20" t="s">
        <v>36</v>
      </c>
      <c r="I10" s="19"/>
      <c r="J10" s="18" t="s">
        <v>27</v>
      </c>
      <c r="K10" s="63">
        <v>10</v>
      </c>
      <c r="L10" s="18"/>
      <c r="M10" s="64">
        <v>36667</v>
      </c>
      <c r="N10" s="64">
        <f t="shared" si="0"/>
        <v>366670</v>
      </c>
      <c r="O10" s="64"/>
      <c r="P10" s="19"/>
      <c r="Q10" s="84"/>
    </row>
    <row r="11" s="2" customFormat="1" ht="65" customHeight="1" spans="1:17">
      <c r="A11" s="17">
        <v>6</v>
      </c>
      <c r="B11" s="18" t="s">
        <v>37</v>
      </c>
      <c r="C11" s="18" t="s">
        <v>38</v>
      </c>
      <c r="D11" s="18" t="s">
        <v>27</v>
      </c>
      <c r="E11" s="18">
        <v>20</v>
      </c>
      <c r="F11" s="18"/>
      <c r="G11" s="19">
        <v>102609</v>
      </c>
      <c r="H11" s="20" t="s">
        <v>39</v>
      </c>
      <c r="I11" s="19"/>
      <c r="J11" s="18" t="s">
        <v>27</v>
      </c>
      <c r="K11" s="18">
        <v>20</v>
      </c>
      <c r="L11" s="18"/>
      <c r="M11" s="64">
        <v>386667</v>
      </c>
      <c r="N11" s="64">
        <f t="shared" si="0"/>
        <v>7733340</v>
      </c>
      <c r="O11" s="64"/>
      <c r="P11" s="19"/>
      <c r="Q11" s="84"/>
    </row>
    <row r="12" s="2" customFormat="1" ht="65" customHeight="1" spans="1:17">
      <c r="A12" s="17">
        <v>7</v>
      </c>
      <c r="B12" s="18" t="s">
        <v>37</v>
      </c>
      <c r="C12" s="18" t="s">
        <v>40</v>
      </c>
      <c r="D12" s="18" t="s">
        <v>27</v>
      </c>
      <c r="E12" s="18">
        <v>50</v>
      </c>
      <c r="F12" s="18"/>
      <c r="G12" s="19">
        <v>102610</v>
      </c>
      <c r="H12" s="20" t="s">
        <v>41</v>
      </c>
      <c r="I12" s="19"/>
      <c r="J12" s="18" t="s">
        <v>27</v>
      </c>
      <c r="K12" s="18">
        <v>50</v>
      </c>
      <c r="L12" s="18"/>
      <c r="M12" s="64">
        <v>28111</v>
      </c>
      <c r="N12" s="64">
        <f t="shared" si="0"/>
        <v>1405550</v>
      </c>
      <c r="O12" s="64"/>
      <c r="P12" s="19"/>
      <c r="Q12" s="84"/>
    </row>
    <row r="13" s="2" customFormat="1" ht="65" customHeight="1" spans="1:17">
      <c r="A13" s="17">
        <v>8</v>
      </c>
      <c r="B13" s="18" t="s">
        <v>42</v>
      </c>
      <c r="C13" s="18" t="s">
        <v>43</v>
      </c>
      <c r="D13" s="18" t="s">
        <v>27</v>
      </c>
      <c r="E13" s="18">
        <v>2</v>
      </c>
      <c r="F13" s="18"/>
      <c r="G13" s="19" t="s">
        <v>44</v>
      </c>
      <c r="H13" s="20" t="s">
        <v>45</v>
      </c>
      <c r="I13" s="19"/>
      <c r="J13" s="18" t="s">
        <v>27</v>
      </c>
      <c r="K13" s="18">
        <v>2</v>
      </c>
      <c r="L13" s="18"/>
      <c r="M13" s="64">
        <v>990333</v>
      </c>
      <c r="N13" s="64">
        <f t="shared" si="0"/>
        <v>1980666</v>
      </c>
      <c r="O13" s="64"/>
      <c r="P13" s="19"/>
      <c r="Q13" s="84"/>
    </row>
    <row r="14" s="2" customFormat="1" ht="65" customHeight="1" spans="1:17">
      <c r="A14" s="17">
        <v>9</v>
      </c>
      <c r="B14" s="18" t="s">
        <v>46</v>
      </c>
      <c r="C14" s="27" t="s">
        <v>47</v>
      </c>
      <c r="D14" s="18" t="s">
        <v>27</v>
      </c>
      <c r="E14" s="18">
        <v>1</v>
      </c>
      <c r="F14" s="18"/>
      <c r="G14" s="19">
        <v>102611</v>
      </c>
      <c r="H14" s="20" t="s">
        <v>48</v>
      </c>
      <c r="I14" s="19"/>
      <c r="J14" s="18" t="s">
        <v>27</v>
      </c>
      <c r="K14" s="18">
        <v>1</v>
      </c>
      <c r="L14" s="18"/>
      <c r="M14" s="64">
        <v>7417778</v>
      </c>
      <c r="N14" s="64">
        <f t="shared" si="0"/>
        <v>7417778</v>
      </c>
      <c r="O14" s="64"/>
      <c r="P14" s="19"/>
      <c r="Q14" s="84"/>
    </row>
    <row r="15" s="2" customFormat="1" ht="65" customHeight="1" spans="1:17">
      <c r="A15" s="17">
        <v>10</v>
      </c>
      <c r="B15" s="18" t="s">
        <v>49</v>
      </c>
      <c r="C15" s="18" t="s">
        <v>50</v>
      </c>
      <c r="D15" s="18" t="s">
        <v>27</v>
      </c>
      <c r="E15" s="18">
        <v>10</v>
      </c>
      <c r="F15" s="18"/>
      <c r="G15" s="19"/>
      <c r="H15" s="20" t="s">
        <v>51</v>
      </c>
      <c r="I15" s="19"/>
      <c r="J15" s="63"/>
      <c r="K15" s="63"/>
      <c r="L15" s="18"/>
      <c r="M15" s="64"/>
      <c r="N15" s="64"/>
      <c r="O15" s="64"/>
      <c r="P15" s="19"/>
      <c r="Q15" s="84"/>
    </row>
    <row r="16" s="2" customFormat="1" ht="65" customHeight="1" spans="1:17">
      <c r="A16" s="21">
        <v>11</v>
      </c>
      <c r="B16" s="22" t="s">
        <v>52</v>
      </c>
      <c r="C16" s="18" t="s">
        <v>53</v>
      </c>
      <c r="D16" s="18" t="s">
        <v>27</v>
      </c>
      <c r="E16" s="18">
        <v>20</v>
      </c>
      <c r="F16" s="18"/>
      <c r="G16" s="19">
        <v>102550</v>
      </c>
      <c r="H16" s="20" t="s">
        <v>54</v>
      </c>
      <c r="I16" s="19"/>
      <c r="J16" s="63" t="s">
        <v>27</v>
      </c>
      <c r="K16" s="63">
        <v>20</v>
      </c>
      <c r="L16" s="18"/>
      <c r="M16" s="64">
        <v>27333</v>
      </c>
      <c r="N16" s="64">
        <f t="shared" si="0"/>
        <v>546660</v>
      </c>
      <c r="O16" s="64"/>
      <c r="P16" s="19"/>
      <c r="Q16" s="84"/>
    </row>
    <row r="17" s="2" customFormat="1" ht="65" customHeight="1" spans="1:17">
      <c r="A17" s="23"/>
      <c r="B17" s="24"/>
      <c r="C17" s="18"/>
      <c r="D17" s="18"/>
      <c r="E17" s="18"/>
      <c r="F17" s="18"/>
      <c r="G17" s="19">
        <v>102612</v>
      </c>
      <c r="H17" s="20" t="s">
        <v>55</v>
      </c>
      <c r="I17" s="19"/>
      <c r="J17" s="63" t="s">
        <v>27</v>
      </c>
      <c r="K17" s="63">
        <v>20</v>
      </c>
      <c r="L17" s="18"/>
      <c r="M17" s="64">
        <v>61222</v>
      </c>
      <c r="N17" s="64">
        <f t="shared" si="0"/>
        <v>1224440</v>
      </c>
      <c r="O17" s="64"/>
      <c r="P17" s="19"/>
      <c r="Q17" s="84"/>
    </row>
    <row r="18" s="2" customFormat="1" ht="65" customHeight="1" spans="1:17">
      <c r="A18" s="25"/>
      <c r="B18" s="26"/>
      <c r="C18" s="18"/>
      <c r="D18" s="18"/>
      <c r="E18" s="18"/>
      <c r="F18" s="18"/>
      <c r="G18" s="19">
        <v>101657</v>
      </c>
      <c r="H18" s="20" t="s">
        <v>56</v>
      </c>
      <c r="I18" s="19"/>
      <c r="J18" s="63" t="s">
        <v>27</v>
      </c>
      <c r="K18" s="63">
        <v>20</v>
      </c>
      <c r="L18" s="18"/>
      <c r="M18" s="64">
        <v>7000</v>
      </c>
      <c r="N18" s="64">
        <f t="shared" si="0"/>
        <v>140000</v>
      </c>
      <c r="O18" s="64"/>
      <c r="P18" s="19"/>
      <c r="Q18" s="84"/>
    </row>
    <row r="19" s="2" customFormat="1" ht="65" customHeight="1" spans="1:17">
      <c r="A19" s="17">
        <v>12</v>
      </c>
      <c r="B19" s="18" t="s">
        <v>57</v>
      </c>
      <c r="C19" s="18"/>
      <c r="D19" s="18" t="s">
        <v>27</v>
      </c>
      <c r="E19" s="18">
        <v>5</v>
      </c>
      <c r="F19" s="18"/>
      <c r="G19" s="19">
        <v>102495</v>
      </c>
      <c r="H19" s="20" t="s">
        <v>58</v>
      </c>
      <c r="I19" s="19"/>
      <c r="J19" s="63" t="s">
        <v>27</v>
      </c>
      <c r="K19" s="63">
        <v>5</v>
      </c>
      <c r="L19" s="18"/>
      <c r="M19" s="64">
        <v>222000</v>
      </c>
      <c r="N19" s="64">
        <f t="shared" si="0"/>
        <v>1110000</v>
      </c>
      <c r="O19" s="64"/>
      <c r="P19" s="19"/>
      <c r="Q19" s="84"/>
    </row>
    <row r="20" s="3" customFormat="1" ht="65" customHeight="1" spans="1:17">
      <c r="A20" s="28" t="s">
        <v>59</v>
      </c>
      <c r="B20" s="19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65"/>
      <c r="N20" s="66">
        <f>SUM(N3:N19)</f>
        <v>32031328</v>
      </c>
      <c r="O20" s="66"/>
      <c r="P20" s="67"/>
      <c r="Q20" s="84"/>
    </row>
    <row r="21" s="3" customFormat="1" ht="65" customHeight="1" spans="1:17">
      <c r="A21" s="28" t="s">
        <v>60</v>
      </c>
      <c r="B21" s="19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68"/>
      <c r="N21" s="66">
        <f>N20*0.11</f>
        <v>3523446.08</v>
      </c>
      <c r="O21" s="69"/>
      <c r="P21" s="70"/>
      <c r="Q21" s="67"/>
    </row>
    <row r="22" s="3" customFormat="1" ht="65" customHeight="1" spans="1:17">
      <c r="A22" s="33" t="s">
        <v>61</v>
      </c>
      <c r="B22" s="34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68"/>
      <c r="N22" s="66">
        <f>M22*K22</f>
        <v>0</v>
      </c>
      <c r="O22" s="69"/>
      <c r="P22" s="70"/>
      <c r="Q22" s="67"/>
    </row>
    <row r="23" s="3" customFormat="1" ht="60" customHeight="1" spans="1:17">
      <c r="A23" s="28" t="s">
        <v>62</v>
      </c>
      <c r="B23" s="19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71"/>
      <c r="N23" s="66">
        <f>SUM(N20:N22)</f>
        <v>35554774.08</v>
      </c>
      <c r="O23" s="72"/>
      <c r="P23" s="73"/>
      <c r="Q23" s="73"/>
    </row>
    <row r="24" s="3" customFormat="1" ht="60" customHeight="1" spans="1:17">
      <c r="A24" s="33" t="s">
        <v>63</v>
      </c>
      <c r="B24" s="34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71"/>
    </row>
    <row r="25" s="1" customFormat="1" ht="60" customHeight="1" spans="1:17">
      <c r="A25" s="37" t="s">
        <v>64</v>
      </c>
      <c r="B25" s="38"/>
      <c r="C25" s="39"/>
      <c r="D25" s="39"/>
      <c r="E25" s="39"/>
      <c r="F25" s="39"/>
      <c r="G25" s="39"/>
      <c r="H25" s="40"/>
      <c r="I25" s="39"/>
      <c r="J25" s="39"/>
      <c r="K25" s="74"/>
      <c r="L25" s="39"/>
      <c r="M25" s="75"/>
      <c r="N25" s="76"/>
      <c r="O25" s="39"/>
      <c r="P25" s="39"/>
      <c r="Q25" s="85"/>
    </row>
    <row r="26" s="1" customFormat="1" ht="60" customHeight="1" spans="1:17">
      <c r="A26" s="37" t="s">
        <v>65</v>
      </c>
      <c r="B26" s="38"/>
      <c r="C26" s="39"/>
      <c r="D26" s="39"/>
      <c r="E26" s="39"/>
      <c r="F26" s="39"/>
      <c r="G26" s="39"/>
      <c r="H26" s="40"/>
      <c r="I26" s="39"/>
      <c r="J26" s="39"/>
      <c r="K26" s="74"/>
      <c r="L26" s="39"/>
      <c r="M26" s="75"/>
      <c r="N26" s="76"/>
      <c r="O26" s="39"/>
      <c r="P26" s="39"/>
      <c r="Q26" s="85"/>
    </row>
    <row r="27" s="1" customFormat="1" ht="60" customHeight="1" spans="1:17">
      <c r="A27" s="41" t="s">
        <v>66</v>
      </c>
      <c r="B27" s="38"/>
      <c r="C27" s="41"/>
      <c r="D27" s="41"/>
      <c r="E27" s="41"/>
      <c r="F27" s="41"/>
      <c r="G27" s="41"/>
      <c r="H27" s="41"/>
      <c r="I27" s="41" t="s">
        <v>67</v>
      </c>
      <c r="J27" s="41"/>
      <c r="K27" s="77">
        <v>46060</v>
      </c>
      <c r="L27" s="77"/>
      <c r="M27" s="78"/>
      <c r="N27" s="78"/>
      <c r="O27" s="77"/>
      <c r="P27" s="77"/>
      <c r="Q27" s="78"/>
    </row>
    <row r="28" s="1" customFormat="1" ht="70" customHeight="1" spans="1:17">
      <c r="A28" s="42" t="s">
        <v>68</v>
      </c>
      <c r="B28" s="43"/>
      <c r="C28" s="44"/>
      <c r="D28" s="44"/>
      <c r="E28" s="44"/>
      <c r="F28" s="44"/>
      <c r="G28" s="44"/>
      <c r="H28" s="44"/>
      <c r="I28" s="42" t="s">
        <v>69</v>
      </c>
      <c r="J28" s="42"/>
      <c r="K28" s="79"/>
      <c r="L28" s="80"/>
      <c r="M28" s="81"/>
      <c r="N28" s="80"/>
      <c r="O28" s="80"/>
      <c r="P28" s="80"/>
      <c r="Q28" s="86"/>
    </row>
    <row r="29" s="4" customFormat="1" ht="22" customHeight="1" spans="1:17">
      <c r="A29" s="45" t="s">
        <v>70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="4" customFormat="1" ht="27" customHeight="1" spans="1:17">
      <c r="A30" s="46" t="s">
        <v>71</v>
      </c>
      <c r="B30" s="46" t="s">
        <v>72</v>
      </c>
      <c r="C30" s="46" t="s">
        <v>73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="4" customFormat="1" ht="27" customHeight="1" spans="1:17">
      <c r="A31" s="46">
        <v>1</v>
      </c>
      <c r="B31" s="47" t="s">
        <v>74</v>
      </c>
      <c r="C31" s="48" t="s">
        <v>75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="4" customFormat="1" ht="27" customHeight="1" spans="1:17">
      <c r="A32" s="46">
        <v>2</v>
      </c>
      <c r="B32" s="46" t="s">
        <v>76</v>
      </c>
      <c r="C32" s="49" t="s">
        <v>77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</row>
    <row r="33" s="4" customFormat="1" ht="27" customHeight="1" spans="1:17">
      <c r="A33" s="46">
        <v>3</v>
      </c>
      <c r="B33" s="46" t="s">
        <v>78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</row>
    <row r="34" s="4" customFormat="1" ht="27" customHeight="1" spans="1:17">
      <c r="A34" s="46">
        <v>4</v>
      </c>
      <c r="B34" s="46" t="s">
        <v>79</v>
      </c>
      <c r="C34" s="51" t="s">
        <v>80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</row>
    <row r="35" s="4" customFormat="1" ht="27" customHeight="1" spans="1:17">
      <c r="A35" s="46">
        <v>5</v>
      </c>
      <c r="B35" s="46" t="s">
        <v>81</v>
      </c>
      <c r="C35" s="50" t="s">
        <v>82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</row>
    <row r="36" s="4" customFormat="1" ht="27" customHeight="1" spans="1:17">
      <c r="A36" s="46"/>
      <c r="B36" s="46" t="s">
        <v>83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s="4" customFormat="1" ht="27" customHeight="1" spans="1:17">
      <c r="A37" s="46"/>
      <c r="B37" s="46" t="s">
        <v>84</v>
      </c>
      <c r="C37" s="52" t="s">
        <v>85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s="4" customFormat="1" ht="27" customHeight="1" spans="1:17">
      <c r="A38" s="46"/>
      <c r="B38" s="46" t="s">
        <v>86</v>
      </c>
      <c r="C38" s="52" t="s">
        <v>87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s="4" customFormat="1" ht="27" customHeight="1" spans="1:17">
      <c r="A39" s="46"/>
      <c r="B39" s="46" t="s">
        <v>88</v>
      </c>
      <c r="C39" s="52" t="s">
        <v>89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s="4" customFormat="1" ht="27" customHeight="1" spans="1:17">
      <c r="A40" s="46"/>
      <c r="B40" s="46" t="s">
        <v>90</v>
      </c>
      <c r="C40" s="53" t="s">
        <v>91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</row>
    <row r="41" s="4" customFormat="1" ht="25" customHeight="1" spans="1:17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</row>
    <row r="42" s="4" customFormat="1" ht="25" customHeight="1" spans="1:17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</row>
    <row r="43" s="5" customFormat="1" ht="41" customHeight="1" spans="1:17">
      <c r="A43" s="54" t="s">
        <v>93</v>
      </c>
      <c r="B43" s="54"/>
      <c r="C43" s="54"/>
      <c r="D43" s="54"/>
      <c r="E43" s="54"/>
      <c r="F43" s="54"/>
      <c r="G43" s="54"/>
      <c r="H43" s="54" t="s">
        <v>94</v>
      </c>
      <c r="I43" s="54"/>
      <c r="J43" s="54"/>
      <c r="K43" s="54"/>
      <c r="L43" s="54"/>
      <c r="M43" s="54"/>
      <c r="N43" s="54"/>
      <c r="O43" s="54"/>
      <c r="P43" s="54"/>
      <c r="Q43" s="54"/>
    </row>
    <row r="44" s="5" customFormat="1" ht="14" spans="1:17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</row>
    <row r="45" s="5" customFormat="1" ht="14" spans="1:17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</row>
    <row r="46" s="5" customFormat="1" ht="14" spans="1:17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</row>
    <row r="47" s="5" customFormat="1" ht="14" spans="1:1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</row>
    <row r="48" s="5" customFormat="1" ht="46" customHeight="1" spans="1:17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</row>
  </sheetData>
  <mergeCells count="50">
    <mergeCell ref="A1:F1"/>
    <mergeCell ref="G1:N1"/>
    <mergeCell ref="O1:Q1"/>
    <mergeCell ref="A20:B20"/>
    <mergeCell ref="C20:M20"/>
    <mergeCell ref="A21:B21"/>
    <mergeCell ref="C21:M21"/>
    <mergeCell ref="A22:B22"/>
    <mergeCell ref="C22:M22"/>
    <mergeCell ref="A23:B23"/>
    <mergeCell ref="C23:M23"/>
    <mergeCell ref="A24:B24"/>
    <mergeCell ref="C24:Q24"/>
    <mergeCell ref="A25:B25"/>
    <mergeCell ref="C25:Q25"/>
    <mergeCell ref="A26:B26"/>
    <mergeCell ref="C26:Q26"/>
    <mergeCell ref="A27:B27"/>
    <mergeCell ref="C27:H27"/>
    <mergeCell ref="I27:J27"/>
    <mergeCell ref="K27:Q27"/>
    <mergeCell ref="A28:B28"/>
    <mergeCell ref="C28:H28"/>
    <mergeCell ref="I28:J28"/>
    <mergeCell ref="K28:Q28"/>
    <mergeCell ref="A29:Q29"/>
    <mergeCell ref="C30:Q30"/>
    <mergeCell ref="C31:Q31"/>
    <mergeCell ref="C32:Q32"/>
    <mergeCell ref="C33:Q33"/>
    <mergeCell ref="C34:Q34"/>
    <mergeCell ref="C35:Q35"/>
    <mergeCell ref="C36:Q36"/>
    <mergeCell ref="C37:Q37"/>
    <mergeCell ref="C38:Q38"/>
    <mergeCell ref="C39:Q39"/>
    <mergeCell ref="C40:Q40"/>
    <mergeCell ref="A43:G43"/>
    <mergeCell ref="H43:Q43"/>
    <mergeCell ref="A6:A8"/>
    <mergeCell ref="A9:A10"/>
    <mergeCell ref="A16:A18"/>
    <mergeCell ref="A35:A40"/>
    <mergeCell ref="B6:B8"/>
    <mergeCell ref="B9:B10"/>
    <mergeCell ref="B16:B18"/>
    <mergeCell ref="C9:C10"/>
    <mergeCell ref="A44:G48"/>
    <mergeCell ref="A41:Q42"/>
    <mergeCell ref="H44:Q48"/>
  </mergeCells>
  <conditionalFormatting sqref="B3">
    <cfRule type="expression" dxfId="0" priority="26">
      <formula>COUNTIFS($B$1:$B$46,$B3,$C$1:$C$46,$C3)&gt;1</formula>
    </cfRule>
  </conditionalFormatting>
  <conditionalFormatting sqref="C3">
    <cfRule type="expression" dxfId="0" priority="25">
      <formula>COUNTIFS($B$1:$B$46,$B3,$C$1:$C$46,$C3)&gt;1</formula>
    </cfRule>
  </conditionalFormatting>
  <conditionalFormatting sqref="B4">
    <cfRule type="expression" dxfId="0" priority="23">
      <formula>COUNTIFS($B$1:$B$46,$B4,$C$1:$C$46,$C4)&gt;1</formula>
    </cfRule>
  </conditionalFormatting>
  <conditionalFormatting sqref="C4">
    <cfRule type="expression" dxfId="0" priority="22">
      <formula>COUNTIFS($B$1:$B$46,$B4,$C$1:$C$46,$C4)&gt;1</formula>
    </cfRule>
  </conditionalFormatting>
  <conditionalFormatting sqref="B5">
    <cfRule type="expression" dxfId="0" priority="20">
      <formula>COUNTIFS($B$1:$B$46,$B5,$C$1:$C$46,$C5)&gt;1</formula>
    </cfRule>
  </conditionalFormatting>
  <conditionalFormatting sqref="C5">
    <cfRule type="expression" dxfId="0" priority="19">
      <formula>COUNTIFS($B$1:$B$46,$B5,$C$1:$C$46,$C5)&gt;1</formula>
    </cfRule>
  </conditionalFormatting>
  <conditionalFormatting sqref="B6">
    <cfRule type="expression" dxfId="0" priority="17">
      <formula>COUNTIFS($B$1:$B$46,$B6,$C$1:$C$46,$C6)&gt;1</formula>
    </cfRule>
  </conditionalFormatting>
  <conditionalFormatting sqref="B9">
    <cfRule type="expression" dxfId="0" priority="14">
      <formula>COUNTIFS($B$1:$B$46,$B9,$C$1:$C$46,$C9)&gt;1</formula>
    </cfRule>
  </conditionalFormatting>
  <conditionalFormatting sqref="C9">
    <cfRule type="expression" dxfId="0" priority="13">
      <formula>COUNTIFS($B$1:$B$46,$B9,$C$1:$C$46,$C9)&gt;1</formula>
    </cfRule>
  </conditionalFormatting>
  <conditionalFormatting sqref="B11">
    <cfRule type="expression" dxfId="0" priority="8">
      <formula>COUNTIFS($B$1:$B$46,$B11,$C$1:$C$46,$C11)&gt;1</formula>
    </cfRule>
  </conditionalFormatting>
  <conditionalFormatting sqref="C11">
    <cfRule type="expression" dxfId="0" priority="4">
      <formula>COUNTIFS($B$1:$B$46,$B11,$C$1:$C$46,$C11)&gt;1</formula>
    </cfRule>
  </conditionalFormatting>
  <conditionalFormatting sqref="B12">
    <cfRule type="expression" dxfId="0" priority="7">
      <formula>COUNTIFS($B$1:$B$46,$B12,$C$1:$C$46,$C12)&gt;1</formula>
    </cfRule>
  </conditionalFormatting>
  <conditionalFormatting sqref="C12">
    <cfRule type="expression" dxfId="0" priority="3">
      <formula>COUNTIFS($B$1:$B$46,$B12,$C$1:$C$46,$C12)&gt;1</formula>
    </cfRule>
  </conditionalFormatting>
  <conditionalFormatting sqref="B19">
    <cfRule type="expression" dxfId="0" priority="5">
      <formula>COUNTIFS($B$1:$B$46,$B19,$C$1:$C$46,$C19)&gt;1</formula>
    </cfRule>
  </conditionalFormatting>
  <conditionalFormatting sqref="C19">
    <cfRule type="expression" dxfId="0" priority="1">
      <formula>COUNTIFS($B$1:$B$46,$B19,$C$1:$C$46,$C19)&gt;1</formula>
    </cfRule>
  </conditionalFormatting>
  <conditionalFormatting sqref="B13:B16">
    <cfRule type="expression" dxfId="0" priority="6">
      <formula>COUNTIFS($B$1:$B$46,$B13,$C$1:$C$46,$C13)&gt;1</formula>
    </cfRule>
  </conditionalFormatting>
  <conditionalFormatting sqref="C6:C8">
    <cfRule type="expression" dxfId="0" priority="16">
      <formula>COUNTIFS($B$1:$B$46,$B6,$C$1:$C$46,$C6)&gt;1</formula>
    </cfRule>
  </conditionalFormatting>
  <conditionalFormatting sqref="C13:C18">
    <cfRule type="expression" dxfId="0" priority="2">
      <formula>COUNTIFS($B$1:$B$46,$B13,$C$1:$C$46,$C13)&gt;1</formula>
    </cfRule>
  </conditionalFormatting>
  <conditionalFormatting sqref="A3:A6 A9 A11:A16 A19">
    <cfRule type="duplicateValues" dxfId="1" priority="129"/>
  </conditionalFormatting>
  <pageMargins left="0.2" right="0.0395833333333333" top="0.3" bottom="0.2" header="0.5" footer="0.5"/>
  <pageSetup paperSize="9" scale="36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Digital Marketing SOLDAY</cp:lastModifiedBy>
  <dcterms:created xsi:type="dcterms:W3CDTF">2015-06-24T18:17:00Z</dcterms:created>
  <dcterms:modified xsi:type="dcterms:W3CDTF">2026-02-09T09:22:56Z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87050557A93A4DBC952B75A7E815E05B_13</vt:lpwstr>
  </property>
  <property fmtid="{D5CDD505-2E9C-101B-9397-08002B2CF9AE}" pid="4" name="KSOReadingLayout">
    <vt:bool>false</vt:bool>
  </property>
</Properties>
</file>