
<file path=[Content_Types].xml><?xml version="1.0" encoding="utf-8"?>
<Types xmlns="http://schemas.openxmlformats.org/package/2006/content-types">
  <Default Extension="wmf" ContentType="image/x-wmf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50"/>
  </bookViews>
  <sheets>
    <sheet name="询价单" sheetId="2" r:id="rId1"/>
    <sheet name="Sheet1" sheetId="3" r:id="rId2"/>
  </sheets>
  <externalReferences>
    <externalReference r:id="rId3"/>
    <externalReference r:id="rId4"/>
    <externalReference r:id="rId5"/>
  </externalReferences>
  <definedNames>
    <definedName name="_xlnm._FilterDatabase" localSheetId="0" hidden="1">询价单!$A$2:$R$43</definedName>
    <definedName name="_xlnm.Print_Area" localSheetId="0">询价单!$A$1:$R$48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2AB6C2DF03EC4B189D9084FA977CA6E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2310" y="0"/>
          <a:ext cx="13646150" cy="833120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<sst xmlns="http://schemas.openxmlformats.org/spreadsheetml/2006/main" count="107" uniqueCount="74">
  <si>
    <t>万鼎国际集团                                                         VANTSING INTERNATIONAL GROUP</t>
  </si>
  <si>
    <r>
      <rPr>
        <sz val="48"/>
        <rFont val="宋体"/>
        <charset val="134"/>
      </rPr>
      <t xml:space="preserve">报价单                       </t>
    </r>
    <r>
      <rPr>
        <b/>
        <i/>
        <sz val="28"/>
        <rFont val="宋体"/>
        <charset val="134"/>
      </rPr>
      <t>QUATATION</t>
    </r>
  </si>
  <si>
    <r>
      <rPr>
        <b/>
        <sz val="12"/>
        <rFont val="Arial"/>
        <charset val="134"/>
      </rPr>
      <t xml:space="preserve">Nomor urut
</t>
    </r>
    <r>
      <rPr>
        <b/>
        <sz val="12"/>
        <rFont val="微软雅黑"/>
        <charset val="134"/>
      </rPr>
      <t>序号</t>
    </r>
  </si>
  <si>
    <r>
      <rPr>
        <b/>
        <sz val="12"/>
        <rFont val="Arial"/>
        <charset val="134"/>
      </rPr>
      <t xml:space="preserve">Nama Permintaan Barang
</t>
    </r>
    <r>
      <rPr>
        <b/>
        <sz val="12"/>
        <rFont val="宋体"/>
        <charset val="134"/>
      </rPr>
      <t>询价货物名称</t>
    </r>
  </si>
  <si>
    <r>
      <rPr>
        <b/>
        <sz val="12"/>
        <rFont val="Arial"/>
        <charset val="134"/>
      </rPr>
      <t xml:space="preserve">Spesifikasi dan Model Permintaan Barang
</t>
    </r>
    <r>
      <rPr>
        <sz val="12"/>
        <rFont val="微软雅黑"/>
        <charset val="134"/>
      </rPr>
      <t>询价规格型号</t>
    </r>
  </si>
  <si>
    <r>
      <rPr>
        <b/>
        <sz val="12"/>
        <rFont val="Arial"/>
        <charset val="134"/>
      </rPr>
      <t xml:space="preserve">Satuan
</t>
    </r>
    <r>
      <rPr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</si>
  <si>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Jumlah
</t>
    </r>
    <r>
      <rPr>
        <b/>
        <sz val="12"/>
        <rFont val="微软雅黑"/>
        <charset val="134"/>
      </rPr>
      <t>数量</t>
    </r>
  </si>
  <si>
    <r>
      <rPr>
        <b/>
        <sz val="12"/>
        <rFont val="Arial"/>
        <charset val="134"/>
      </rPr>
      <t xml:space="preserve">picture
</t>
    </r>
    <r>
      <rPr>
        <b/>
        <sz val="12"/>
        <rFont val="宋体"/>
        <charset val="134"/>
      </rPr>
      <t>图片</t>
    </r>
  </si>
  <si>
    <r>
      <rPr>
        <b/>
        <sz val="12"/>
        <rFont val="Arial"/>
        <charset val="134"/>
      </rPr>
      <t xml:space="preserve">Product number
</t>
    </r>
    <r>
      <rPr>
        <sz val="12"/>
        <rFont val="微软雅黑"/>
        <charset val="134"/>
      </rPr>
      <t>产品编号</t>
    </r>
  </si>
  <si>
    <r>
      <rPr>
        <b/>
        <sz val="12"/>
        <rFont val="Arial"/>
        <charset val="134"/>
      </rPr>
      <t xml:space="preserve">Nama Penawaran Barang
</t>
    </r>
    <r>
      <rPr>
        <b/>
        <sz val="12"/>
        <rFont val="微软雅黑"/>
        <charset val="134"/>
      </rPr>
      <t>报价名称</t>
    </r>
  </si>
  <si>
    <r>
      <rPr>
        <b/>
        <sz val="12"/>
        <rFont val="Arial"/>
        <charset val="134"/>
      </rPr>
      <t xml:space="preserve">Spesifikasi Penawaran Barang
</t>
    </r>
    <r>
      <rPr>
        <b/>
        <sz val="12"/>
        <rFont val="微软雅黑"/>
        <charset val="134"/>
      </rPr>
      <t>报价产品规格</t>
    </r>
  </si>
  <si>
    <r>
      <rPr>
        <b/>
        <sz val="12"/>
        <rFont val="Arial"/>
        <charset val="134"/>
      </rPr>
      <t xml:space="preserve">Satuan
</t>
    </r>
    <r>
      <rPr>
        <b/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</si>
  <si>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brand
</t>
    </r>
    <r>
      <rPr>
        <b/>
        <sz val="12"/>
        <rFont val="宋体"/>
        <charset val="134"/>
      </rPr>
      <t>品牌</t>
    </r>
  </si>
  <si>
    <r>
      <rPr>
        <b/>
        <sz val="14"/>
        <rFont val="Arial"/>
        <charset val="134"/>
      </rPr>
      <t xml:space="preserve">Harga
</t>
    </r>
    <r>
      <rPr>
        <b/>
        <sz val="14"/>
        <rFont val="微软雅黑"/>
        <charset val="134"/>
      </rPr>
      <t>单价</t>
    </r>
  </si>
  <si>
    <t>总价</t>
  </si>
  <si>
    <r>
      <rPr>
        <b/>
        <sz val="12"/>
        <rFont val="Arial"/>
        <charset val="134"/>
      </rPr>
      <t xml:space="preserve">Tanggal Pengiriman Barang
</t>
    </r>
    <r>
      <rPr>
        <b/>
        <sz val="12"/>
        <rFont val="微软雅黑"/>
        <charset val="134"/>
      </rPr>
      <t>交货日期</t>
    </r>
  </si>
  <si>
    <r>
      <rPr>
        <b/>
        <sz val="16"/>
        <rFont val="Arial"/>
        <charset val="134"/>
      </rPr>
      <t xml:space="preserve">Gambar Barang
</t>
    </r>
    <r>
      <rPr>
        <b/>
        <sz val="16"/>
        <rFont val="微软雅黑"/>
        <charset val="134"/>
      </rPr>
      <t>报价产品图片</t>
    </r>
  </si>
  <si>
    <r>
      <rPr>
        <b/>
        <sz val="14"/>
        <rFont val="Arial"/>
        <charset val="134"/>
      </rPr>
      <t xml:space="preserve">NOTE
</t>
    </r>
    <r>
      <rPr>
        <b/>
        <sz val="14"/>
        <rFont val="微软雅黑"/>
        <charset val="134"/>
      </rPr>
      <t>备注</t>
    </r>
  </si>
  <si>
    <t>法兰</t>
  </si>
  <si>
    <t>DN125</t>
  </si>
  <si>
    <t>无货</t>
  </si>
  <si>
    <t>DN100</t>
  </si>
  <si>
    <t>个</t>
  </si>
  <si>
    <t>联塑</t>
  </si>
  <si>
    <t>DS70232</t>
  </si>
  <si>
    <t>6900010080151</t>
  </si>
  <si>
    <t>DN50</t>
  </si>
  <si>
    <t>DS70235</t>
  </si>
  <si>
    <t>6900010080150</t>
  </si>
  <si>
    <t>DN40</t>
  </si>
  <si>
    <t>DS70234</t>
  </si>
  <si>
    <t>大小头</t>
  </si>
  <si>
    <t>DN125*100</t>
  </si>
  <si>
    <t>DN50*40</t>
  </si>
  <si>
    <t>盲板</t>
  </si>
  <si>
    <t>弯头</t>
  </si>
  <si>
    <t>DN15</t>
  </si>
  <si>
    <t>Total Excluding PPN不含税总价</t>
  </si>
  <si>
    <t>是否含PPN 11%/ Inc.or Exc.PPN 11%</t>
  </si>
  <si>
    <t>运费支付Freight Payment</t>
  </si>
  <si>
    <t>Total Include PPN (11%)含税总价</t>
  </si>
  <si>
    <t>发货地址Shipping Address</t>
  </si>
  <si>
    <r>
      <rPr>
        <b/>
        <sz val="12"/>
        <rFont val="微软雅黑"/>
        <charset val="134"/>
      </rPr>
      <t>交货地点</t>
    </r>
    <r>
      <rPr>
        <b/>
        <sz val="12"/>
        <rFont val="Arial"/>
        <charset val="134"/>
      </rPr>
      <t xml:space="preserve"> / Franco / Pengiriman</t>
    </r>
  </si>
  <si>
    <r>
      <rPr>
        <b/>
        <sz val="12"/>
        <rFont val="微软雅黑"/>
        <charset val="134"/>
      </rPr>
      <t>付款方式</t>
    </r>
    <r>
      <rPr>
        <b/>
        <sz val="12"/>
        <rFont val="Arial"/>
        <charset val="134"/>
      </rPr>
      <t xml:space="preserve"> / Payment term</t>
    </r>
  </si>
  <si>
    <r>
      <rPr>
        <b/>
        <sz val="12"/>
        <rFont val="Arial"/>
        <charset val="134"/>
      </rPr>
      <t xml:space="preserve">Perusahaan yang memberikan penawaran
</t>
    </r>
    <r>
      <rPr>
        <b/>
        <sz val="12"/>
        <rFont val="微软雅黑"/>
        <charset val="134"/>
      </rPr>
      <t>报价公司名称</t>
    </r>
  </si>
  <si>
    <r>
      <rPr>
        <b/>
        <sz val="12"/>
        <rFont val="Arial"/>
        <charset val="134"/>
      </rPr>
      <t xml:space="preserve">Tanggal Penawaran 
</t>
    </r>
    <r>
      <rPr>
        <b/>
        <sz val="12"/>
        <rFont val="微软雅黑"/>
        <charset val="134"/>
      </rPr>
      <t>报价日期</t>
    </r>
  </si>
  <si>
    <t>2026/2//2</t>
  </si>
  <si>
    <r>
      <rPr>
        <b/>
        <sz val="12"/>
        <rFont val="Arial"/>
        <charset val="134"/>
      </rPr>
      <t xml:space="preserve">Petugas Pengisian Formulir                                                               </t>
    </r>
    <r>
      <rPr>
        <b/>
        <sz val="12"/>
        <rFont val="宋体"/>
        <charset val="134"/>
      </rPr>
      <t>报单人员</t>
    </r>
  </si>
  <si>
    <t>Petugas Pengecekkan           审查人员</t>
  </si>
  <si>
    <r>
      <rPr>
        <b/>
        <sz val="11"/>
        <color theme="1"/>
        <rFont val="Times New Roman"/>
        <charset val="134"/>
      </rPr>
      <t xml:space="preserve">TERMS &amp; CONDITION </t>
    </r>
    <r>
      <rPr>
        <b/>
        <sz val="11"/>
        <color theme="1"/>
        <rFont val="宋体"/>
        <charset val="134"/>
      </rPr>
      <t>条款</t>
    </r>
    <r>
      <rPr>
        <b/>
        <sz val="11"/>
        <color theme="1"/>
        <rFont val="Times New Roman"/>
        <charset val="134"/>
      </rPr>
      <t>&amp;</t>
    </r>
    <r>
      <rPr>
        <b/>
        <sz val="11"/>
        <color theme="1"/>
        <rFont val="宋体"/>
        <charset val="134"/>
      </rPr>
      <t>条件</t>
    </r>
  </si>
  <si>
    <r>
      <rPr>
        <b/>
        <sz val="11"/>
        <color theme="1"/>
        <rFont val="Times New Roman"/>
        <charset val="134"/>
      </rPr>
      <t xml:space="preserve">No. </t>
    </r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</si>
  <si>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Times New Roman"/>
        <charset val="134"/>
      </rPr>
      <t xml:space="preserve">Item </t>
    </r>
    <r>
      <rPr>
        <b/>
        <sz val="11"/>
        <color theme="1"/>
        <rFont val="宋体"/>
        <charset val="134"/>
      </rPr>
      <t>项目</t>
    </r>
  </si>
  <si>
    <r>
      <rPr>
        <b/>
        <sz val="11"/>
        <color theme="1"/>
        <rFont val="Times New Roman"/>
        <charset val="134"/>
      </rPr>
      <t xml:space="preserve">Description </t>
    </r>
    <r>
      <rPr>
        <b/>
        <sz val="11"/>
        <color theme="1"/>
        <rFont val="宋体"/>
        <charset val="134"/>
      </rPr>
      <t>说明</t>
    </r>
  </si>
  <si>
    <t>特备备注</t>
  </si>
  <si>
    <t>LALAMOVE，运费客户支付（lalamove，Freight paid by the customer）</t>
  </si>
  <si>
    <r>
      <rPr>
        <b/>
        <sz val="11"/>
        <color theme="1"/>
        <rFont val="Times New Roman"/>
        <charset val="134"/>
      </rPr>
      <t xml:space="preserve">Delivery Time </t>
    </r>
    <r>
      <rPr>
        <b/>
        <sz val="11"/>
        <color theme="1"/>
        <rFont val="宋体"/>
        <charset val="134"/>
      </rPr>
      <t>交货时间</t>
    </r>
  </si>
  <si>
    <t>（付款后）几天交货时间为工厂发出时间</t>
  </si>
  <si>
    <r>
      <rPr>
        <b/>
        <sz val="11"/>
        <color theme="1"/>
        <rFont val="Times New Roman"/>
        <charset val="134"/>
      </rPr>
      <t xml:space="preserve">Packaging </t>
    </r>
    <r>
      <rPr>
        <b/>
        <sz val="11"/>
        <color theme="1"/>
        <rFont val="宋体"/>
        <charset val="134"/>
      </rPr>
      <t>包装</t>
    </r>
  </si>
  <si>
    <r>
      <rPr>
        <b/>
        <sz val="11"/>
        <color theme="1"/>
        <rFont val="Times New Roman"/>
        <charset val="134"/>
      </rPr>
      <t xml:space="preserve">Guarantee </t>
    </r>
    <r>
      <rPr>
        <b/>
        <sz val="11"/>
        <color theme="1"/>
        <rFont val="宋体"/>
        <charset val="134"/>
      </rPr>
      <t>保证</t>
    </r>
  </si>
  <si>
    <r>
      <rPr>
        <sz val="11"/>
        <color theme="1"/>
        <rFont val="宋体"/>
        <charset val="134"/>
      </rPr>
      <t>卖方保证所售商品的质量和安全，所售商品不存在任何缺陷或损坏。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买方需要在收到货物后最多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天检查已收到的货物。</t>
    </r>
  </si>
  <si>
    <r>
      <rPr>
        <b/>
        <sz val="11"/>
        <color theme="1"/>
        <rFont val="Times New Roman"/>
        <charset val="134"/>
      </rPr>
      <t xml:space="preserve">Payment Methode </t>
    </r>
    <r>
      <rPr>
        <b/>
        <sz val="11"/>
        <color theme="1"/>
        <rFont val="宋体"/>
        <charset val="134"/>
      </rPr>
      <t>付款方式</t>
    </r>
  </si>
  <si>
    <t>现款</t>
  </si>
  <si>
    <r>
      <rPr>
        <b/>
        <sz val="11"/>
        <color theme="1"/>
        <rFont val="Times New Roman"/>
        <charset val="134"/>
      </rPr>
      <t xml:space="preserve">Beneficiery Account </t>
    </r>
    <r>
      <rPr>
        <b/>
        <sz val="11"/>
        <color theme="1"/>
        <rFont val="宋体"/>
        <charset val="134"/>
      </rPr>
      <t>收款账户</t>
    </r>
  </si>
  <si>
    <r>
      <rPr>
        <b/>
        <sz val="11"/>
        <color theme="1"/>
        <rFont val="Times New Roman"/>
        <charset val="134"/>
      </rPr>
      <t xml:space="preserve">Account Name </t>
    </r>
    <r>
      <rPr>
        <b/>
        <sz val="11"/>
        <color theme="1"/>
        <rFont val="宋体"/>
        <charset val="134"/>
      </rPr>
      <t>账户名称</t>
    </r>
  </si>
  <si>
    <t>PT. Vantsing International Group</t>
  </si>
  <si>
    <r>
      <rPr>
        <b/>
        <sz val="11"/>
        <color theme="1"/>
        <rFont val="Times New Roman"/>
        <charset val="134"/>
      </rPr>
      <t>Account No</t>
    </r>
    <r>
      <rPr>
        <b/>
        <sz val="11"/>
        <color theme="1"/>
        <rFont val="宋体"/>
        <charset val="134"/>
      </rPr>
      <t>账号</t>
    </r>
  </si>
  <si>
    <t>268-0321666</t>
  </si>
  <si>
    <r>
      <rPr>
        <b/>
        <sz val="11"/>
        <color theme="1"/>
        <rFont val="Times New Roman"/>
        <charset val="134"/>
      </rPr>
      <t xml:space="preserve">Bank </t>
    </r>
    <r>
      <rPr>
        <b/>
        <sz val="11"/>
        <color theme="1"/>
        <rFont val="宋体"/>
        <charset val="134"/>
      </rPr>
      <t>银行</t>
    </r>
  </si>
  <si>
    <t>Bank Central Asia KCP Grogol Muwardi</t>
  </si>
  <si>
    <r>
      <rPr>
        <b/>
        <sz val="11"/>
        <color theme="1"/>
        <rFont val="Times New Roman"/>
        <charset val="134"/>
      </rPr>
      <t xml:space="preserve">Branch </t>
    </r>
    <r>
      <rPr>
        <b/>
        <sz val="11"/>
        <color theme="1"/>
        <rFont val="宋体"/>
        <charset val="134"/>
      </rPr>
      <t>分行</t>
    </r>
  </si>
  <si>
    <t>Jl. Muwardi I No.44, RT.1/RW.4, Grogol, Kec. Grogol petamburan, Kota Jakarta Barat, Daerah Khusus Ibukota Jakarta 11460</t>
  </si>
  <si>
    <r>
      <rPr>
        <sz val="11"/>
        <color theme="1"/>
        <rFont val="Times New Roman"/>
        <charset val="134"/>
      </rPr>
      <t>This Purchase Order is made and signed on the day and date as stated, made in 2 (two) original copies signed by the parties with sufficient stamp duty, each of which has the same binding legal force.</t>
    </r>
    <r>
      <rPr>
        <sz val="11"/>
        <color theme="1"/>
        <rFont val="宋体"/>
        <charset val="134"/>
      </rPr>
      <t>本采购订单于规定日期签署，一式两（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）份原件，由双方签字并加盖足够的印花税，每份具有同等的法律约束力。</t>
    </r>
  </si>
  <si>
    <r>
      <rPr>
        <b/>
        <sz val="16"/>
        <color theme="1"/>
        <rFont val="Times New Roman"/>
        <charset val="134"/>
      </rPr>
      <t xml:space="preserve">Buyer </t>
    </r>
    <r>
      <rPr>
        <b/>
        <sz val="16"/>
        <color theme="1"/>
        <rFont val="宋体"/>
        <charset val="134"/>
      </rPr>
      <t>购买方</t>
    </r>
  </si>
  <si>
    <r>
      <rPr>
        <b/>
        <sz val="16"/>
        <color theme="1"/>
        <rFont val="Times New Roman"/>
        <charset val="134"/>
      </rPr>
      <t>Seller</t>
    </r>
    <r>
      <rPr>
        <b/>
        <sz val="16"/>
        <color theme="1"/>
        <rFont val="宋体"/>
        <charset val="134"/>
      </rPr>
      <t>出售方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</si>
</sst>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#,##0.0_);\(#,##0.0\)"/>
    <numFmt numFmtId="181" formatCode="0_ "/>
    <numFmt numFmtId="182" formatCode="&quot;￥&quot;#,##0;&quot;￥&quot;\-#,##0"/>
    <numFmt numFmtId="183" formatCode="&quot;￥&quot;#,##0.00;&quot;￥&quot;\-#,##0.00"/>
    <numFmt numFmtId="184" formatCode="0.00_ "/>
    <numFmt numFmtId="185" formatCode="[$Rp-421]#,##0;\-[$Rp-421]#,##0"/>
    <numFmt numFmtId="186" formatCode="yyyy/m/d;@"/>
  </numFmts>
  <fonts count="49">
    <font>
      <sz val="11"/>
      <color theme="1"/>
      <name val="Calibri"/>
      <charset val="134"/>
      <scheme val="minor"/>
    </font>
    <font>
      <sz val="10"/>
      <name val="Arial"/>
      <charset val="134"/>
    </font>
    <font>
      <sz val="14"/>
      <name val="微软雅黑"/>
      <charset val="134"/>
    </font>
    <font>
      <sz val="11"/>
      <color theme="1"/>
      <name val="Times New Roman"/>
      <charset val="134"/>
    </font>
    <font>
      <sz val="11"/>
      <name val="Calibri"/>
      <charset val="134"/>
      <scheme val="minor"/>
    </font>
    <font>
      <sz val="14"/>
      <name val="Arial"/>
      <charset val="134"/>
    </font>
    <font>
      <sz val="48"/>
      <name val="宋体"/>
      <charset val="134"/>
    </font>
    <font>
      <sz val="36"/>
      <name val="宋体"/>
      <charset val="134"/>
    </font>
    <font>
      <b/>
      <sz val="12"/>
      <name val="Arial"/>
      <charset val="134"/>
    </font>
    <font>
      <sz val="14"/>
      <color rgb="FF000000"/>
      <name val="微软雅黑"/>
      <charset val="1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b/>
      <sz val="14"/>
      <name val="微软雅黑"/>
      <charset val="134"/>
    </font>
    <font>
      <sz val="18"/>
      <color rgb="FF000000"/>
      <name val="Segoe UI"/>
      <charset val="134"/>
    </font>
    <font>
      <b/>
      <sz val="12"/>
      <name val="微软雅黑"/>
      <charset val="134"/>
    </font>
    <font>
      <sz val="12"/>
      <name val="Arial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Times New Roman"/>
      <charset val="134"/>
    </font>
    <font>
      <b/>
      <sz val="14"/>
      <name val="Arial"/>
      <charset val="134"/>
    </font>
    <font>
      <b/>
      <sz val="14"/>
      <name val="宋体"/>
      <charset val="134"/>
    </font>
    <font>
      <b/>
      <sz val="16"/>
      <name val="Arial"/>
      <charset val="134"/>
    </font>
    <font>
      <sz val="14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宋体"/>
      <charset val="134"/>
    </font>
    <font>
      <b/>
      <i/>
      <sz val="28"/>
      <name val="宋体"/>
      <charset val="134"/>
    </font>
    <font>
      <sz val="12"/>
      <name val="微软雅黑"/>
      <charset val="134"/>
    </font>
    <font>
      <b/>
      <sz val="16"/>
      <name val="微软雅黑"/>
      <charset val="134"/>
    </font>
    <font>
      <b/>
      <sz val="16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24" applyNumberFormat="0" applyAlignment="0" applyProtection="0">
      <alignment vertical="center"/>
    </xf>
    <xf numFmtId="0" fontId="34" fillId="5" borderId="25" applyNumberFormat="0" applyAlignment="0" applyProtection="0">
      <alignment vertical="center"/>
    </xf>
    <xf numFmtId="0" fontId="35" fillId="5" borderId="24" applyNumberFormat="0" applyAlignment="0" applyProtection="0">
      <alignment vertical="center"/>
    </xf>
    <xf numFmtId="0" fontId="36" fillId="6" borderId="26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8" fillId="0" borderId="28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180" fontId="0" fillId="0" borderId="0">
      <alignment vertical="center"/>
    </xf>
    <xf numFmtId="0" fontId="0" fillId="0" borderId="0"/>
  </cellStyleXfs>
  <cellXfs count="8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81" fontId="1" fillId="0" borderId="0" xfId="0" applyNumberFormat="1" applyFont="1" applyFill="1" applyBorder="1" applyAlignment="1">
      <alignment horizontal="center" vertical="center"/>
    </xf>
    <xf numFmtId="182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84" fontId="6" fillId="0" borderId="1" xfId="0" applyNumberFormat="1" applyFont="1" applyFill="1" applyBorder="1" applyAlignment="1">
      <alignment horizontal="center" vertical="center" wrapText="1"/>
    </xf>
    <xf numFmtId="184" fontId="7" fillId="0" borderId="2" xfId="0" applyNumberFormat="1" applyFont="1" applyFill="1" applyBorder="1" applyAlignment="1">
      <alignment horizontal="center" vertical="center" wrapText="1"/>
    </xf>
    <xf numFmtId="184" fontId="7" fillId="0" borderId="3" xfId="0" applyNumberFormat="1" applyFont="1" applyFill="1" applyBorder="1" applyAlignment="1">
      <alignment horizontal="center" vertical="center" wrapText="1"/>
    </xf>
    <xf numFmtId="184" fontId="6" fillId="0" borderId="2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2" fillId="0" borderId="5" xfId="50" applyNumberFormat="1" applyFont="1" applyFill="1" applyBorder="1" applyAlignment="1">
      <alignment horizontal="center" vertical="center"/>
    </xf>
    <xf numFmtId="49" fontId="13" fillId="0" borderId="12" xfId="0" applyNumberFormat="1" applyFont="1" applyFill="1" applyBorder="1" applyAlignment="1">
      <alignment horizontal="center" vertical="center" wrapText="1"/>
    </xf>
    <xf numFmtId="49" fontId="13" fillId="0" borderId="13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12" fillId="0" borderId="12" xfId="50" applyNumberFormat="1" applyFont="1" applyFill="1" applyBorder="1" applyAlignment="1">
      <alignment horizontal="center" vertical="center"/>
    </xf>
    <xf numFmtId="0" fontId="12" fillId="0" borderId="14" xfId="50" applyNumberFormat="1" applyFont="1" applyFill="1" applyBorder="1" applyAlignment="1">
      <alignment horizontal="center" vertical="center"/>
    </xf>
    <xf numFmtId="0" fontId="2" fillId="0" borderId="12" xfId="50" applyNumberFormat="1" applyFont="1" applyFill="1" applyBorder="1" applyAlignment="1">
      <alignment horizontal="center" vertical="center" wrapText="1"/>
    </xf>
    <xf numFmtId="0" fontId="2" fillId="0" borderId="13" xfId="50" applyNumberFormat="1" applyFont="1" applyFill="1" applyBorder="1" applyAlignment="1">
      <alignment horizontal="center" vertical="center" wrapText="1"/>
    </xf>
    <xf numFmtId="0" fontId="14" fillId="0" borderId="5" xfId="5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8" fillId="0" borderId="5" xfId="50" applyNumberFormat="1" applyFont="1" applyFill="1" applyBorder="1" applyAlignment="1">
      <alignment horizontal="center" vertical="center" wrapText="1"/>
    </xf>
    <xf numFmtId="0" fontId="8" fillId="0" borderId="7" xfId="5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58" fontId="18" fillId="0" borderId="5" xfId="0" applyNumberFormat="1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84" fontId="6" fillId="0" borderId="3" xfId="0" applyNumberFormat="1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181" fontId="8" fillId="0" borderId="4" xfId="0" applyNumberFormat="1" applyFont="1" applyFill="1" applyBorder="1" applyAlignment="1">
      <alignment horizontal="center" vertical="center" wrapText="1"/>
    </xf>
    <xf numFmtId="182" fontId="21" fillId="0" borderId="4" xfId="0" applyNumberFormat="1" applyFont="1" applyFill="1" applyBorder="1" applyAlignment="1">
      <alignment horizontal="center" vertical="center" wrapText="1"/>
    </xf>
    <xf numFmtId="183" fontId="22" fillId="0" borderId="4" xfId="0" applyNumberFormat="1" applyFont="1" applyFill="1" applyBorder="1" applyAlignment="1">
      <alignment horizontal="center" vertical="center" wrapText="1"/>
    </xf>
    <xf numFmtId="185" fontId="10" fillId="0" borderId="5" xfId="0" applyNumberFormat="1" applyFont="1" applyFill="1" applyBorder="1" applyAlignment="1">
      <alignment horizontal="center" vertical="center"/>
    </xf>
    <xf numFmtId="49" fontId="13" fillId="0" borderId="14" xfId="0" applyNumberFormat="1" applyFont="1" applyFill="1" applyBorder="1" applyAlignment="1">
      <alignment horizontal="center" vertical="center" wrapText="1"/>
    </xf>
    <xf numFmtId="185" fontId="2" fillId="0" borderId="5" xfId="0" applyNumberFormat="1" applyFont="1" applyFill="1" applyBorder="1" applyAlignment="1">
      <alignment horizontal="center" vertical="center"/>
    </xf>
    <xf numFmtId="49" fontId="2" fillId="0" borderId="14" xfId="0" applyNumberFormat="1" applyFont="1" applyFill="1" applyBorder="1" applyAlignment="1">
      <alignment horizontal="center" vertical="center" wrapText="1"/>
    </xf>
    <xf numFmtId="185" fontId="2" fillId="0" borderId="5" xfId="50" applyNumberFormat="1" applyFont="1" applyFill="1" applyBorder="1" applyAlignment="1">
      <alignment horizontal="center" vertical="center" wrapText="1"/>
    </xf>
    <xf numFmtId="0" fontId="2" fillId="0" borderId="14" xfId="50" applyNumberFormat="1" applyFont="1" applyFill="1" applyBorder="1" applyAlignment="1">
      <alignment horizontal="center" vertical="center" wrapText="1"/>
    </xf>
    <xf numFmtId="185" fontId="2" fillId="0" borderId="5" xfId="50" applyNumberFormat="1" applyFont="1" applyFill="1" applyBorder="1" applyAlignment="1">
      <alignment vertical="center" wrapText="1"/>
    </xf>
    <xf numFmtId="181" fontId="15" fillId="0" borderId="5" xfId="0" applyNumberFormat="1" applyFont="1" applyFill="1" applyBorder="1" applyAlignment="1">
      <alignment horizontal="center" vertical="center"/>
    </xf>
    <xf numFmtId="182" fontId="5" fillId="0" borderId="5" xfId="0" applyNumberFormat="1" applyFont="1" applyFill="1" applyBorder="1" applyAlignment="1">
      <alignment horizontal="center" vertical="center"/>
    </xf>
    <xf numFmtId="183" fontId="5" fillId="0" borderId="5" xfId="0" applyNumberFormat="1" applyFont="1" applyFill="1" applyBorder="1" applyAlignment="1">
      <alignment horizontal="center" vertical="center"/>
    </xf>
    <xf numFmtId="186" fontId="8" fillId="0" borderId="5" xfId="50" applyNumberFormat="1" applyFont="1" applyFill="1" applyBorder="1" applyAlignment="1">
      <alignment horizontal="center" vertical="center" wrapText="1"/>
    </xf>
    <xf numFmtId="186" fontId="21" fillId="0" borderId="5" xfId="50" applyNumberFormat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182" fontId="1" fillId="0" borderId="17" xfId="0" applyNumberFormat="1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1" fontId="24" fillId="0" borderId="5" xfId="0" applyNumberFormat="1" applyFont="1" applyFill="1" applyBorder="1" applyAlignment="1">
      <alignment horizontal="center" vertical="center" shrinkToFit="1"/>
    </xf>
    <xf numFmtId="9" fontId="2" fillId="0" borderId="0" xfId="3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50" applyNumberFormat="1" applyFont="1" applyFill="1" applyBorder="1" applyAlignment="1">
      <alignment horizontal="center" vertical="center" wrapText="1"/>
    </xf>
    <xf numFmtId="0" fontId="2" fillId="0" borderId="5" xfId="50" applyNumberFormat="1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2" fillId="0" borderId="5" xfId="0" applyFont="1" applyFill="1" applyBorder="1" applyAlignment="1" quotePrefix="1">
      <alignment horizontal="center" vertical="center" wrapText="1"/>
    </xf>
    <xf numFmtId="0" fontId="0" fillId="0" borderId="0" xfId="0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7 3" xfId="49"/>
    <cellStyle name="Normal 2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FFC000"/>
      <color rgb="0028F87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187960</xdr:colOff>
      <xdr:row>1</xdr:row>
      <xdr:rowOff>873125</xdr:rowOff>
    </xdr:from>
    <xdr:to>
      <xdr:col>5</xdr:col>
      <xdr:colOff>1183005</xdr:colOff>
      <xdr:row>1</xdr:row>
      <xdr:rowOff>902970</xdr:rowOff>
    </xdr:to>
    <xdr:pic>
      <xdr:nvPicPr>
        <xdr:cNvPr id="2" name="Picture 3" descr=" "/>
        <xdr:cNvPicPr/>
      </xdr:nvPicPr>
      <xdr:blipFill>
        <a:blip r:embed="rId1"/>
        <a:srcRect/>
        <a:stretch>
          <a:fillRect/>
        </a:stretch>
      </xdr:blipFill>
      <xdr:spPr>
        <a:xfrm>
          <a:off x="7428865" y="3349625"/>
          <a:ext cx="923290" cy="15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jinjin\Desktop\&#26410;&#21629;&#21517;&#25991;&#20214;&#22841;\&#19975;&#40718;&#22269;&#38469;\NEW%20PRICE(T)%20&#19975;&#40718;&#22269;&#38469;&#38598;&#22242;&#26368;&#26032;&#20215;&#26684;&#24211;&#26356;&#26032;202511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etersediaan_stok_penjualan_vantsingindones_26020211574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PRICE(T)%20&#19975;&#40718;&#22269;&#38469;&#38598;&#22242;&#26368;&#26032;&#20215;&#26684;&#24211;&#26356;&#26032;202511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ESSO管材"/>
      <sheetName val="LESSO GREY PIPE"/>
      <sheetName val="国标管件"/>
      <sheetName val="MR ZOU"/>
      <sheetName val="system"/>
      <sheetName val="Sheet5"/>
      <sheetName val="铝扣板装修材料"/>
      <sheetName val="矿棉板装修材料"/>
      <sheetName val="石膏板吊顶材料"/>
      <sheetName val="库存表格"/>
      <sheetName val="Sheet2"/>
      <sheetName val="Sheet3"/>
      <sheetName val="清关流程"/>
      <sheetName val="工作表12"/>
      <sheetName val="Sheet1"/>
    </sheetNames>
    <sheetDataSet>
      <sheetData sheetId="0">
        <row r="1">
          <cell r="G1" t="str">
            <v>EXCLUDE TAX
出厂价_不含税</v>
          </cell>
          <cell r="H1" t="str">
            <v>EXCLUDE TAX
出厂价_不含税</v>
          </cell>
          <cell r="I1" t="str">
            <v>（二级代理）A级别</v>
          </cell>
        </row>
        <row r="1">
          <cell r="K1" t="str">
            <v>（一级代理）B级别</v>
          </cell>
        </row>
        <row r="2">
          <cell r="C2" t="str">
            <v>Material</v>
          </cell>
          <cell r="D2" t="str">
            <v>Describrition</v>
          </cell>
          <cell r="E2" t="str">
            <v>Describrition_English</v>
          </cell>
        </row>
        <row r="2">
          <cell r="I2" t="str">
            <v>利润率</v>
          </cell>
          <cell r="J2" t="str">
            <v>报单价格</v>
          </cell>
          <cell r="K2" t="str">
            <v>利润率</v>
          </cell>
          <cell r="L2" t="str">
            <v>报单价格</v>
          </cell>
        </row>
        <row r="3">
          <cell r="C3">
            <v>8010012683</v>
          </cell>
          <cell r="D3" t="str">
            <v>印尼(日标)PVC-U给水扩直口管(AW给水系列)白色 DN16(1/2") 4M/根 联塑</v>
          </cell>
          <cell r="E3" t="str">
            <v>JIS PVC-U AW Pipe DN16 (1/2") 4M/pcs White - LESSO</v>
          </cell>
        </row>
        <row r="3">
          <cell r="G3">
            <v>12539</v>
          </cell>
          <cell r="H3">
            <v>12539</v>
          </cell>
          <cell r="I3">
            <v>0.08</v>
          </cell>
          <cell r="J3">
            <v>13630</v>
          </cell>
          <cell r="K3">
            <v>0.06</v>
          </cell>
          <cell r="L3">
            <v>13339</v>
          </cell>
        </row>
        <row r="4">
          <cell r="C4">
            <v>8010012684</v>
          </cell>
          <cell r="D4" t="str">
            <v>印尼(日标)PVC-U给水扩直口管(AW给水系列)白色 DN20(3/4") 4M/根 联塑</v>
          </cell>
          <cell r="E4" t="str">
            <v>JIS PVC-U AW Pipe DN20 (3/4") 4M/pcs White - LESSO</v>
          </cell>
        </row>
        <row r="4">
          <cell r="G4">
            <v>17042</v>
          </cell>
          <cell r="H4">
            <v>17042</v>
          </cell>
          <cell r="I4">
            <v>0.08</v>
          </cell>
          <cell r="J4">
            <v>18524</v>
          </cell>
          <cell r="K4">
            <v>0.06</v>
          </cell>
          <cell r="L4">
            <v>18130</v>
          </cell>
        </row>
        <row r="5">
          <cell r="C5">
            <v>8010012691</v>
          </cell>
          <cell r="D5" t="str">
            <v>印尼(日标)PVC-U给水扩直口管(AW给水系列)白色 DN25(1") 4M/根 联塑</v>
          </cell>
          <cell r="E5" t="str">
            <v>JIS PVC-U AW Pipe DN25 (1") 4M/pcs White - LESSO</v>
          </cell>
        </row>
        <row r="5">
          <cell r="G5">
            <v>23297</v>
          </cell>
          <cell r="H5">
            <v>23297</v>
          </cell>
          <cell r="I5">
            <v>0.08</v>
          </cell>
          <cell r="J5">
            <v>25323</v>
          </cell>
          <cell r="K5">
            <v>0.06</v>
          </cell>
          <cell r="L5">
            <v>24784</v>
          </cell>
        </row>
        <row r="6">
          <cell r="C6">
            <v>8010012692</v>
          </cell>
          <cell r="D6" t="str">
            <v>印尼(日标)PVC-U给水扩直口管(AW给水系列)白色 DN35(1-1/4") 4M/根 联塑</v>
          </cell>
          <cell r="E6" t="str">
            <v>JIS PVC-U AW Pipe DN35 (1-1/4") 4M/pcs White - LESSO</v>
          </cell>
        </row>
        <row r="6">
          <cell r="G6">
            <v>39117</v>
          </cell>
          <cell r="H6">
            <v>39117</v>
          </cell>
          <cell r="I6">
            <v>0.08</v>
          </cell>
          <cell r="J6">
            <v>42519</v>
          </cell>
          <cell r="K6">
            <v>0.06</v>
          </cell>
          <cell r="L6">
            <v>41614</v>
          </cell>
        </row>
        <row r="7">
          <cell r="C7">
            <v>8010012693</v>
          </cell>
          <cell r="D7" t="str">
            <v>印尼(日标)PVC-U给水扩直口管(AW给水系列)白色 DN40(1-1/2") 4M/根 联塑</v>
          </cell>
          <cell r="E7" t="str">
            <v>JIS PVC-U AW Pipe DN40 (1-1/2") 4M/pcs White - LESSO</v>
          </cell>
        </row>
        <row r="7">
          <cell r="G7">
            <v>39741</v>
          </cell>
          <cell r="H7">
            <v>39741</v>
          </cell>
          <cell r="I7">
            <v>0.08</v>
          </cell>
          <cell r="J7">
            <v>43197</v>
          </cell>
          <cell r="K7">
            <v>0.06</v>
          </cell>
          <cell r="L7">
            <v>42278</v>
          </cell>
        </row>
        <row r="8">
          <cell r="C8">
            <v>8010012694</v>
          </cell>
          <cell r="D8" t="str">
            <v>印尼(日标)PVC-U给水扩直口管(AW给水系列)白色 DN50(2") 4M/根 联塑</v>
          </cell>
          <cell r="E8" t="str">
            <v>JIS PVC-U AW Pipe DN50 (2") 4M/pcs White - LESSO</v>
          </cell>
        </row>
        <row r="8">
          <cell r="G8">
            <v>51076</v>
          </cell>
          <cell r="H8">
            <v>51076</v>
          </cell>
          <cell r="I8">
            <v>0.08</v>
          </cell>
          <cell r="J8">
            <v>55518</v>
          </cell>
          <cell r="K8">
            <v>0.06</v>
          </cell>
          <cell r="L8">
            <v>54336</v>
          </cell>
        </row>
        <row r="9">
          <cell r="C9">
            <v>8010012695</v>
          </cell>
          <cell r="D9" t="str">
            <v>印尼(日标)PVC-U给水扩直口管(AW给水系列)白色 DN65(2-1/2") 4M/根 联塑</v>
          </cell>
          <cell r="E9" t="str">
            <v>JIS PVC-U AW Pipe DN65 (2-1/2") 4M/pcs White - LESSO</v>
          </cell>
        </row>
        <row r="9">
          <cell r="G9">
            <v>83622</v>
          </cell>
          <cell r="H9">
            <v>83622</v>
          </cell>
          <cell r="I9">
            <v>0.08</v>
          </cell>
          <cell r="J9">
            <v>90894</v>
          </cell>
          <cell r="K9">
            <v>0.06</v>
          </cell>
          <cell r="L9">
            <v>88960</v>
          </cell>
        </row>
        <row r="10">
          <cell r="C10">
            <v>8010012696</v>
          </cell>
          <cell r="D10" t="str">
            <v>印尼(日标)PVC-U给水扩直口管(AW给水系列)白色 DN75(3") 4M/根 联塑</v>
          </cell>
          <cell r="E10" t="str">
            <v>JIS PVC-U AW Pipe DN75 (3") 4M/pcs White - LESSO</v>
          </cell>
        </row>
        <row r="10">
          <cell r="G10">
            <v>104862</v>
          </cell>
          <cell r="H10">
            <v>104862</v>
          </cell>
          <cell r="I10">
            <v>0.08</v>
          </cell>
          <cell r="J10">
            <v>113981</v>
          </cell>
          <cell r="K10">
            <v>0.06</v>
          </cell>
          <cell r="L10">
            <v>111555</v>
          </cell>
        </row>
        <row r="11">
          <cell r="C11">
            <v>8010012697</v>
          </cell>
          <cell r="D11" t="str">
            <v>印尼(日标)PVC-U给水扩直口管(AW给水系列)白色 DN100(4") 4M/根 联塑</v>
          </cell>
          <cell r="E11" t="str">
            <v>JIS PVC-U AW Pipe DN100 (4") 4M/pcs White - LESSO</v>
          </cell>
        </row>
        <row r="11">
          <cell r="G11">
            <v>173658</v>
          </cell>
          <cell r="H11">
            <v>173658</v>
          </cell>
          <cell r="I11">
            <v>0.08</v>
          </cell>
          <cell r="J11">
            <v>188759</v>
          </cell>
          <cell r="K11">
            <v>0.06</v>
          </cell>
          <cell r="L11">
            <v>184743</v>
          </cell>
        </row>
        <row r="12">
          <cell r="C12">
            <v>8010013700</v>
          </cell>
          <cell r="D12" t="str">
            <v>印尼(日标)PVC-U给水扩直口管(AW给水系列)白色 DN125(5") 4M/根 联塑</v>
          </cell>
          <cell r="E12" t="str">
            <v>JIS PVC-U AW Pipe DN125 (5") 4M/pcs White - LESSO</v>
          </cell>
        </row>
        <row r="12">
          <cell r="G12">
            <v>309131</v>
          </cell>
          <cell r="H12">
            <v>309131</v>
          </cell>
          <cell r="I12">
            <v>0.08</v>
          </cell>
          <cell r="J12">
            <v>336012</v>
          </cell>
          <cell r="K12">
            <v>0.06</v>
          </cell>
          <cell r="L12">
            <v>328863</v>
          </cell>
        </row>
        <row r="13">
          <cell r="C13">
            <v>8010012698</v>
          </cell>
          <cell r="D13" t="str">
            <v>印尼(日标)PVC-U给水扩直口管(AW给水系列)白色 DN150(6") 4M/根 联塑</v>
          </cell>
          <cell r="E13" t="str">
            <v>JIS PVC-U AW Pipe DN150 (6") 4M/pcs White - LESSO</v>
          </cell>
        </row>
        <row r="13">
          <cell r="G13">
            <v>385831</v>
          </cell>
          <cell r="H13">
            <v>385831</v>
          </cell>
          <cell r="I13">
            <v>0.08</v>
          </cell>
          <cell r="J13">
            <v>419382</v>
          </cell>
          <cell r="K13">
            <v>0.06</v>
          </cell>
          <cell r="L13">
            <v>410459</v>
          </cell>
        </row>
        <row r="14">
          <cell r="C14">
            <v>8010013701</v>
          </cell>
          <cell r="D14" t="str">
            <v>印尼(日标)PVC-U给水扩直口管(AW给水系列)白色 DN200(8") 4M/根 联塑</v>
          </cell>
          <cell r="E14" t="str">
            <v>JIS PVC-U AW Pipe DN200 (8") 4M/pcs White - LESSO</v>
          </cell>
        </row>
        <row r="14">
          <cell r="G14">
            <v>727297</v>
          </cell>
          <cell r="H14">
            <v>727297</v>
          </cell>
          <cell r="I14">
            <v>0.08</v>
          </cell>
          <cell r="J14">
            <v>790541</v>
          </cell>
          <cell r="K14">
            <v>0.06</v>
          </cell>
          <cell r="L14">
            <v>773720</v>
          </cell>
        </row>
        <row r="15">
          <cell r="C15">
            <v>8010013702</v>
          </cell>
          <cell r="D15" t="str">
            <v>印尼(日标)PVC-U给水扩直口管(AW给水系列)白色 DN250(10") 4M/根 联塑</v>
          </cell>
          <cell r="E15" t="str">
            <v>JIS PVC-U AW Pipe DN250 (10") 4M/pcs White - LESSO</v>
          </cell>
        </row>
        <row r="15">
          <cell r="G15">
            <v>1124324</v>
          </cell>
          <cell r="H15">
            <v>1124324</v>
          </cell>
          <cell r="I15">
            <v>0.08</v>
          </cell>
          <cell r="J15">
            <v>1222092</v>
          </cell>
          <cell r="K15">
            <v>0.06</v>
          </cell>
          <cell r="L15">
            <v>1196089</v>
          </cell>
        </row>
        <row r="16">
          <cell r="C16">
            <v>8010013703</v>
          </cell>
          <cell r="D16" t="str">
            <v>印尼(日标)PVC-U给水扩直口管(AW给水系列)白色 DN300(12") 4M/根 联塑</v>
          </cell>
          <cell r="E16" t="str">
            <v>JIS PVC-U AW Pipe DN300 (12") 4M/pcs White - LESSO</v>
          </cell>
        </row>
        <row r="16">
          <cell r="G16">
            <v>1271306</v>
          </cell>
          <cell r="H16">
            <v>1271306</v>
          </cell>
          <cell r="I16">
            <v>0.08</v>
          </cell>
          <cell r="J16">
            <v>1381855</v>
          </cell>
          <cell r="K16">
            <v>0.06</v>
          </cell>
          <cell r="L16">
            <v>1352453</v>
          </cell>
        </row>
        <row r="17">
          <cell r="C17">
            <v>8020012377</v>
          </cell>
          <cell r="D17" t="str">
            <v>印尼(日标)PVC-U排水扩直口管(D排水系列)白色 DN35 (1-1/4") 4M/根 联塑</v>
          </cell>
          <cell r="E17" t="str">
            <v>JIS PVC-U Pipe (D) DN35 (1-1/4") 4M/pcs White - LESSO</v>
          </cell>
        </row>
        <row r="17">
          <cell r="G17">
            <v>21710</v>
          </cell>
          <cell r="H17">
            <v>21710</v>
          </cell>
          <cell r="I17">
            <v>0.08</v>
          </cell>
          <cell r="J17">
            <v>23598</v>
          </cell>
          <cell r="K17">
            <v>0.06</v>
          </cell>
          <cell r="L17">
            <v>23096</v>
          </cell>
        </row>
        <row r="18">
          <cell r="C18">
            <v>8020012378</v>
          </cell>
          <cell r="D18" t="str">
            <v>印尼(日标)PVC-U排水扩直口管(D排水系列)白色 DN40 (1-1/2") 4M/根 联塑</v>
          </cell>
          <cell r="E18" t="str">
            <v>JIS PVC-U Pipe (D) DN40 (1-1/2") 4M/pcs White - LESSO</v>
          </cell>
        </row>
        <row r="18">
          <cell r="G18">
            <v>24560</v>
          </cell>
          <cell r="H18">
            <v>24560</v>
          </cell>
          <cell r="I18">
            <v>0.08</v>
          </cell>
          <cell r="J18">
            <v>26696</v>
          </cell>
          <cell r="K18">
            <v>0.06</v>
          </cell>
          <cell r="L18">
            <v>26128</v>
          </cell>
        </row>
        <row r="19">
          <cell r="C19">
            <v>8020012379</v>
          </cell>
          <cell r="D19" t="str">
            <v>印尼(日标)PVC-U排水扩直口管(D排水系列)白色 DN50 (2") 4M/根 联塑</v>
          </cell>
          <cell r="E19" t="str">
            <v>JIS PVC-U Pipe (D) DN50 (2") 4M/pcs White - LESSO</v>
          </cell>
        </row>
        <row r="19">
          <cell r="G19">
            <v>31687</v>
          </cell>
          <cell r="H19">
            <v>31687</v>
          </cell>
          <cell r="I19">
            <v>0.08</v>
          </cell>
          <cell r="J19">
            <v>34443</v>
          </cell>
          <cell r="K19">
            <v>0.06</v>
          </cell>
          <cell r="L19">
            <v>33710</v>
          </cell>
        </row>
        <row r="20">
          <cell r="C20">
            <v>8020012380</v>
          </cell>
          <cell r="D20" t="str">
            <v>印尼(日标)PVC-U排水扩直口管(D排水系列)白色 DN65 (2-1/2") 4M/根 联塑</v>
          </cell>
          <cell r="E20" t="str">
            <v>JIS PVC-U Pipe (D) DN65 (2-1/2") 4M/pcs White - LESSO</v>
          </cell>
        </row>
        <row r="20">
          <cell r="G20">
            <v>42539</v>
          </cell>
          <cell r="H20">
            <v>42539</v>
          </cell>
          <cell r="I20">
            <v>0.08</v>
          </cell>
          <cell r="J20">
            <v>46239</v>
          </cell>
          <cell r="K20">
            <v>0.06</v>
          </cell>
          <cell r="L20">
            <v>45254</v>
          </cell>
        </row>
        <row r="21">
          <cell r="C21">
            <v>8020012381</v>
          </cell>
          <cell r="D21" t="str">
            <v>印尼(日标)PVC-U排水扩直口管(D排水系列)白色 DN75 (3") 4M/根 联塑</v>
          </cell>
          <cell r="E21" t="str">
            <v>JIS PVC-U Pipe (D) DN75 (3") 4M/pcs White - LESSO</v>
          </cell>
        </row>
        <row r="21">
          <cell r="G21">
            <v>59936</v>
          </cell>
          <cell r="H21">
            <v>59936</v>
          </cell>
          <cell r="I21">
            <v>0.08</v>
          </cell>
          <cell r="J21">
            <v>65148</v>
          </cell>
          <cell r="K21">
            <v>0.06</v>
          </cell>
          <cell r="L21">
            <v>63762</v>
          </cell>
        </row>
        <row r="22">
          <cell r="C22">
            <v>8020012382</v>
          </cell>
          <cell r="D22" t="str">
            <v>印尼(日标)PVC-U排水扩直口管(D排水系列)白色 DN100 (4") 4M/根 联塑</v>
          </cell>
          <cell r="E22" t="str">
            <v>JIS PVC-U Pipe (D) DN100(4") 4M/pcs White - LESSO</v>
          </cell>
          <cell r="F22">
            <v>89278.3783783784</v>
          </cell>
          <cell r="G22">
            <v>89278</v>
          </cell>
          <cell r="H22">
            <v>89278</v>
          </cell>
          <cell r="I22">
            <v>0.08</v>
          </cell>
          <cell r="J22">
            <v>97042</v>
          </cell>
          <cell r="K22">
            <v>0.06</v>
          </cell>
          <cell r="L22">
            <v>94977</v>
          </cell>
        </row>
        <row r="23">
          <cell r="C23">
            <v>8020013759</v>
          </cell>
          <cell r="D23" t="str">
            <v>印尼(日标)PVC-U排水扩直口管(D排水系列)白色 DN125 (5") 4M/根 联塑</v>
          </cell>
          <cell r="E23" t="str">
            <v>JIS PVC-U Pipe (D) DN125 (5") 4M/pcs White - LESSO</v>
          </cell>
        </row>
        <row r="23">
          <cell r="G23">
            <v>154360</v>
          </cell>
          <cell r="H23">
            <v>154360</v>
          </cell>
          <cell r="I23">
            <v>0.08</v>
          </cell>
          <cell r="J23">
            <v>167783</v>
          </cell>
          <cell r="K23">
            <v>0.06</v>
          </cell>
          <cell r="L23">
            <v>164213</v>
          </cell>
        </row>
        <row r="24">
          <cell r="C24">
            <v>8020012383</v>
          </cell>
          <cell r="D24" t="str">
            <v>印尼(日标)PVC-U排水扩直口管(D排水系列)白色 DN150 (6") 4M/根 联塑</v>
          </cell>
          <cell r="E24" t="str">
            <v>JIS PVC-U Pipe (D) DN150(6") 4M/pcs White - LESSO</v>
          </cell>
        </row>
        <row r="24">
          <cell r="G24">
            <v>181163</v>
          </cell>
          <cell r="H24">
            <v>181163</v>
          </cell>
          <cell r="I24">
            <v>0.08</v>
          </cell>
          <cell r="J24">
            <v>196917</v>
          </cell>
          <cell r="K24">
            <v>0.06</v>
          </cell>
          <cell r="L24">
            <v>192727</v>
          </cell>
        </row>
        <row r="25">
          <cell r="C25">
            <v>8020013760</v>
          </cell>
          <cell r="D25" t="str">
            <v>印尼(日标)PVC-U排水扩直口管(D排水系列)白色 DN200 (8") 4M/根 联塑</v>
          </cell>
          <cell r="E25" t="str">
            <v>JIS PVC-U Pipe (D) DN200 (8") 4M/pcs White - LESSO</v>
          </cell>
        </row>
        <row r="25">
          <cell r="G25">
            <v>357851</v>
          </cell>
          <cell r="H25">
            <v>357851</v>
          </cell>
          <cell r="I25">
            <v>0.08</v>
          </cell>
          <cell r="J25">
            <v>388969</v>
          </cell>
          <cell r="K25">
            <v>0.06</v>
          </cell>
          <cell r="L25">
            <v>380693</v>
          </cell>
        </row>
        <row r="26">
          <cell r="C26">
            <v>8020013761</v>
          </cell>
          <cell r="D26" t="str">
            <v>印尼(日标)PVC-U排水扩直口管(D排水系列)白色 DN250 (10") 4M/根 联塑</v>
          </cell>
          <cell r="E26" t="str">
            <v>JIS PVC-U Pipe (D) DN250 (10") 4M/pcs White - LESSO</v>
          </cell>
        </row>
        <row r="26">
          <cell r="G26">
            <v>589450</v>
          </cell>
          <cell r="H26">
            <v>589450</v>
          </cell>
          <cell r="I26">
            <v>0.08</v>
          </cell>
          <cell r="J26">
            <v>640707</v>
          </cell>
          <cell r="K26">
            <v>0.06</v>
          </cell>
          <cell r="L26">
            <v>627074</v>
          </cell>
        </row>
        <row r="27">
          <cell r="C27">
            <v>8020013762</v>
          </cell>
          <cell r="D27" t="str">
            <v>印尼(日标)PVC-U排水扩直口管(D排水系列)白色 DN300 (12") 4M/根 联塑</v>
          </cell>
          <cell r="E27" t="str">
            <v>JIS PVC-U Pipe (D) DN300 (12") 4M/pcs White - LESSO</v>
          </cell>
        </row>
        <row r="27">
          <cell r="G27">
            <v>827432</v>
          </cell>
          <cell r="H27">
            <v>827432</v>
          </cell>
          <cell r="I27">
            <v>0.08</v>
          </cell>
          <cell r="J27">
            <v>899383</v>
          </cell>
          <cell r="K27">
            <v>0.06</v>
          </cell>
          <cell r="L27">
            <v>880247</v>
          </cell>
        </row>
        <row r="28">
          <cell r="C28">
            <v>8010024550</v>
          </cell>
          <cell r="D28" t="str">
            <v>直通印尼(日标)PVC-U管件(AW给水系列)灰色 DN16 (1/2") 联塑</v>
          </cell>
          <cell r="E28" t="str">
            <v>JIS PVC-U Socket (AW) DN16 (1/2") Grey - LESSO</v>
          </cell>
        </row>
        <row r="28">
          <cell r="G28">
            <v>982</v>
          </cell>
          <cell r="H28">
            <v>982</v>
          </cell>
          <cell r="I28">
            <v>0.12</v>
          </cell>
          <cell r="J28">
            <v>1116</v>
          </cell>
          <cell r="K28">
            <v>0.1</v>
          </cell>
          <cell r="L28">
            <v>1091</v>
          </cell>
        </row>
        <row r="29">
          <cell r="C29">
            <v>8010024551</v>
          </cell>
          <cell r="D29" t="str">
            <v>直通印尼(日标)PVC-U管件(AW给水系列)灰色 DN20 (3/4") 联塑</v>
          </cell>
          <cell r="E29" t="str">
            <v>JIS PVC-U Socket (AW) DN20 (3/4") Grey - LESSO</v>
          </cell>
        </row>
        <row r="29">
          <cell r="G29">
            <v>1161</v>
          </cell>
          <cell r="H29">
            <v>1161</v>
          </cell>
          <cell r="I29">
            <v>0.12</v>
          </cell>
          <cell r="J29">
            <v>1320</v>
          </cell>
          <cell r="K29">
            <v>0.1</v>
          </cell>
          <cell r="L29">
            <v>1290</v>
          </cell>
        </row>
        <row r="30">
          <cell r="C30">
            <v>8010024448</v>
          </cell>
          <cell r="D30" t="str">
            <v>直通印尼(日标)PVC-U管件(AW给水系列)灰色 DN25 (1") 联塑</v>
          </cell>
          <cell r="E30" t="str">
            <v>JIS PVC-U Socket (AW) DN25 (1") Grey - LESSO</v>
          </cell>
        </row>
        <row r="30">
          <cell r="G30">
            <v>1697</v>
          </cell>
          <cell r="H30">
            <v>1697</v>
          </cell>
          <cell r="I30">
            <v>0.12</v>
          </cell>
          <cell r="J30">
            <v>1929</v>
          </cell>
          <cell r="K30">
            <v>0.1</v>
          </cell>
          <cell r="L30">
            <v>1886</v>
          </cell>
        </row>
        <row r="31">
          <cell r="C31">
            <v>8010024386</v>
          </cell>
          <cell r="D31" t="str">
            <v>直通印尼(日标)PVC-U管件(AW给水系列)灰色 DN35 (1-1/4") 联塑</v>
          </cell>
          <cell r="E31" t="str">
            <v>JIS PVC-U Socket (AW) DN35 (1-1/4") Grey - LESSO</v>
          </cell>
        </row>
        <row r="31">
          <cell r="G31">
            <v>3215</v>
          </cell>
          <cell r="H31">
            <v>3215</v>
          </cell>
          <cell r="I31">
            <v>0.12</v>
          </cell>
          <cell r="J31">
            <v>3654</v>
          </cell>
          <cell r="K31">
            <v>0.1</v>
          </cell>
          <cell r="L31">
            <v>3572</v>
          </cell>
        </row>
        <row r="32">
          <cell r="C32">
            <v>8010024387</v>
          </cell>
          <cell r="D32" t="str">
            <v>直通印尼(日标)PVC-U管件(AW给水系列)灰色 DN40 (1-1/2") 联塑</v>
          </cell>
          <cell r="E32" t="str">
            <v>JIS PVC-U Socket (AW) DN40 (1-1/2") Grey - LESSO</v>
          </cell>
        </row>
        <row r="32">
          <cell r="G32">
            <v>4597</v>
          </cell>
          <cell r="H32">
            <v>4597</v>
          </cell>
          <cell r="I32">
            <v>0.12</v>
          </cell>
          <cell r="J32">
            <v>5224</v>
          </cell>
          <cell r="K32">
            <v>0.1</v>
          </cell>
          <cell r="L32">
            <v>5108</v>
          </cell>
        </row>
        <row r="33">
          <cell r="C33">
            <v>8010024812</v>
          </cell>
          <cell r="D33" t="str">
            <v>直通印尼(日标)PVC-U管件(AW给水系列)灰色 DN50 (2") 联塑</v>
          </cell>
          <cell r="E33" t="str">
            <v>JIS PVC-U Socket (AW) DN50 (2") Grey - LESSO</v>
          </cell>
        </row>
        <row r="33">
          <cell r="G33">
            <v>7072</v>
          </cell>
          <cell r="H33">
            <v>7072</v>
          </cell>
          <cell r="I33">
            <v>0.12</v>
          </cell>
          <cell r="J33">
            <v>8037</v>
          </cell>
          <cell r="K33">
            <v>0.1</v>
          </cell>
          <cell r="L33">
            <v>7858</v>
          </cell>
        </row>
        <row r="34">
          <cell r="C34">
            <v>8010024327</v>
          </cell>
          <cell r="D34" t="str">
            <v>直通印尼(日标)PVC-U管件(AW给水系列)灰色 DN65 (2-1/2") 联塑</v>
          </cell>
          <cell r="E34" t="str">
            <v>JIS PVC-U Socket (AW) DN65 (2-1/2") Grey - LESSO</v>
          </cell>
        </row>
        <row r="34">
          <cell r="G34">
            <v>11890</v>
          </cell>
          <cell r="H34">
            <v>11890</v>
          </cell>
          <cell r="I34">
            <v>0.12</v>
          </cell>
          <cell r="J34">
            <v>13512</v>
          </cell>
          <cell r="K34">
            <v>0.1</v>
          </cell>
          <cell r="L34">
            <v>13211</v>
          </cell>
        </row>
        <row r="35">
          <cell r="C35">
            <v>8010024552</v>
          </cell>
          <cell r="D35" t="str">
            <v>直通印尼(日标)PVC-U管件(AW给水系列)灰色 DN75 (3") 联塑</v>
          </cell>
          <cell r="E35" t="str">
            <v>JIS PVC-U Socket (AW) DN75 (3") Grey - LESSO</v>
          </cell>
        </row>
        <row r="35">
          <cell r="G35">
            <v>16923</v>
          </cell>
          <cell r="H35">
            <v>16923</v>
          </cell>
          <cell r="I35">
            <v>0.12</v>
          </cell>
          <cell r="J35">
            <v>19231</v>
          </cell>
          <cell r="K35">
            <v>0.1</v>
          </cell>
          <cell r="L35">
            <v>18803</v>
          </cell>
        </row>
        <row r="36">
          <cell r="C36">
            <v>8010024388</v>
          </cell>
          <cell r="D36" t="str">
            <v>直通印尼(日标)PVC-U管件(AW给水系列)灰色 DN100 (4") 联塑</v>
          </cell>
          <cell r="E36" t="str">
            <v>JIS PVC-U Socket (AW) DN100 (4") Grey - LESSO</v>
          </cell>
        </row>
        <row r="36">
          <cell r="G36">
            <v>33050</v>
          </cell>
          <cell r="H36">
            <v>33050</v>
          </cell>
          <cell r="I36">
            <v>0.12</v>
          </cell>
          <cell r="J36">
            <v>37557</v>
          </cell>
          <cell r="K36">
            <v>0.1</v>
          </cell>
          <cell r="L36">
            <v>36722</v>
          </cell>
        </row>
        <row r="37">
          <cell r="C37">
            <v>8010024948</v>
          </cell>
          <cell r="D37" t="str">
            <v>直通印尼(日标)PVC-U管件(AW给水系列)灰色 DN150 (6") 联塑</v>
          </cell>
          <cell r="E37" t="str">
            <v>JIS PVC-U Socket (AW) DN150 (6") Grey - LESSO</v>
          </cell>
        </row>
        <row r="37">
          <cell r="G37">
            <v>69549</v>
          </cell>
          <cell r="H37">
            <v>69549</v>
          </cell>
          <cell r="I37">
            <v>0.12</v>
          </cell>
          <cell r="J37">
            <v>79033</v>
          </cell>
          <cell r="K37">
            <v>0.1</v>
          </cell>
          <cell r="L37">
            <v>77277</v>
          </cell>
        </row>
        <row r="38">
          <cell r="C38">
            <v>8011021615</v>
          </cell>
          <cell r="D38" t="str">
            <v>直通印尼(日标)PVC-U管件(AW给水系列)灰色 DN200 (8") 联塑</v>
          </cell>
          <cell r="E38" t="str">
            <v>JIS PVC-U Socket (AW) DN200 (8") Grey - LESSO</v>
          </cell>
        </row>
        <row r="38">
          <cell r="G38">
            <v>130988</v>
          </cell>
          <cell r="H38">
            <v>130988</v>
          </cell>
          <cell r="I38">
            <v>0.12</v>
          </cell>
          <cell r="J38">
            <v>148850</v>
          </cell>
          <cell r="K38">
            <v>0.1</v>
          </cell>
          <cell r="L38">
            <v>145542</v>
          </cell>
        </row>
        <row r="39">
          <cell r="C39">
            <v>8011021692</v>
          </cell>
          <cell r="D39" t="str">
            <v>直通印尼(日标)PVC-U管件(AW给水系列)灰色 DN250 (10") 联塑</v>
          </cell>
          <cell r="E39" t="str">
            <v>JIS PVC-U Socket (AW) DN250 (10)" Grey - LESSO</v>
          </cell>
        </row>
        <row r="39">
          <cell r="G39">
            <v>172033</v>
          </cell>
          <cell r="H39">
            <v>172033</v>
          </cell>
          <cell r="I39">
            <v>0.12</v>
          </cell>
          <cell r="J39">
            <v>195493</v>
          </cell>
          <cell r="K39">
            <v>0.1</v>
          </cell>
          <cell r="L39">
            <v>191148</v>
          </cell>
        </row>
        <row r="40">
          <cell r="C40">
            <v>8011021693</v>
          </cell>
          <cell r="D40" t="str">
            <v>直通印尼(日标)PVC-U管件(AW给水系列)灰色 DN300 (12") 联塑</v>
          </cell>
          <cell r="E40" t="str">
            <v>JIS PVC-U Socket (AW) DN300 (12") Grey - LESSO</v>
          </cell>
        </row>
        <row r="40">
          <cell r="G40">
            <v>247536</v>
          </cell>
          <cell r="H40">
            <v>247536</v>
          </cell>
          <cell r="I40">
            <v>0.12</v>
          </cell>
          <cell r="J40">
            <v>281291</v>
          </cell>
          <cell r="K40">
            <v>0.1</v>
          </cell>
          <cell r="L40">
            <v>275040</v>
          </cell>
        </row>
        <row r="41">
          <cell r="C41">
            <v>8010024350</v>
          </cell>
          <cell r="D41" t="str">
            <v>90°弯头印尼(日标)PVC-U管件(AW给水系列)灰色 DN16 (1/2") 联塑</v>
          </cell>
          <cell r="E41" t="str">
            <v>JIS PVC-U 90° Elbow (AW) DN16 (1/2") Grey - LESSO</v>
          </cell>
        </row>
        <row r="41">
          <cell r="G41">
            <v>1182</v>
          </cell>
          <cell r="H41">
            <v>1182</v>
          </cell>
          <cell r="I41">
            <v>0.12</v>
          </cell>
          <cell r="J41">
            <v>1344</v>
          </cell>
          <cell r="K41">
            <v>0.1</v>
          </cell>
          <cell r="L41">
            <v>1313</v>
          </cell>
        </row>
        <row r="42">
          <cell r="C42">
            <v>8010024351</v>
          </cell>
          <cell r="D42" t="str">
            <v>90°弯头印尼(日标)PVC-U管件(AW给水系列)灰色 DN20 (3/4") 联塑</v>
          </cell>
          <cell r="E42" t="str">
            <v>JIS PVC-U 90° Elbow (AW) DN20 (3/4") Grey - LESSO</v>
          </cell>
        </row>
        <row r="42">
          <cell r="G42">
            <v>1422</v>
          </cell>
          <cell r="H42">
            <v>1422</v>
          </cell>
          <cell r="I42">
            <v>0.12</v>
          </cell>
          <cell r="J42">
            <v>1616</v>
          </cell>
          <cell r="K42">
            <v>0.1</v>
          </cell>
          <cell r="L42">
            <v>1580</v>
          </cell>
        </row>
        <row r="43">
          <cell r="C43">
            <v>8010024318</v>
          </cell>
          <cell r="D43" t="str">
            <v>90°弯头印尼(日标)PVC-U管件(AW给水系列)灰色 DN25 (1") 联塑</v>
          </cell>
          <cell r="E43" t="str">
            <v>JIS PVC-U 90° Elbow (AW) DN25 (1") Grey - LESSO</v>
          </cell>
        </row>
        <row r="43">
          <cell r="G43">
            <v>2088</v>
          </cell>
          <cell r="H43">
            <v>2088</v>
          </cell>
          <cell r="I43">
            <v>0.12</v>
          </cell>
          <cell r="J43">
            <v>2373</v>
          </cell>
          <cell r="K43">
            <v>0.1</v>
          </cell>
          <cell r="L43">
            <v>2320</v>
          </cell>
        </row>
        <row r="44">
          <cell r="C44">
            <v>8010024352</v>
          </cell>
          <cell r="D44" t="str">
            <v>90°弯头印尼(日标)PVC-U管件(AW给水系列)灰色 DN35 (1-1/4") 联塑</v>
          </cell>
          <cell r="E44" t="str">
            <v>JIS PVC-U 90° Elbow (AW) DN35 (1-1/4") Grey - LESSO</v>
          </cell>
        </row>
        <row r="44">
          <cell r="G44">
            <v>4133</v>
          </cell>
          <cell r="H44">
            <v>4133</v>
          </cell>
          <cell r="I44">
            <v>0.12</v>
          </cell>
          <cell r="J44">
            <v>4697</v>
          </cell>
          <cell r="K44">
            <v>0.1</v>
          </cell>
          <cell r="L44">
            <v>4592</v>
          </cell>
        </row>
        <row r="45">
          <cell r="C45">
            <v>8010024403</v>
          </cell>
          <cell r="D45" t="str">
            <v>90°弯头印尼(日标)PVC-U管件(AW给水系列)灰色 DN40 (1-1/2") 联塑</v>
          </cell>
          <cell r="E45" t="str">
            <v>JIS PVC-U 90° Elbow (AW) DN40 (1-1/2") Grey - LESSO</v>
          </cell>
        </row>
        <row r="45">
          <cell r="G45">
            <v>5658</v>
          </cell>
          <cell r="H45">
            <v>5658</v>
          </cell>
          <cell r="I45">
            <v>0.12</v>
          </cell>
          <cell r="J45">
            <v>6430</v>
          </cell>
          <cell r="K45">
            <v>0.1</v>
          </cell>
          <cell r="L45">
            <v>6287</v>
          </cell>
        </row>
        <row r="46">
          <cell r="C46">
            <v>8010024319</v>
          </cell>
          <cell r="D46" t="str">
            <v>90°弯头印尼(日标)PVC-U管件(AW给水系列)灰色 DN50 (2") 联塑</v>
          </cell>
          <cell r="E46" t="str">
            <v>JIS PVC-U 90° Elbow (AW) DN50 (2") Grey - LESSO</v>
          </cell>
        </row>
        <row r="46">
          <cell r="G46">
            <v>8537</v>
          </cell>
          <cell r="H46">
            <v>8537</v>
          </cell>
          <cell r="I46">
            <v>0.12</v>
          </cell>
          <cell r="J46">
            <v>9702</v>
          </cell>
          <cell r="K46">
            <v>0.1</v>
          </cell>
          <cell r="L46">
            <v>9486</v>
          </cell>
        </row>
        <row r="47">
          <cell r="C47">
            <v>8010024353</v>
          </cell>
          <cell r="D47" t="str">
            <v>90°弯头印尼(日标)PVC-U管件(AW给水系列)灰色 DN65 (2-1/2") 联塑</v>
          </cell>
          <cell r="E47" t="str">
            <v>JIS PVC-U 90° Elbow (AW) DN65 (2-1/2") Grey - LESSO</v>
          </cell>
        </row>
        <row r="47">
          <cell r="G47">
            <v>13625</v>
          </cell>
          <cell r="H47">
            <v>13625</v>
          </cell>
          <cell r="I47">
            <v>0.12</v>
          </cell>
          <cell r="J47">
            <v>15483</v>
          </cell>
          <cell r="K47">
            <v>0.1</v>
          </cell>
          <cell r="L47">
            <v>15139</v>
          </cell>
        </row>
        <row r="48">
          <cell r="C48">
            <v>8010024354</v>
          </cell>
          <cell r="D48" t="str">
            <v>90°弯头印尼(日标)PVC-U管件(AW给水系列)灰色 DN75 (3") 联塑</v>
          </cell>
          <cell r="E48" t="str">
            <v>JIS PVC-U 90° Elbow (AW) DN75 (3") Grey - LESSO</v>
          </cell>
        </row>
        <row r="48">
          <cell r="G48">
            <v>22428</v>
          </cell>
          <cell r="H48">
            <v>22428</v>
          </cell>
          <cell r="I48">
            <v>0.12</v>
          </cell>
          <cell r="J48">
            <v>25487</v>
          </cell>
          <cell r="K48">
            <v>0.1</v>
          </cell>
          <cell r="L48">
            <v>24920</v>
          </cell>
        </row>
        <row r="49">
          <cell r="C49">
            <v>8010024355</v>
          </cell>
          <cell r="D49" t="str">
            <v>90°弯头印尼(日标)PVC-U管件(AW给水系列)灰色 DN100 (4") 联塑</v>
          </cell>
          <cell r="E49" t="str">
            <v>JIS PVC-U 90° Elbow (AW) DN100 (4") Grey - LESSO</v>
          </cell>
        </row>
        <row r="49">
          <cell r="G49">
            <v>41050</v>
          </cell>
          <cell r="H49">
            <v>41050</v>
          </cell>
          <cell r="I49">
            <v>0.12</v>
          </cell>
          <cell r="J49">
            <v>46648</v>
          </cell>
          <cell r="K49">
            <v>0.1</v>
          </cell>
          <cell r="L49">
            <v>45611</v>
          </cell>
        </row>
        <row r="50">
          <cell r="C50">
            <v>8011021447</v>
          </cell>
          <cell r="D50" t="str">
            <v>90°弯头印尼(日标)PVC-U管件(AW给水系列)灰色 DN125 (5") 联塑</v>
          </cell>
          <cell r="E50" t="str">
            <v>JIS PVC-U 90° Elbow (AW) DN125 (5") Grey - LESSO</v>
          </cell>
        </row>
        <row r="50">
          <cell r="G50">
            <v>69050</v>
          </cell>
          <cell r="H50">
            <v>69050</v>
          </cell>
          <cell r="I50">
            <v>0.12</v>
          </cell>
          <cell r="J50">
            <v>78466</v>
          </cell>
          <cell r="K50">
            <v>0.1</v>
          </cell>
          <cell r="L50">
            <v>76722</v>
          </cell>
        </row>
        <row r="51">
          <cell r="C51">
            <v>8010024404</v>
          </cell>
          <cell r="D51" t="str">
            <v>90°弯头印尼(日标)PVC-U管件(AW给水系列)灰色 DN150 (6") 联塑</v>
          </cell>
          <cell r="E51" t="str">
            <v>JIS PVC-U 90° Elbow (AW) DN150 (6") Grey - LESSO</v>
          </cell>
        </row>
        <row r="51">
          <cell r="G51">
            <v>103748</v>
          </cell>
          <cell r="H51">
            <v>103748</v>
          </cell>
          <cell r="I51">
            <v>0.12</v>
          </cell>
          <cell r="J51">
            <v>117896</v>
          </cell>
          <cell r="K51">
            <v>0.1</v>
          </cell>
          <cell r="L51">
            <v>115276</v>
          </cell>
        </row>
        <row r="52">
          <cell r="C52">
            <v>8011021680</v>
          </cell>
          <cell r="D52" t="str">
            <v>90°弯头印尼(日标)PVC-U管件(AW给水系列)灰色 DN200 (8") 联塑</v>
          </cell>
          <cell r="E52" t="str">
            <v>JIS PVC-U 90° Elbow (AW) DN200 (8") Grey - LESSO</v>
          </cell>
        </row>
        <row r="52">
          <cell r="G52">
            <v>206238</v>
          </cell>
          <cell r="H52">
            <v>206238</v>
          </cell>
          <cell r="I52">
            <v>0.12</v>
          </cell>
          <cell r="J52">
            <v>234362</v>
          </cell>
          <cell r="K52">
            <v>0.1</v>
          </cell>
          <cell r="L52">
            <v>229153</v>
          </cell>
        </row>
        <row r="53">
          <cell r="C53">
            <v>8011021685</v>
          </cell>
          <cell r="D53" t="str">
            <v>90°弯头印尼(日标)PVC-U管件(AW给水系列)灰色 DN250 (10") 联塑</v>
          </cell>
          <cell r="E53" t="str">
            <v>JIS PVC-U 90° Elbow (AW) DN250 (10") Grey - LESSO</v>
          </cell>
        </row>
        <row r="53">
          <cell r="G53">
            <v>295168</v>
          </cell>
          <cell r="H53">
            <v>295168</v>
          </cell>
          <cell r="I53">
            <v>0.12</v>
          </cell>
          <cell r="J53">
            <v>335419</v>
          </cell>
          <cell r="K53">
            <v>0.1</v>
          </cell>
          <cell r="L53">
            <v>327964</v>
          </cell>
        </row>
        <row r="54">
          <cell r="C54">
            <v>8011021686</v>
          </cell>
          <cell r="D54" t="str">
            <v>90°弯头印尼(日标)PVC-U管件(AW给水系列)灰色 DN300 (12") 联塑</v>
          </cell>
          <cell r="E54" t="str">
            <v>JIS PVC-U 90° Elbow (AW) DN300 (12") Grey - LESSO</v>
          </cell>
        </row>
        <row r="54">
          <cell r="G54">
            <v>395752</v>
          </cell>
          <cell r="H54">
            <v>395752</v>
          </cell>
          <cell r="I54">
            <v>0.12</v>
          </cell>
          <cell r="J54">
            <v>449719</v>
          </cell>
          <cell r="K54">
            <v>0.1</v>
          </cell>
          <cell r="L54">
            <v>439724</v>
          </cell>
        </row>
        <row r="55">
          <cell r="C55">
            <v>8010024438</v>
          </cell>
          <cell r="D55" t="str">
            <v>45°弯头印尼(日标)PVC-U管件(AW给水系列)灰色 DN16 (1/2") 联塑</v>
          </cell>
          <cell r="E55" t="str">
            <v>JIS PVC-U 45° Elbow (AW-45L) DN16 (1/2") Grey - LESSO</v>
          </cell>
        </row>
        <row r="55">
          <cell r="G55">
            <v>1200</v>
          </cell>
          <cell r="H55">
            <v>1200</v>
          </cell>
          <cell r="I55">
            <v>0.12</v>
          </cell>
          <cell r="J55">
            <v>1364</v>
          </cell>
          <cell r="K55">
            <v>0.1</v>
          </cell>
          <cell r="L55">
            <v>1333</v>
          </cell>
        </row>
        <row r="56">
          <cell r="C56">
            <v>8010024347</v>
          </cell>
          <cell r="D56" t="str">
            <v>45°弯头印尼(日标)PVC-U管件(AW给水系列)灰色 DN20 (3/4") 联塑</v>
          </cell>
          <cell r="E56" t="str">
            <v>JIS PVC-U 45° Elbow (AW-45L) DN20 (3/4") Grey - LESSO</v>
          </cell>
        </row>
        <row r="56">
          <cell r="G56">
            <v>1800</v>
          </cell>
          <cell r="H56">
            <v>1800</v>
          </cell>
          <cell r="I56">
            <v>0.12</v>
          </cell>
          <cell r="J56">
            <v>2046</v>
          </cell>
          <cell r="K56">
            <v>0.1</v>
          </cell>
          <cell r="L56">
            <v>2000</v>
          </cell>
        </row>
        <row r="57">
          <cell r="C57">
            <v>8010024348</v>
          </cell>
          <cell r="D57" t="str">
            <v>45°弯头印尼(日标)PVC-U管件(AW给水系列)灰色 DN25 (1") 联塑</v>
          </cell>
          <cell r="E57" t="str">
            <v>JIS PVC-U 45° Elbow (AW-45L) DN25 (1") Grey - LESSO</v>
          </cell>
        </row>
        <row r="57">
          <cell r="G57">
            <v>2650</v>
          </cell>
          <cell r="H57">
            <v>2650</v>
          </cell>
          <cell r="I57">
            <v>0.12</v>
          </cell>
          <cell r="J57">
            <v>3012</v>
          </cell>
          <cell r="K57">
            <v>0.1</v>
          </cell>
          <cell r="L57">
            <v>2944</v>
          </cell>
        </row>
        <row r="58">
          <cell r="C58">
            <v>8010024349</v>
          </cell>
          <cell r="D58" t="str">
            <v>45°弯头印尼(日标)PVC-U管件(AW给水系列)灰色 DN50 (2") 联塑</v>
          </cell>
          <cell r="E58" t="str">
            <v>JIS PVC-U 45° Elbow (AW-45L) DN50 (2") Grey - LESSO</v>
          </cell>
        </row>
        <row r="58">
          <cell r="G58">
            <v>9749</v>
          </cell>
          <cell r="H58">
            <v>9749</v>
          </cell>
          <cell r="I58">
            <v>0.12</v>
          </cell>
          <cell r="J58">
            <v>11079</v>
          </cell>
          <cell r="K58">
            <v>0.1</v>
          </cell>
          <cell r="L58">
            <v>10832</v>
          </cell>
        </row>
        <row r="59">
          <cell r="C59">
            <v>80516213</v>
          </cell>
          <cell r="D59" t="str">
            <v>45°弯头印尼(日标) PVC-U管件(AW给水系列) DN65 (2-1/2") - RUCIKA</v>
          </cell>
          <cell r="E59" t="str">
            <v>JIS PVC-U 45° Elbow (AW) DN65 (2-1/2") - RUCIKA</v>
          </cell>
        </row>
        <row r="59">
          <cell r="G59">
            <v>19865</v>
          </cell>
          <cell r="H59">
            <v>19865</v>
          </cell>
          <cell r="I59">
            <v>0.15</v>
          </cell>
          <cell r="J59">
            <v>23371</v>
          </cell>
          <cell r="K59">
            <v>0.15</v>
          </cell>
          <cell r="L59">
            <v>23371</v>
          </cell>
        </row>
        <row r="60">
          <cell r="C60">
            <v>80516218</v>
          </cell>
          <cell r="D60" t="str">
            <v>45°弯头印尼(日标) PVC-U管件(AW给水系列) DN75 (3") - RUCIKA</v>
          </cell>
          <cell r="E60" t="str">
            <v>JIS PVC-U 45° Elbow (AW) DN75 (3") - RUCIKA</v>
          </cell>
        </row>
        <row r="60">
          <cell r="G60">
            <v>31284</v>
          </cell>
          <cell r="H60">
            <v>31284</v>
          </cell>
          <cell r="I60">
            <v>0.15</v>
          </cell>
          <cell r="J60">
            <v>36805</v>
          </cell>
          <cell r="K60">
            <v>0.15</v>
          </cell>
          <cell r="L60">
            <v>36805</v>
          </cell>
        </row>
        <row r="61">
          <cell r="C61">
            <v>8010024873</v>
          </cell>
          <cell r="D61" t="str">
            <v>45°弯头印尼(日标)PVC-U管件(AW给水系列)灰色 DN100 (4") 联塑</v>
          </cell>
          <cell r="E61" t="str">
            <v>JIS PVC-U 45° Elbow (AW-45L) DN100 (4") Grey - LESSO</v>
          </cell>
        </row>
        <row r="61">
          <cell r="G61">
            <v>40099</v>
          </cell>
          <cell r="H61">
            <v>40099</v>
          </cell>
          <cell r="I61">
            <v>0.12</v>
          </cell>
          <cell r="J61">
            <v>45568</v>
          </cell>
          <cell r="K61">
            <v>0.1</v>
          </cell>
          <cell r="L61">
            <v>44554</v>
          </cell>
        </row>
        <row r="62">
          <cell r="C62">
            <v>8011021616</v>
          </cell>
          <cell r="D62" t="str">
            <v>45°弯头印尼(日标)PVC-U管件(AW给水系列)灰色 DN125 (5") 联塑</v>
          </cell>
          <cell r="E62" t="str">
            <v>JIS PVC-U 45° Elbow (AW-45L) DN125 (5") Grey - LESSO</v>
          </cell>
        </row>
        <row r="62">
          <cell r="G62">
            <v>58527</v>
          </cell>
          <cell r="H62">
            <v>58527</v>
          </cell>
          <cell r="I62">
            <v>0.12</v>
          </cell>
          <cell r="J62">
            <v>66508</v>
          </cell>
          <cell r="K62">
            <v>0.1</v>
          </cell>
          <cell r="L62">
            <v>65030</v>
          </cell>
        </row>
        <row r="63">
          <cell r="C63">
            <v>8010024874</v>
          </cell>
          <cell r="D63" t="str">
            <v>45°弯头印尼(日标)PVC-U管件(AW给水系列)灰色DN150 (6") 联塑</v>
          </cell>
          <cell r="E63" t="str">
            <v>JIS PVC-U 45° Elbow (AW-45L) DN150 (6") Grey - LESSO</v>
          </cell>
        </row>
        <row r="63">
          <cell r="G63">
            <v>114397</v>
          </cell>
          <cell r="H63">
            <v>114397</v>
          </cell>
          <cell r="I63">
            <v>0.12</v>
          </cell>
          <cell r="J63">
            <v>129997</v>
          </cell>
          <cell r="K63">
            <v>0.1</v>
          </cell>
          <cell r="L63">
            <v>127108</v>
          </cell>
        </row>
        <row r="64">
          <cell r="C64">
            <v>8011021682</v>
          </cell>
          <cell r="D64" t="str">
            <v>45°弯头印尼(日标)PVC-U管件(AW给水系列)灰色 DN200 (8") 联塑</v>
          </cell>
          <cell r="E64" t="str">
            <v>JIS PVC-U 45° Elbow (AW-45L) (8") Grey - LESSO</v>
          </cell>
        </row>
        <row r="64">
          <cell r="G64">
            <v>141377</v>
          </cell>
          <cell r="H64">
            <v>141377</v>
          </cell>
          <cell r="I64">
            <v>0.12</v>
          </cell>
          <cell r="J64">
            <v>160656</v>
          </cell>
          <cell r="K64">
            <v>0.1</v>
          </cell>
          <cell r="L64">
            <v>157086</v>
          </cell>
        </row>
        <row r="65">
          <cell r="C65">
            <v>8011021683</v>
          </cell>
          <cell r="D65" t="str">
            <v>45°弯头印尼(日标)PVC-U管件(AW给水系列)灰色 DN250 (10") 联塑</v>
          </cell>
          <cell r="E65" t="str">
            <v>JIS PVC-U 45° Elbow (AW-45L) DN250 (10") Grey - LESSO</v>
          </cell>
        </row>
        <row r="65">
          <cell r="G65">
            <v>180141</v>
          </cell>
          <cell r="H65">
            <v>180141</v>
          </cell>
          <cell r="I65">
            <v>0.12</v>
          </cell>
          <cell r="J65">
            <v>204706</v>
          </cell>
          <cell r="K65">
            <v>0.1</v>
          </cell>
          <cell r="L65">
            <v>200157</v>
          </cell>
        </row>
        <row r="66">
          <cell r="C66">
            <v>8011021684</v>
          </cell>
          <cell r="D66" t="str">
            <v>45°弯头印尼(日标)PVC-U管件(AW给水系列)灰色 DN300 (12") 联塑</v>
          </cell>
          <cell r="E66" t="str">
            <v>JIS PVC-U 45° Elbow (AW-45L) DN300 (12") Grey - LESSO</v>
          </cell>
        </row>
        <row r="66">
          <cell r="G66">
            <v>237653</v>
          </cell>
          <cell r="H66">
            <v>237653</v>
          </cell>
          <cell r="I66">
            <v>0.12</v>
          </cell>
          <cell r="J66">
            <v>270061</v>
          </cell>
          <cell r="K66">
            <v>0.1</v>
          </cell>
          <cell r="L66">
            <v>264059</v>
          </cell>
        </row>
        <row r="67">
          <cell r="C67">
            <v>8010024356</v>
          </cell>
          <cell r="D67" t="str">
            <v>正三通印尼(日标)PVC-U管件(AW给水系列)灰色 DN16 (1/2") 联塑</v>
          </cell>
          <cell r="E67" t="str">
            <v>JIS PVC-U 90° Tee (AW) DN16 (1/2") Grey - LESSO</v>
          </cell>
        </row>
        <row r="67">
          <cell r="G67">
            <v>1513</v>
          </cell>
          <cell r="H67">
            <v>1513</v>
          </cell>
          <cell r="I67">
            <v>0.12</v>
          </cell>
          <cell r="J67">
            <v>1720</v>
          </cell>
          <cell r="K67">
            <v>0.1</v>
          </cell>
          <cell r="L67">
            <v>1681</v>
          </cell>
        </row>
        <row r="68">
          <cell r="C68">
            <v>8010024192</v>
          </cell>
          <cell r="D68" t="str">
            <v>正三通印尼(日标)PVC-U管件(AW给水系列)灰色 DN20 (3/4") 联塑</v>
          </cell>
          <cell r="E68" t="str">
            <v>JIS PVC-U 90° Tee (AW) DN20 (3/4") Grey - LESSO</v>
          </cell>
        </row>
        <row r="68">
          <cell r="G68">
            <v>1911</v>
          </cell>
          <cell r="H68">
            <v>1911</v>
          </cell>
          <cell r="I68">
            <v>0.12</v>
          </cell>
          <cell r="J68">
            <v>2172</v>
          </cell>
          <cell r="K68">
            <v>0.1</v>
          </cell>
          <cell r="L68">
            <v>2123</v>
          </cell>
        </row>
        <row r="69">
          <cell r="C69">
            <v>8010024357</v>
          </cell>
          <cell r="D69" t="str">
            <v>正三通印尼(日标)PVC-U管件(AW给水系列)灰色 DN25 (1") 联塑</v>
          </cell>
          <cell r="E69" t="str">
            <v>JIS PVC-U 90° Tee (AW) DN25 (1") Grey - LESSO</v>
          </cell>
        </row>
        <row r="69">
          <cell r="G69">
            <v>3066</v>
          </cell>
          <cell r="H69">
            <v>3066</v>
          </cell>
          <cell r="I69">
            <v>0.12</v>
          </cell>
          <cell r="J69">
            <v>3485</v>
          </cell>
          <cell r="K69">
            <v>0.1</v>
          </cell>
          <cell r="L69">
            <v>3407</v>
          </cell>
        </row>
        <row r="70">
          <cell r="C70">
            <v>8010024358</v>
          </cell>
          <cell r="D70" t="str">
            <v>正三通印尼(日标)PVC-U管件(AW给水系列)灰色 DN35 (1-1/4") 联塑</v>
          </cell>
          <cell r="E70" t="str">
            <v>JIS PVC-U 90° Tee (AW) DN35 (1-1/4") Grey - LESSO</v>
          </cell>
        </row>
        <row r="70">
          <cell r="G70">
            <v>5767</v>
          </cell>
          <cell r="H70">
            <v>5767</v>
          </cell>
          <cell r="I70">
            <v>0.12</v>
          </cell>
          <cell r="J70">
            <v>6554</v>
          </cell>
          <cell r="K70">
            <v>0.1</v>
          </cell>
          <cell r="L70">
            <v>6408</v>
          </cell>
        </row>
        <row r="71">
          <cell r="C71">
            <v>8010024359</v>
          </cell>
          <cell r="D71" t="str">
            <v>正三通印尼(日标)PVC-U管件(AW给水系列)灰色 DN40 (1-1/2") 联塑</v>
          </cell>
          <cell r="E71" t="str">
            <v>JIS PVC-U 90° Tee (AW) DN40 (1-1/2") Grey - LESSO</v>
          </cell>
        </row>
        <row r="71">
          <cell r="G71">
            <v>7577</v>
          </cell>
          <cell r="H71">
            <v>7577</v>
          </cell>
          <cell r="I71">
            <v>0.12</v>
          </cell>
          <cell r="J71">
            <v>8611</v>
          </cell>
          <cell r="K71">
            <v>0.1</v>
          </cell>
          <cell r="L71">
            <v>8419</v>
          </cell>
        </row>
        <row r="72">
          <cell r="C72">
            <v>8010024360</v>
          </cell>
          <cell r="D72" t="str">
            <v>正三通印尼(日标)PVC-U管件(AW给水系列)灰色 DN50 (2") 联塑</v>
          </cell>
          <cell r="E72" t="str">
            <v>JIS PVC-U 90° Tee (AW) DN50 (2") Grey - LESSO</v>
          </cell>
        </row>
        <row r="72">
          <cell r="G72">
            <v>12023</v>
          </cell>
          <cell r="H72">
            <v>12023</v>
          </cell>
          <cell r="I72">
            <v>0.12</v>
          </cell>
          <cell r="J72">
            <v>13663</v>
          </cell>
          <cell r="K72">
            <v>0.1</v>
          </cell>
          <cell r="L72">
            <v>13359</v>
          </cell>
        </row>
        <row r="73">
          <cell r="C73">
            <v>8010024361</v>
          </cell>
          <cell r="D73" t="str">
            <v>正三通印尼(日标)PVC-U管件(AW给水系列)灰色 DN65 (2-1/2") 联塑</v>
          </cell>
          <cell r="E73" t="str">
            <v>JIS PVC-U 90° Tee (AW) DN65 (2-1/2") Grey - LESSO</v>
          </cell>
        </row>
        <row r="73">
          <cell r="G73">
            <v>19799</v>
          </cell>
          <cell r="H73">
            <v>19799</v>
          </cell>
          <cell r="I73">
            <v>0.12</v>
          </cell>
          <cell r="J73">
            <v>22499</v>
          </cell>
          <cell r="K73">
            <v>0.1</v>
          </cell>
          <cell r="L73">
            <v>21999</v>
          </cell>
        </row>
        <row r="74">
          <cell r="C74">
            <v>8010024362</v>
          </cell>
          <cell r="D74" t="str">
            <v>正三通印尼(日标)PVC-U管件(AW给水系列)灰色 DN75 (3") 联塑</v>
          </cell>
          <cell r="E74" t="str">
            <v>JIS PVC-U 90° Tee (AW) DN75 (3") Grey - LESSO</v>
          </cell>
        </row>
        <row r="74">
          <cell r="G74">
            <v>27682</v>
          </cell>
          <cell r="H74">
            <v>27682</v>
          </cell>
          <cell r="I74">
            <v>0.12</v>
          </cell>
          <cell r="J74">
            <v>31457</v>
          </cell>
          <cell r="K74">
            <v>0.1</v>
          </cell>
          <cell r="L74">
            <v>30758</v>
          </cell>
        </row>
        <row r="75">
          <cell r="C75">
            <v>8010024363</v>
          </cell>
          <cell r="D75" t="str">
            <v>正三通印尼(日标)PVC-U管件(AW给水系列)灰色 DN100 (4") 联塑</v>
          </cell>
          <cell r="E75" t="str">
            <v>JIS PVC-U 90° Tee (AW) DN100 (4") Grey - LESSO</v>
          </cell>
        </row>
        <row r="75">
          <cell r="G75">
            <v>54698</v>
          </cell>
          <cell r="H75">
            <v>54698</v>
          </cell>
          <cell r="I75">
            <v>0.12</v>
          </cell>
          <cell r="J75">
            <v>62157</v>
          </cell>
          <cell r="K75">
            <v>0.1</v>
          </cell>
          <cell r="L75">
            <v>60776</v>
          </cell>
        </row>
        <row r="76">
          <cell r="C76">
            <v>8011021681</v>
          </cell>
          <cell r="D76" t="str">
            <v>正三通印尼(日标)PVC-U管件(AW给水系列)灰色 DN125 (5") 联塑</v>
          </cell>
          <cell r="E76" t="str">
            <v>JIS PVC-U Tee (AW) DN125 (5") Grey - LESSO</v>
          </cell>
        </row>
        <row r="76">
          <cell r="G76">
            <v>100332</v>
          </cell>
          <cell r="H76">
            <v>100332</v>
          </cell>
          <cell r="I76">
            <v>0.12</v>
          </cell>
          <cell r="J76">
            <v>114014</v>
          </cell>
          <cell r="K76">
            <v>0.1</v>
          </cell>
          <cell r="L76">
            <v>111480</v>
          </cell>
        </row>
        <row r="77">
          <cell r="C77">
            <v>8010024982</v>
          </cell>
          <cell r="D77" t="str">
            <v>正三通印尼(日标)PVC-U管件(AW给水系列)灰色 DN150 (6") 联塑</v>
          </cell>
          <cell r="E77" t="str">
            <v>JIS PVC-U Tee (AW) DN150 (6") Grey - LESSO</v>
          </cell>
        </row>
        <row r="77">
          <cell r="G77">
            <v>137447</v>
          </cell>
          <cell r="H77">
            <v>137447</v>
          </cell>
          <cell r="I77">
            <v>0.12</v>
          </cell>
          <cell r="J77">
            <v>156190</v>
          </cell>
          <cell r="K77">
            <v>0.1</v>
          </cell>
          <cell r="L77">
            <v>152719</v>
          </cell>
        </row>
        <row r="78">
          <cell r="C78">
            <v>8011021687</v>
          </cell>
          <cell r="D78" t="str">
            <v>正三通印尼(日标)PVC-U管件(AW给水系列)灰色 DN200 (8") 联塑</v>
          </cell>
          <cell r="E78" t="str">
            <v>JIS PVC-U Tee (AW) DN200 (8") Grey - LESSO</v>
          </cell>
        </row>
        <row r="78">
          <cell r="G78">
            <v>239428</v>
          </cell>
          <cell r="H78">
            <v>239428</v>
          </cell>
          <cell r="I78">
            <v>0.12</v>
          </cell>
          <cell r="J78">
            <v>272078</v>
          </cell>
          <cell r="K78">
            <v>0.1</v>
          </cell>
          <cell r="L78">
            <v>266031</v>
          </cell>
        </row>
        <row r="79">
          <cell r="C79">
            <v>8011021688</v>
          </cell>
          <cell r="D79" t="str">
            <v>正三通印尼(日标)PVC-U管件(AW给水系列)灰色 DN250 (10") 联塑</v>
          </cell>
          <cell r="E79" t="str">
            <v>JIS PVC-U Tee (AW) DN250 (10") Grey - LESSO</v>
          </cell>
        </row>
        <row r="79">
          <cell r="G79">
            <v>361295</v>
          </cell>
          <cell r="H79">
            <v>361295</v>
          </cell>
          <cell r="I79">
            <v>0.12</v>
          </cell>
          <cell r="J79">
            <v>410563</v>
          </cell>
          <cell r="K79">
            <v>0.1</v>
          </cell>
          <cell r="L79">
            <v>401439</v>
          </cell>
        </row>
        <row r="80">
          <cell r="C80">
            <v>8011021823</v>
          </cell>
          <cell r="D80" t="str">
            <v>正三通印尼(日标)PVC-U管件(AW给水系列)灰色 DN300(12") 联塑</v>
          </cell>
          <cell r="E80" t="str">
            <v>JIS PVC-U 90° Tee (AW) DN300 (12") Grey - LESSO</v>
          </cell>
        </row>
        <row r="80">
          <cell r="G80">
            <v>506978</v>
          </cell>
          <cell r="H80">
            <v>506978</v>
          </cell>
          <cell r="I80">
            <v>0.12</v>
          </cell>
          <cell r="J80">
            <v>576112</v>
          </cell>
          <cell r="K80">
            <v>0.1</v>
          </cell>
          <cell r="L80">
            <v>563309</v>
          </cell>
        </row>
        <row r="81">
          <cell r="C81">
            <v>8010024413</v>
          </cell>
          <cell r="D81" t="str">
            <v>异径三通印尼(日标)PVC-U管件(AW给水系列)灰色 DN20x16 (3/4" × 1/2") 联塑</v>
          </cell>
          <cell r="E81" t="str">
            <v>JIS PVC-U Reducing Tee (AW) DN20x16 (3/4" × 1/2") Grey - LESSO</v>
          </cell>
        </row>
        <row r="81">
          <cell r="G81">
            <v>2150</v>
          </cell>
          <cell r="H81">
            <v>2150</v>
          </cell>
          <cell r="I81">
            <v>0.12</v>
          </cell>
          <cell r="J81">
            <v>2444</v>
          </cell>
          <cell r="K81">
            <v>0.1</v>
          </cell>
          <cell r="L81">
            <v>2389</v>
          </cell>
        </row>
        <row r="82">
          <cell r="C82">
            <v>8010024324</v>
          </cell>
          <cell r="D82" t="str">
            <v>异径三通印尼(日标)PVC-U管件(AW给水系列)灰色 DN25x16 (1"x1/2") 联塑</v>
          </cell>
          <cell r="E82" t="str">
            <v>JIS PVC-U Reducing Tee (AW) DN25x16 (1"x1/2") Grey - LESSO</v>
          </cell>
        </row>
        <row r="82">
          <cell r="G82">
            <v>3150</v>
          </cell>
          <cell r="H82">
            <v>3150</v>
          </cell>
          <cell r="I82">
            <v>0.12</v>
          </cell>
          <cell r="J82">
            <v>3580</v>
          </cell>
          <cell r="K82">
            <v>0.1</v>
          </cell>
          <cell r="L82">
            <v>3500</v>
          </cell>
        </row>
        <row r="83">
          <cell r="C83">
            <v>8010024368</v>
          </cell>
          <cell r="D83" t="str">
            <v>异径三通印尼(日标)PVC-U管件(AW给水系列)灰色 DN25x20 (1"x3/4") 联塑</v>
          </cell>
          <cell r="E83" t="str">
            <v>JIS PVC-U Reducing Tee (AW) DN25x20 (1"x3/4") Grey - LESSO</v>
          </cell>
        </row>
        <row r="83">
          <cell r="G83">
            <v>3250</v>
          </cell>
          <cell r="H83">
            <v>3250</v>
          </cell>
          <cell r="I83">
            <v>0.12</v>
          </cell>
          <cell r="J83">
            <v>3694</v>
          </cell>
          <cell r="K83">
            <v>0.1</v>
          </cell>
          <cell r="L83">
            <v>3611</v>
          </cell>
        </row>
        <row r="84">
          <cell r="C84">
            <v>8010024369</v>
          </cell>
          <cell r="D84" t="str">
            <v>异径三通印尼(日标)PVC-U管件(AW给水系列)灰色 DN35x16 (1-1/4"x1/2") 联塑</v>
          </cell>
          <cell r="E84" t="str">
            <v>JIS PVC-U Reducing Tee (AW) DN35x16 (1-1/4"x1/2") Grey - LESSO</v>
          </cell>
        </row>
        <row r="84">
          <cell r="G84">
            <v>4644</v>
          </cell>
          <cell r="H84">
            <v>4644</v>
          </cell>
          <cell r="I84">
            <v>0.12</v>
          </cell>
          <cell r="J84">
            <v>5278</v>
          </cell>
          <cell r="K84">
            <v>0.1</v>
          </cell>
          <cell r="L84">
            <v>5160</v>
          </cell>
        </row>
        <row r="85">
          <cell r="C85">
            <v>8010024414</v>
          </cell>
          <cell r="D85" t="str">
            <v>异径三通印尼(日标)PVC-U管件(AW给水系列)灰色 DN35x20 (1-1/4"x3/4") 联塑</v>
          </cell>
          <cell r="E85" t="str">
            <v>JIS PVC-U Reducing Tee (AW) DN35x20 (1-1/4"x3/4") Grey - LESSO</v>
          </cell>
        </row>
        <row r="85">
          <cell r="G85">
            <v>5001</v>
          </cell>
          <cell r="H85">
            <v>5001</v>
          </cell>
          <cell r="I85">
            <v>0.12</v>
          </cell>
          <cell r="J85">
            <v>5683</v>
          </cell>
          <cell r="K85">
            <v>0.1</v>
          </cell>
          <cell r="L85">
            <v>5557</v>
          </cell>
        </row>
        <row r="86">
          <cell r="C86">
            <v>8010024444</v>
          </cell>
          <cell r="D86" t="str">
            <v>异径三通印尼(日标)PVC-U管件(AW给水系列)灰色 DN35x25 (1-1/4"x1") 联塑</v>
          </cell>
          <cell r="E86" t="str">
            <v>JIS PVC-U Reducing Tee (AW) DN35x25 (1-1/4"x1") Grey - LESSO</v>
          </cell>
        </row>
        <row r="86">
          <cell r="G86">
            <v>5614</v>
          </cell>
          <cell r="H86">
            <v>5614</v>
          </cell>
          <cell r="I86">
            <v>0.12</v>
          </cell>
          <cell r="J86">
            <v>6380</v>
          </cell>
          <cell r="K86">
            <v>0.1</v>
          </cell>
          <cell r="L86">
            <v>6238</v>
          </cell>
        </row>
        <row r="87">
          <cell r="C87">
            <v>8010024370</v>
          </cell>
          <cell r="D87" t="str">
            <v>异径三通印尼(日标)PVC-U管件(AW给水系列)灰色 DN40x16 (1-1/2"x1/2") 联塑</v>
          </cell>
          <cell r="E87" t="str">
            <v>JIS PVC-U Reducing Tee (AW) DN40x16 (1-1/2"x1/2") Grey - LESSO</v>
          </cell>
        </row>
        <row r="87">
          <cell r="G87">
            <v>6365</v>
          </cell>
          <cell r="H87">
            <v>6365</v>
          </cell>
          <cell r="I87">
            <v>0.12</v>
          </cell>
          <cell r="J87">
            <v>7233</v>
          </cell>
          <cell r="K87">
            <v>0.1</v>
          </cell>
          <cell r="L87">
            <v>7072</v>
          </cell>
        </row>
        <row r="88">
          <cell r="C88">
            <v>8010024371</v>
          </cell>
          <cell r="D88" t="str">
            <v>异径三通印尼(日标)PVC-U管件(AW给水系列)灰色 DN40x20 (1-1/2"x3/4") 联塑</v>
          </cell>
          <cell r="E88" t="str">
            <v>JIS PVC-U Reducing Tee (AW) DN40x20 (1-1/2"x3/4") Grey - LESSO</v>
          </cell>
        </row>
        <row r="88">
          <cell r="G88">
            <v>6365</v>
          </cell>
          <cell r="H88">
            <v>6365</v>
          </cell>
          <cell r="I88">
            <v>0.12</v>
          </cell>
          <cell r="J88">
            <v>7233</v>
          </cell>
          <cell r="K88">
            <v>0.1</v>
          </cell>
          <cell r="L88">
            <v>7072</v>
          </cell>
        </row>
        <row r="89">
          <cell r="C89">
            <v>8010024372</v>
          </cell>
          <cell r="D89" t="str">
            <v>异径三通印尼(日标)PVC-U管件(AW给水系列)灰色 DN40x25 (1-1/2"x1") 联塑</v>
          </cell>
          <cell r="E89" t="str">
            <v>JIS PVC-U Reducing Tee (AW) DN40x25 (1-1/2"x1") Grey - LESSO</v>
          </cell>
        </row>
        <row r="89">
          <cell r="G89">
            <v>6820</v>
          </cell>
          <cell r="H89">
            <v>6820</v>
          </cell>
          <cell r="I89">
            <v>0.12</v>
          </cell>
          <cell r="J89">
            <v>7750</v>
          </cell>
          <cell r="K89">
            <v>0.1</v>
          </cell>
          <cell r="L89">
            <v>7578</v>
          </cell>
        </row>
        <row r="90">
          <cell r="C90">
            <v>8010024373</v>
          </cell>
          <cell r="D90" t="str">
            <v>异径三通印尼(日标)PVC-U管件(AW给水系列)灰色 DN40x35 (1-1/2"x1-1/4") 联塑</v>
          </cell>
          <cell r="E90" t="str">
            <v>JIS PVC-U Reducing Tee (AW) DN40x35 (1-1/2"x1-1/4") Grey - LESSO</v>
          </cell>
        </row>
        <row r="90">
          <cell r="G90">
            <v>7577</v>
          </cell>
          <cell r="H90">
            <v>7577</v>
          </cell>
          <cell r="I90">
            <v>0.12</v>
          </cell>
          <cell r="J90">
            <v>8611</v>
          </cell>
          <cell r="K90">
            <v>0.1</v>
          </cell>
          <cell r="L90">
            <v>8419</v>
          </cell>
        </row>
        <row r="91">
          <cell r="C91">
            <v>8010024374</v>
          </cell>
          <cell r="D91" t="str">
            <v>异径三通印尼(日标)PVC-U管件(AW给水系列)灰色 DN50x16 (2"x1/2") 联塑</v>
          </cell>
          <cell r="E91" t="str">
            <v>JIS PVC-U Reducing Tee (AW) DN50x16 (2"x1/2") Grey - LESSO</v>
          </cell>
        </row>
        <row r="91">
          <cell r="G91">
            <v>7628</v>
          </cell>
          <cell r="H91">
            <v>7628</v>
          </cell>
          <cell r="I91">
            <v>0.12</v>
          </cell>
          <cell r="J91">
            <v>8669</v>
          </cell>
          <cell r="K91">
            <v>0.1</v>
          </cell>
          <cell r="L91">
            <v>8476</v>
          </cell>
        </row>
        <row r="92">
          <cell r="C92">
            <v>8010024375</v>
          </cell>
          <cell r="D92" t="str">
            <v>异径三通印尼(日标)PVC-U管件(AW给水系列)灰色 DN50x20 (2"x3/4") 联塑</v>
          </cell>
          <cell r="E92" t="str">
            <v>JIS PVC-U Reducing Tee (AW) DN50x20 (2"x3/4") Grey - LESSO</v>
          </cell>
        </row>
        <row r="92">
          <cell r="G92">
            <v>7729</v>
          </cell>
          <cell r="H92">
            <v>7729</v>
          </cell>
          <cell r="I92">
            <v>0.12</v>
          </cell>
          <cell r="J92">
            <v>8783</v>
          </cell>
          <cell r="K92">
            <v>0.1</v>
          </cell>
          <cell r="L92">
            <v>8588</v>
          </cell>
        </row>
        <row r="93">
          <cell r="C93">
            <v>8010024376</v>
          </cell>
          <cell r="D93" t="str">
            <v>异径三通印尼(日标)PVC-U管件(AW给水系列)灰色 DN50x25 (2"x1") 联塑</v>
          </cell>
          <cell r="E93" t="str">
            <v>JIS PVC-U Reducing Tee (AW) DN50x25 (2"x1") Grey - LESSO</v>
          </cell>
        </row>
        <row r="93">
          <cell r="G93">
            <v>7950</v>
          </cell>
          <cell r="H93">
            <v>7950</v>
          </cell>
          <cell r="I93">
            <v>0.12</v>
          </cell>
          <cell r="J93">
            <v>9035</v>
          </cell>
          <cell r="K93">
            <v>0.1</v>
          </cell>
          <cell r="L93">
            <v>8833</v>
          </cell>
        </row>
        <row r="94">
          <cell r="C94">
            <v>8010024377</v>
          </cell>
          <cell r="D94" t="str">
            <v>异径三通印尼(日标)PVC-U管件(AW给水系列)灰色 DN50x35 (2"x1-1/4") 联塑</v>
          </cell>
          <cell r="E94" t="str">
            <v>JIS PVC-U Reducing Tee (AW) DN50x35 (2"x1-1/4") Grey - LESSO</v>
          </cell>
        </row>
        <row r="94">
          <cell r="G94">
            <v>11073</v>
          </cell>
          <cell r="H94">
            <v>11073</v>
          </cell>
          <cell r="I94">
            <v>0.12</v>
          </cell>
          <cell r="J94">
            <v>12583</v>
          </cell>
          <cell r="K94">
            <v>0.1</v>
          </cell>
          <cell r="L94">
            <v>12303</v>
          </cell>
        </row>
        <row r="95">
          <cell r="C95">
            <v>8010024378</v>
          </cell>
          <cell r="D95" t="str">
            <v>异径三通印尼(日标)PVC-U管件(AW给水系列)灰色 DN50x40 (2"x1-1/2") 联塑</v>
          </cell>
          <cell r="E95" t="str">
            <v>JIS PVC-U Reducing Tee (AW) DN50x40 (2"x1-1/2") Grey - LESSO</v>
          </cell>
        </row>
        <row r="95">
          <cell r="G95">
            <v>11013</v>
          </cell>
          <cell r="H95">
            <v>11013</v>
          </cell>
          <cell r="I95">
            <v>0.12</v>
          </cell>
          <cell r="J95">
            <v>12515</v>
          </cell>
          <cell r="K95">
            <v>0.1</v>
          </cell>
          <cell r="L95">
            <v>12237</v>
          </cell>
        </row>
        <row r="96">
          <cell r="C96">
            <v>8010024415</v>
          </cell>
          <cell r="D96" t="str">
            <v>异径三通印尼(日标)PVC-U管件(AW给水系列)灰色 DN75x50 (3"x2") 联塑</v>
          </cell>
          <cell r="E96" t="str">
            <v>JIS PVC-U Reducing Tee (AW) DN75x50 (3"x2") Grey - LESSO</v>
          </cell>
        </row>
        <row r="96">
          <cell r="G96">
            <v>21267</v>
          </cell>
          <cell r="H96">
            <v>21267</v>
          </cell>
          <cell r="I96">
            <v>0.12</v>
          </cell>
          <cell r="J96">
            <v>24168</v>
          </cell>
          <cell r="K96">
            <v>0.1</v>
          </cell>
          <cell r="L96">
            <v>23630</v>
          </cell>
        </row>
        <row r="97">
          <cell r="C97">
            <v>80516241</v>
          </cell>
          <cell r="D97" t="str">
            <v>异径三通印尼(日标) PVC-U管件(AW给水系列) DN75x25 (3"x1") - RUCIKA</v>
          </cell>
          <cell r="E97" t="str">
            <v>JIS PVC-U Reducing Tee (AW) DN75x25 (3"x1") - RUCIKA</v>
          </cell>
        </row>
        <row r="97">
          <cell r="G97">
            <v>57095</v>
          </cell>
          <cell r="H97">
            <v>57095</v>
          </cell>
          <cell r="I97">
            <v>0.15</v>
          </cell>
          <cell r="J97">
            <v>67171</v>
          </cell>
          <cell r="K97">
            <v>0.15</v>
          </cell>
          <cell r="L97">
            <v>67171</v>
          </cell>
        </row>
        <row r="98">
          <cell r="C98">
            <v>80516247</v>
          </cell>
          <cell r="D98" t="str">
            <v>异径三通印尼(日标) PVC-U管件(AW给水系列) DN100x40 (4"x1-1/2") - RUCIKA</v>
          </cell>
          <cell r="E98" t="str">
            <v>JIS PVC-U Reducer Tee (AW) DN100x40 (4"x1-1/2") - RUCIKA</v>
          </cell>
        </row>
        <row r="98">
          <cell r="G98">
            <v>56554</v>
          </cell>
          <cell r="H98">
            <v>56554</v>
          </cell>
          <cell r="I98">
            <v>0.15</v>
          </cell>
          <cell r="J98">
            <v>66535</v>
          </cell>
          <cell r="K98">
            <v>0.15</v>
          </cell>
          <cell r="L98">
            <v>66534</v>
          </cell>
        </row>
        <row r="99">
          <cell r="C99">
            <v>80516248</v>
          </cell>
          <cell r="D99" t="str">
            <v>异径三通印尼(日标) PVC-U管件(AW给水系列) DN100x50 (4"x2") - RUCIKA</v>
          </cell>
          <cell r="E99" t="str">
            <v>JIS PVC-U Reducer Tee (AW) DN100x50 (4"x2") - RUCIKA</v>
          </cell>
        </row>
        <row r="99">
          <cell r="G99">
            <v>57095</v>
          </cell>
          <cell r="H99">
            <v>57095</v>
          </cell>
          <cell r="I99">
            <v>0.15</v>
          </cell>
          <cell r="J99">
            <v>67171</v>
          </cell>
          <cell r="K99">
            <v>0.15</v>
          </cell>
          <cell r="L99">
            <v>67171</v>
          </cell>
        </row>
        <row r="100">
          <cell r="C100">
            <v>8010024411</v>
          </cell>
          <cell r="D100" t="str">
            <v>外螺纹直接头印尼(日标)PVC-U管件(AW给水系列)灰色 DN16 (1/2") 联塑</v>
          </cell>
          <cell r="E100" t="str">
            <v>JIS PVC-U Valve Socket (AW) DN16 (1/2") Grey - LESSO</v>
          </cell>
        </row>
        <row r="100">
          <cell r="G100">
            <v>850</v>
          </cell>
          <cell r="H100">
            <v>850</v>
          </cell>
          <cell r="I100">
            <v>0.12</v>
          </cell>
          <cell r="J100">
            <v>966</v>
          </cell>
          <cell r="K100">
            <v>0.1</v>
          </cell>
          <cell r="L100">
            <v>944</v>
          </cell>
        </row>
        <row r="101">
          <cell r="C101">
            <v>8010024659</v>
          </cell>
          <cell r="D101" t="str">
            <v>外螺纹直接头印尼(日标)PVC-U管件(AW给水系列)灰色 DN20 (3/4") 联塑</v>
          </cell>
          <cell r="E101" t="str">
            <v>JIS PVC-U Valve Socket (AW) DN20 (3/4") Grey - LESSO</v>
          </cell>
        </row>
        <row r="101">
          <cell r="G101">
            <v>1250</v>
          </cell>
          <cell r="H101">
            <v>1250</v>
          </cell>
          <cell r="I101">
            <v>0.12</v>
          </cell>
          <cell r="J101">
            <v>1421</v>
          </cell>
          <cell r="K101">
            <v>0.1</v>
          </cell>
          <cell r="L101">
            <v>1389</v>
          </cell>
        </row>
        <row r="102">
          <cell r="C102">
            <v>8010024412</v>
          </cell>
          <cell r="D102" t="str">
            <v>外螺纹直接头印尼(日标)PVC-U管件(AW给水系列)灰色 DN25 (1") 联塑</v>
          </cell>
          <cell r="E102" t="str">
            <v>JIS PVC-U Valve Socket (AW) DN25 (1") Grey - LESSO</v>
          </cell>
        </row>
        <row r="102">
          <cell r="G102">
            <v>1600</v>
          </cell>
          <cell r="H102">
            <v>1600</v>
          </cell>
          <cell r="I102">
            <v>0.12</v>
          </cell>
          <cell r="J102">
            <v>1819</v>
          </cell>
          <cell r="K102">
            <v>0.1</v>
          </cell>
          <cell r="L102">
            <v>1778</v>
          </cell>
        </row>
        <row r="103">
          <cell r="C103">
            <v>8010024660</v>
          </cell>
          <cell r="D103" t="str">
            <v>外螺纹直接头印尼(日标)PVC-U管件(AW给水系列)灰色 DN35 (1-1/4") 联塑</v>
          </cell>
          <cell r="E103" t="str">
            <v>JIS PVC-U Valve Socket (AW) DN35 (1-1/4") Grey - LESSO</v>
          </cell>
        </row>
        <row r="103">
          <cell r="G103">
            <v>2908</v>
          </cell>
          <cell r="H103">
            <v>2908</v>
          </cell>
          <cell r="I103">
            <v>0.12</v>
          </cell>
          <cell r="J103">
            <v>3305</v>
          </cell>
          <cell r="K103">
            <v>0.1</v>
          </cell>
          <cell r="L103">
            <v>3231</v>
          </cell>
        </row>
        <row r="104">
          <cell r="C104">
            <v>8010024367</v>
          </cell>
          <cell r="D104" t="str">
            <v>外螺纹直接头印尼(日标)PVC-U管件(AW给水系列)灰色 DN40 (1-1/2") 联塑</v>
          </cell>
          <cell r="E104" t="str">
            <v>JIS PVC-U Valve Socket (AW) DN40 (1-1/2") Grey - LESSO</v>
          </cell>
        </row>
        <row r="104">
          <cell r="G104">
            <v>3941</v>
          </cell>
          <cell r="H104">
            <v>3941</v>
          </cell>
          <cell r="I104">
            <v>0.12</v>
          </cell>
          <cell r="J104">
            <v>4479</v>
          </cell>
          <cell r="K104">
            <v>0.1</v>
          </cell>
          <cell r="L104">
            <v>4379</v>
          </cell>
        </row>
        <row r="105">
          <cell r="C105">
            <v>8010024442</v>
          </cell>
          <cell r="D105" t="str">
            <v>外螺纹直接头印尼(日标)PVC-U管件(AW给水系列)灰色 DN50 (2") 联塑</v>
          </cell>
          <cell r="E105" t="str">
            <v>JIS PVC-U Valve Socket (AW) DN50 (2") Grey - LESSO</v>
          </cell>
        </row>
        <row r="105">
          <cell r="G105">
            <v>5708</v>
          </cell>
          <cell r="H105">
            <v>5708</v>
          </cell>
          <cell r="I105">
            <v>0.12</v>
          </cell>
          <cell r="J105">
            <v>6487</v>
          </cell>
          <cell r="K105">
            <v>0.1</v>
          </cell>
          <cell r="L105">
            <v>6342</v>
          </cell>
        </row>
        <row r="106">
          <cell r="C106">
            <v>8010024810</v>
          </cell>
          <cell r="D106" t="str">
            <v>外螺纹直接头印尼(日标)PVC-U管件(AW给水系列)灰色 DN75 (3") 联塑</v>
          </cell>
          <cell r="E106" t="str">
            <v>JIS PVC-U Valve Socket (AW) DN75 (3") Grey - LESSO</v>
          </cell>
        </row>
        <row r="106">
          <cell r="G106">
            <v>13235</v>
          </cell>
          <cell r="H106">
            <v>13235</v>
          </cell>
          <cell r="I106">
            <v>0.12</v>
          </cell>
          <cell r="J106">
            <v>15040</v>
          </cell>
          <cell r="K106">
            <v>0.1</v>
          </cell>
          <cell r="L106">
            <v>14706</v>
          </cell>
        </row>
        <row r="107">
          <cell r="C107">
            <v>8010024443</v>
          </cell>
          <cell r="D107" t="str">
            <v>外螺纹直接头印尼(日标)PVC-U管件(AW给水系列)灰色 DN100 (4") 联塑</v>
          </cell>
          <cell r="E107" t="str">
            <v>JIS PVC-U Valve Socket (AW) DN100 (4") Grey - LESSO</v>
          </cell>
        </row>
        <row r="107">
          <cell r="G107">
            <v>23099</v>
          </cell>
          <cell r="H107">
            <v>23099</v>
          </cell>
          <cell r="I107">
            <v>0.12</v>
          </cell>
          <cell r="J107">
            <v>26249</v>
          </cell>
          <cell r="K107">
            <v>0.1</v>
          </cell>
          <cell r="L107">
            <v>25666</v>
          </cell>
        </row>
        <row r="108">
          <cell r="C108">
            <v>8010024561</v>
          </cell>
          <cell r="D108" t="str">
            <v>外螺纹异径直接头印尼(日标)PVC-U管件(AW给水系列)灰色 DN16x25 (1/2"x1") 联塑</v>
          </cell>
          <cell r="E108" t="str">
            <v>JIS PVC-U Valve Socket (AW) DN16x25 (1/2"x1") Grey - LESSO</v>
          </cell>
        </row>
        <row r="108">
          <cell r="G108">
            <v>1350</v>
          </cell>
          <cell r="H108">
            <v>1350</v>
          </cell>
          <cell r="I108">
            <v>0.12</v>
          </cell>
          <cell r="J108">
            <v>1535</v>
          </cell>
          <cell r="K108">
            <v>0.1</v>
          </cell>
          <cell r="L108">
            <v>1500</v>
          </cell>
        </row>
        <row r="109">
          <cell r="C109">
            <v>8010024658</v>
          </cell>
          <cell r="D109" t="str">
            <v>外螺纹异径直接头印尼(日标)PVC-U管件(AW给水系列)灰色 DN20x16 (3/4"x1/2") 联塑</v>
          </cell>
          <cell r="E109" t="str">
            <v>JIS PVC-U Valve Socket (AW) DN20x16 (3/4"x1/2") Grey - LESSO</v>
          </cell>
        </row>
        <row r="109">
          <cell r="G109">
            <v>1200</v>
          </cell>
          <cell r="H109">
            <v>1200</v>
          </cell>
          <cell r="I109">
            <v>0.12</v>
          </cell>
          <cell r="J109">
            <v>1364</v>
          </cell>
          <cell r="K109">
            <v>0.1</v>
          </cell>
          <cell r="L109">
            <v>1333</v>
          </cell>
        </row>
        <row r="110">
          <cell r="C110">
            <v>8010024549</v>
          </cell>
          <cell r="D110" t="str">
            <v>外螺纹异径直接头印尼(日标)PVC-U管件(AW给水系列)灰色 DN20x25 (3/4x1") 联塑</v>
          </cell>
          <cell r="E110" t="str">
            <v>JIS PVC-U Valve Socket (AW) DN20x25 (3/4x1") Grey - LESSO</v>
          </cell>
          <cell r="F110">
            <v>1400</v>
          </cell>
          <cell r="G110">
            <v>1400</v>
          </cell>
          <cell r="H110">
            <v>1400</v>
          </cell>
          <cell r="I110">
            <v>0.12</v>
          </cell>
          <cell r="J110">
            <v>1591</v>
          </cell>
          <cell r="K110">
            <v>0.1</v>
          </cell>
          <cell r="L110">
            <v>1556</v>
          </cell>
        </row>
        <row r="111">
          <cell r="C111">
            <v>8010024365</v>
          </cell>
          <cell r="D111" t="str">
            <v>内螺纹直接头印尼(日标)PVC-U管件(AW给水系列)灰色 DN16 (1/2") 联塑</v>
          </cell>
          <cell r="E111" t="str">
            <v>JIS PVC-U Faucet Socket (AW) DN16 (1/2") Grey - LESSO</v>
          </cell>
        </row>
        <row r="111">
          <cell r="G111">
            <v>1100</v>
          </cell>
          <cell r="H111">
            <v>1100</v>
          </cell>
          <cell r="I111">
            <v>0.12</v>
          </cell>
          <cell r="J111">
            <v>1250</v>
          </cell>
          <cell r="K111">
            <v>0.1</v>
          </cell>
          <cell r="L111">
            <v>1222</v>
          </cell>
        </row>
        <row r="112">
          <cell r="C112">
            <v>8010024323</v>
          </cell>
          <cell r="D112" t="str">
            <v>内螺纹直接头印尼(日标)PVC-U管件(AW给水系列)灰色 DN20 (3/4") 联塑</v>
          </cell>
          <cell r="E112" t="str">
            <v>JIS PVC-U Faucet Socket (AW) DN20 (3/4") Grey - LESSO</v>
          </cell>
        </row>
        <row r="112">
          <cell r="G112">
            <v>1400</v>
          </cell>
          <cell r="H112">
            <v>1400</v>
          </cell>
          <cell r="I112">
            <v>0.12</v>
          </cell>
          <cell r="J112">
            <v>1591</v>
          </cell>
          <cell r="K112">
            <v>0.1</v>
          </cell>
          <cell r="L112">
            <v>1556</v>
          </cell>
        </row>
        <row r="113">
          <cell r="C113">
            <v>8010024423</v>
          </cell>
          <cell r="D113" t="str">
            <v>内螺纹直接头印尼(日标)PVC-U管件(AW给水系列)灰色 DN25 (1") 联塑</v>
          </cell>
          <cell r="E113" t="str">
            <v>JIS PVC-U Faucet Socket (AW) DN25 (1") Grey - LESSO</v>
          </cell>
        </row>
        <row r="113">
          <cell r="G113">
            <v>2300</v>
          </cell>
          <cell r="H113">
            <v>2300</v>
          </cell>
          <cell r="I113">
            <v>0.12</v>
          </cell>
          <cell r="J113">
            <v>2614</v>
          </cell>
          <cell r="K113">
            <v>0.1</v>
          </cell>
          <cell r="L113">
            <v>2556</v>
          </cell>
        </row>
        <row r="114">
          <cell r="C114">
            <v>8010024366</v>
          </cell>
          <cell r="D114" t="str">
            <v>内螺纹直接头印尼(日标)PVC-U管件(AW给水系列)灰色 DN35 (1-1/4") 联塑</v>
          </cell>
          <cell r="E114" t="str">
            <v>JIS PVC-U Faucet Socket (AW) DN35 (1-1/4") Grey - LESSO</v>
          </cell>
        </row>
        <row r="114">
          <cell r="G114">
            <v>3521</v>
          </cell>
          <cell r="H114">
            <v>3521</v>
          </cell>
          <cell r="I114">
            <v>0.12</v>
          </cell>
          <cell r="J114">
            <v>4002</v>
          </cell>
          <cell r="K114">
            <v>0.1</v>
          </cell>
          <cell r="L114">
            <v>3912</v>
          </cell>
        </row>
        <row r="115">
          <cell r="C115">
            <v>8010024321</v>
          </cell>
          <cell r="D115" t="str">
            <v>内螺纹直接头印尼(日标)PVC-U管件(AW给水系列)灰色 DN40 (1-1/2") 联塑</v>
          </cell>
          <cell r="E115" t="str">
            <v>JIS PVC-U Faucet Socket (AW) DN40 (1-1/2") Grey - LESSO</v>
          </cell>
        </row>
        <row r="115">
          <cell r="G115">
            <v>4597</v>
          </cell>
          <cell r="H115">
            <v>4597</v>
          </cell>
          <cell r="I115">
            <v>0.12</v>
          </cell>
          <cell r="J115">
            <v>5224</v>
          </cell>
          <cell r="K115">
            <v>0.1</v>
          </cell>
          <cell r="L115">
            <v>5108</v>
          </cell>
        </row>
        <row r="116">
          <cell r="C116">
            <v>8010024322</v>
          </cell>
          <cell r="D116" t="str">
            <v>内螺纹直接头印尼(日标)PVC-U管件(AW给水系列)灰色 DN50 (2") 联塑</v>
          </cell>
          <cell r="E116" t="str">
            <v>JIS PVC-U Faucet Socket (AW) DN50 (2") Grey - LESSO</v>
          </cell>
        </row>
        <row r="116">
          <cell r="G116">
            <v>5708</v>
          </cell>
          <cell r="H116">
            <v>5708</v>
          </cell>
          <cell r="I116">
            <v>0.12</v>
          </cell>
          <cell r="J116">
            <v>6487</v>
          </cell>
          <cell r="K116">
            <v>0.1</v>
          </cell>
          <cell r="L116">
            <v>6342</v>
          </cell>
        </row>
        <row r="117">
          <cell r="C117">
            <v>8010024548</v>
          </cell>
          <cell r="D117" t="str">
            <v>内螺纹异径直接头印尼(日标)PVC-U管件(AW给水系列)灰色 DN16x25 (1/2"x1") 联塑</v>
          </cell>
          <cell r="E117" t="str">
            <v>JIS PVC-U Faucet Socket (AW) DN16x25 (1/2"x1") Grey - LESSO</v>
          </cell>
        </row>
        <row r="117">
          <cell r="G117">
            <v>1400</v>
          </cell>
          <cell r="H117">
            <v>1400</v>
          </cell>
          <cell r="I117">
            <v>0.12</v>
          </cell>
          <cell r="J117">
            <v>1591</v>
          </cell>
          <cell r="K117">
            <v>0.1</v>
          </cell>
          <cell r="L117">
            <v>1556</v>
          </cell>
        </row>
        <row r="118">
          <cell r="C118">
            <v>8010024876</v>
          </cell>
          <cell r="D118" t="str">
            <v>内螺纹异径直接头印尼(日标)PVC-U管件(AW给水系列)灰色 DN20x16 (3/4"x1/2") 联塑</v>
          </cell>
          <cell r="E118" t="str">
            <v>JIS PVC-U Faucet Socket (AW) DN20x16 (3/4"x1/2") Grey - LESSO</v>
          </cell>
        </row>
        <row r="118">
          <cell r="G118">
            <v>1300</v>
          </cell>
          <cell r="H118">
            <v>1300</v>
          </cell>
          <cell r="I118">
            <v>0.12</v>
          </cell>
          <cell r="J118">
            <v>1478</v>
          </cell>
          <cell r="K118">
            <v>0.1</v>
          </cell>
          <cell r="L118">
            <v>1444</v>
          </cell>
        </row>
        <row r="119">
          <cell r="C119">
            <v>8010024320</v>
          </cell>
          <cell r="D119" t="str">
            <v>内螺纹异径直接头印尼(日标)PVC-U管件(AW给水系列)灰色 DN20x25 (3/4"x1") 联塑</v>
          </cell>
          <cell r="E119" t="str">
            <v>JIS PVC-U Faucet Socket (AW) DN20x25 (3/4"x1") Grey - LESSO</v>
          </cell>
        </row>
        <row r="119">
          <cell r="G119">
            <v>1850</v>
          </cell>
          <cell r="H119">
            <v>1850</v>
          </cell>
          <cell r="I119">
            <v>0.12</v>
          </cell>
          <cell r="J119">
            <v>2103</v>
          </cell>
          <cell r="K119">
            <v>0.1</v>
          </cell>
          <cell r="L119">
            <v>2056</v>
          </cell>
        </row>
        <row r="120">
          <cell r="C120">
            <v>8010024408</v>
          </cell>
          <cell r="D120" t="str">
            <v>内螺纹异径直接头印尼(日标)PVC-U管件(AW给水系列)灰色 DN25x16 (1"x1/2") 联塑</v>
          </cell>
          <cell r="E120" t="str">
            <v>JIS PVC-U Faucet Socket (AW) DN25x16 (1"x1/2") Grey - LESSO</v>
          </cell>
        </row>
        <row r="120">
          <cell r="G120">
            <v>1750</v>
          </cell>
          <cell r="H120">
            <v>1750</v>
          </cell>
          <cell r="I120">
            <v>0.12</v>
          </cell>
          <cell r="J120">
            <v>1989</v>
          </cell>
          <cell r="K120">
            <v>0.1</v>
          </cell>
          <cell r="L120">
            <v>1944</v>
          </cell>
        </row>
        <row r="121">
          <cell r="C121">
            <v>8010024389</v>
          </cell>
          <cell r="D121" t="str">
            <v>铜内丝直接头印尼(日标)PVC-U管件(AW给水系列)灰色 DN16 (1/2") 联塑</v>
          </cell>
          <cell r="E121" t="str">
            <v>JIS PVC-U Faucet Socket With Metal Insert (AW) DN16 (1/2") Grey - LESSO</v>
          </cell>
        </row>
        <row r="121">
          <cell r="G121">
            <v>5200</v>
          </cell>
          <cell r="H121">
            <v>5200</v>
          </cell>
          <cell r="I121">
            <v>0.12</v>
          </cell>
          <cell r="J121">
            <v>5910</v>
          </cell>
          <cell r="K121">
            <v>0.1</v>
          </cell>
          <cell r="L121">
            <v>5778</v>
          </cell>
        </row>
        <row r="122">
          <cell r="C122">
            <v>8010024197</v>
          </cell>
          <cell r="D122" t="str">
            <v>铜内丝直接头印尼(日标)PVC-U管件(AW给水系列)灰色 DN20 (3/4") 联塑</v>
          </cell>
          <cell r="E122" t="str">
            <v>JIS PVC-U Faucet Socket With Metal Insert (AW) DN20 (3/4") Grey - LESSO</v>
          </cell>
        </row>
        <row r="122">
          <cell r="G122">
            <v>8350</v>
          </cell>
          <cell r="H122">
            <v>8350</v>
          </cell>
          <cell r="I122">
            <v>0.12</v>
          </cell>
          <cell r="J122">
            <v>9489</v>
          </cell>
          <cell r="K122">
            <v>0.1</v>
          </cell>
          <cell r="L122">
            <v>9278</v>
          </cell>
        </row>
        <row r="123">
          <cell r="C123">
            <v>8010024198</v>
          </cell>
          <cell r="D123" t="str">
            <v>铜内丝直接头印尼(日标)PVC-U管件(AW给水系列)灰色 DN20x16 (3/4"x1/2") 联塑</v>
          </cell>
          <cell r="E123" t="str">
            <v>JIS PVC-U Faucet Socket With Metal Insert (AW) DN20x16 (3/4"x1/2") Grey - LESSO</v>
          </cell>
        </row>
        <row r="123">
          <cell r="G123">
            <v>7400</v>
          </cell>
          <cell r="H123">
            <v>7400</v>
          </cell>
          <cell r="I123">
            <v>0.12</v>
          </cell>
          <cell r="J123">
            <v>8410</v>
          </cell>
          <cell r="K123">
            <v>0.1</v>
          </cell>
          <cell r="L123">
            <v>8222</v>
          </cell>
        </row>
        <row r="124">
          <cell r="C124" t="str">
            <v>GPR-PP04C03009</v>
          </cell>
          <cell r="D124" t="str">
            <v>铜内丝直接头印尼(日标)PVC-U管件(AW给水系列) DN16 (1/2") - RUCIKA</v>
          </cell>
          <cell r="E124" t="str">
            <v>JIS PVC-U Faucet Socket With Metal Insert (AW) DN16 (1/2") - RUCIKA</v>
          </cell>
        </row>
        <row r="124">
          <cell r="G124">
            <v>7027</v>
          </cell>
          <cell r="H124">
            <v>7027</v>
          </cell>
          <cell r="I124">
            <v>0.15</v>
          </cell>
          <cell r="J124">
            <v>8268</v>
          </cell>
          <cell r="K124">
            <v>0.15</v>
          </cell>
          <cell r="L124">
            <v>8267</v>
          </cell>
        </row>
        <row r="125">
          <cell r="C125">
            <v>8010024364</v>
          </cell>
          <cell r="D125" t="str">
            <v>内螺纹三通印尼(日标)PVC-U管件(AW给水系列)灰色 DN16 (1/2") 联塑</v>
          </cell>
          <cell r="E125" t="str">
            <v>JIS PVC-U Faucet Tee (AW) DN16 (1/2") Grey - LESSO</v>
          </cell>
        </row>
        <row r="125">
          <cell r="G125">
            <v>2050</v>
          </cell>
          <cell r="H125">
            <v>2050</v>
          </cell>
          <cell r="I125">
            <v>0.12</v>
          </cell>
          <cell r="J125">
            <v>2330</v>
          </cell>
          <cell r="K125">
            <v>0.1</v>
          </cell>
          <cell r="L125">
            <v>2278</v>
          </cell>
        </row>
        <row r="126">
          <cell r="C126">
            <v>8010024421</v>
          </cell>
          <cell r="D126" t="str">
            <v>内螺纹三通印尼(日标)PVC-U管件(AW给水系列)灰色 DN20 (3/4") 联塑</v>
          </cell>
          <cell r="E126" t="str">
            <v>JIS PVC-U Faucet Tee (AW) DN20 (3/4") Grey - LESSO</v>
          </cell>
        </row>
        <row r="126">
          <cell r="G126">
            <v>2300</v>
          </cell>
          <cell r="H126">
            <v>2300</v>
          </cell>
          <cell r="I126">
            <v>0.12</v>
          </cell>
          <cell r="J126">
            <v>2614</v>
          </cell>
          <cell r="K126">
            <v>0.1</v>
          </cell>
          <cell r="L126">
            <v>2556</v>
          </cell>
        </row>
        <row r="127">
          <cell r="C127">
            <v>8010024440</v>
          </cell>
          <cell r="D127" t="str">
            <v>内螺纹异径三通印尼(日标)PVC-U管件(AW给水系列)灰色 DN20x16 (3/4"x1/2") 联塑</v>
          </cell>
          <cell r="E127" t="str">
            <v>JIS PVC-U Faucet Tee (AW) DN20x16 (3/4"x1/2") Grey - LESSO</v>
          </cell>
        </row>
        <row r="127">
          <cell r="G127">
            <v>2208</v>
          </cell>
          <cell r="H127">
            <v>2208</v>
          </cell>
          <cell r="I127">
            <v>0.12</v>
          </cell>
          <cell r="J127">
            <v>2510</v>
          </cell>
          <cell r="K127">
            <v>0.1</v>
          </cell>
          <cell r="L127">
            <v>2453</v>
          </cell>
        </row>
        <row r="128">
          <cell r="C128">
            <v>8010024422</v>
          </cell>
          <cell r="D128" t="str">
            <v>内螺纹异径三通印尼(日标)PVC-U管件(AW给水系列)灰色 DN25x16 (1"x1/2") 联塑</v>
          </cell>
          <cell r="E128" t="str">
            <v>JIS PVC-U Faucet Tee (AW) DN25x16 (1"x1/2") Grey - LESSO</v>
          </cell>
        </row>
        <row r="128">
          <cell r="G128">
            <v>3081</v>
          </cell>
          <cell r="H128">
            <v>3081</v>
          </cell>
          <cell r="I128">
            <v>0.12</v>
          </cell>
          <cell r="J128">
            <v>3502</v>
          </cell>
          <cell r="K128">
            <v>0.1</v>
          </cell>
          <cell r="L128">
            <v>3423</v>
          </cell>
        </row>
        <row r="129">
          <cell r="C129">
            <v>8010024563</v>
          </cell>
          <cell r="D129" t="str">
            <v>铜内丝三通印尼(日标)PVC-U管件(AW给水系列)灰色 DN16 (1/2") 联塑</v>
          </cell>
          <cell r="E129" t="str">
            <v>JIS PVC-U Faucet Tee With Metal Insert (AW) DN16 (1/2") Grey - LESSO</v>
          </cell>
        </row>
        <row r="129">
          <cell r="G129">
            <v>8150</v>
          </cell>
          <cell r="H129">
            <v>8150</v>
          </cell>
          <cell r="I129">
            <v>0.12</v>
          </cell>
          <cell r="J129">
            <v>9262</v>
          </cell>
          <cell r="K129">
            <v>0.1</v>
          </cell>
          <cell r="L129">
            <v>9056</v>
          </cell>
        </row>
        <row r="130">
          <cell r="C130">
            <v>8010024424</v>
          </cell>
          <cell r="D130" t="str">
            <v>铜内丝三通印尼(日标)PVC-U管件(AW给水系列) 灰色 DN20 (3/4") 联塑</v>
          </cell>
          <cell r="E130" t="str">
            <v>JIS PVC-U Faucet Tee With Metal Insert (AW) DN20 (3/4") - LESSO</v>
          </cell>
        </row>
        <row r="130">
          <cell r="G130">
            <v>14700</v>
          </cell>
          <cell r="H130">
            <v>14700</v>
          </cell>
          <cell r="I130">
            <v>0.12</v>
          </cell>
          <cell r="J130">
            <v>16705</v>
          </cell>
          <cell r="K130">
            <v>0.1</v>
          </cell>
          <cell r="L130">
            <v>16333</v>
          </cell>
        </row>
        <row r="131">
          <cell r="C131">
            <v>8010024425</v>
          </cell>
          <cell r="D131" t="str">
            <v>铜内丝三通印尼(日标)PVC-U管件(AW给水系列)灰色 DN20x16 (3/4"x1/2") 联塑</v>
          </cell>
          <cell r="E131" t="str">
            <v>JIS PVC-U Faucet Tee With Metal Insert (AW) DN20x16 (3/4"x1/2") Grey - LESSO</v>
          </cell>
        </row>
        <row r="131">
          <cell r="G131">
            <v>8450</v>
          </cell>
          <cell r="H131">
            <v>8450</v>
          </cell>
          <cell r="I131">
            <v>0.12</v>
          </cell>
          <cell r="J131">
            <v>9603</v>
          </cell>
          <cell r="K131">
            <v>0.1</v>
          </cell>
          <cell r="L131">
            <v>9389</v>
          </cell>
        </row>
        <row r="132">
          <cell r="C132">
            <v>8010024875</v>
          </cell>
          <cell r="D132" t="str">
            <v>内螺纹弯头印尼(日标)PVC-U管件(AW给水系列)灰色 DN16 (1/2") 联塑</v>
          </cell>
          <cell r="E132" t="str">
            <v>JIS PVC-U Faucet Elbow (AW) DN16 (1/2") Grey - LESSO</v>
          </cell>
        </row>
        <row r="132">
          <cell r="G132">
            <v>1250</v>
          </cell>
          <cell r="H132">
            <v>1250</v>
          </cell>
          <cell r="I132">
            <v>0.12</v>
          </cell>
          <cell r="J132">
            <v>1421</v>
          </cell>
          <cell r="K132">
            <v>0.1</v>
          </cell>
          <cell r="L132">
            <v>1389</v>
          </cell>
        </row>
        <row r="133">
          <cell r="C133">
            <v>8010024806</v>
          </cell>
          <cell r="D133" t="str">
            <v>内螺纹弯头印尼(日标)PVC-U管件(AW给水系列)灰色 DN20 (3/4") 联塑</v>
          </cell>
          <cell r="E133" t="str">
            <v>JIS PVC-U Faucet Elbow (AW) DN20 (3/4") Grey - LESSO</v>
          </cell>
        </row>
        <row r="133">
          <cell r="G133">
            <v>1850</v>
          </cell>
          <cell r="H133">
            <v>1850</v>
          </cell>
          <cell r="I133">
            <v>0.12</v>
          </cell>
          <cell r="J133">
            <v>2103</v>
          </cell>
          <cell r="K133">
            <v>0.1</v>
          </cell>
          <cell r="L133">
            <v>2056</v>
          </cell>
        </row>
        <row r="134">
          <cell r="C134">
            <v>8010024562</v>
          </cell>
          <cell r="D134" t="str">
            <v>内螺纹弯头印尼(日标)PVC-U管件(AW给水系列)灰色 DN25 (1") 联塑</v>
          </cell>
          <cell r="E134" t="str">
            <v>JIS PVC-U Faucet Elbow (AW) DN25 (1") Grey - LESSO</v>
          </cell>
        </row>
        <row r="134">
          <cell r="G134">
            <v>2650</v>
          </cell>
          <cell r="H134">
            <v>2650</v>
          </cell>
          <cell r="I134">
            <v>0.12</v>
          </cell>
          <cell r="J134">
            <v>3012</v>
          </cell>
          <cell r="K134">
            <v>0.1</v>
          </cell>
          <cell r="L134">
            <v>2944</v>
          </cell>
        </row>
        <row r="135">
          <cell r="C135">
            <v>8010024449</v>
          </cell>
          <cell r="D135" t="str">
            <v>铜内丝弯头印尼(日标)PVC-U管件(AW给水系列)灰色 DN16 (1/2") 联塑</v>
          </cell>
          <cell r="E135" t="str">
            <v>JIS PVC-U Faucet Elbow With Metal Insert (AW) DN16 (1/2") Grey - LESSO</v>
          </cell>
        </row>
        <row r="135">
          <cell r="G135">
            <v>5200</v>
          </cell>
          <cell r="H135">
            <v>5200</v>
          </cell>
          <cell r="I135">
            <v>0.12</v>
          </cell>
          <cell r="J135">
            <v>5910</v>
          </cell>
          <cell r="K135">
            <v>0.1</v>
          </cell>
          <cell r="L135">
            <v>5778</v>
          </cell>
        </row>
        <row r="136">
          <cell r="C136">
            <v>8010024418</v>
          </cell>
          <cell r="D136" t="str">
            <v>铜内丝弯头印尼(日标)PVC-U管件(AW给水系列)灰色 DN20 (3/4") 联塑</v>
          </cell>
          <cell r="E136" t="str">
            <v>JIS PVC-U Faucet Elbow With Metal Insert (AW) DN20 (3/4") Grey - LESSO</v>
          </cell>
        </row>
        <row r="136">
          <cell r="G136">
            <v>8800</v>
          </cell>
          <cell r="H136">
            <v>8800</v>
          </cell>
          <cell r="I136">
            <v>0.12</v>
          </cell>
          <cell r="J136">
            <v>10000</v>
          </cell>
          <cell r="K136">
            <v>0.1</v>
          </cell>
          <cell r="L136">
            <v>9778</v>
          </cell>
        </row>
        <row r="137">
          <cell r="C137">
            <v>8010024426</v>
          </cell>
          <cell r="D137" t="str">
            <v>铜内丝弯头印尼(日标)PVC-U管件(AW给水系列)灰色 DN20x16 (3/4"x1/2") 联塑</v>
          </cell>
          <cell r="E137" t="str">
            <v>JIS PVC-U Faucet Elbow With Metal Insert (AW) DN20x16 (3/4"x1/2") Grey - LESSO</v>
          </cell>
        </row>
        <row r="137">
          <cell r="G137">
            <v>7550</v>
          </cell>
          <cell r="H137">
            <v>7550</v>
          </cell>
          <cell r="I137">
            <v>0.12</v>
          </cell>
          <cell r="J137">
            <v>8580</v>
          </cell>
          <cell r="K137">
            <v>0.1</v>
          </cell>
          <cell r="L137">
            <v>8389</v>
          </cell>
        </row>
        <row r="138">
          <cell r="C138">
            <v>8010024807</v>
          </cell>
          <cell r="D138" t="str">
            <v>内螺纹异径弯头印尼(日标)PVC-U管件(AW给水系列)灰色 DN20x16 (3/4"x1/2") 联塑</v>
          </cell>
          <cell r="E138" t="str">
            <v>JIS PVC-U Faucet Elbow (AW) DN20x16 (3/4"x1/2") Grey - LESSO</v>
          </cell>
        </row>
        <row r="138">
          <cell r="G138">
            <v>1400</v>
          </cell>
          <cell r="H138">
            <v>1400</v>
          </cell>
          <cell r="I138">
            <v>0.12</v>
          </cell>
          <cell r="J138">
            <v>1591</v>
          </cell>
          <cell r="K138">
            <v>0.1</v>
          </cell>
          <cell r="L138">
            <v>1556</v>
          </cell>
        </row>
        <row r="139">
          <cell r="C139">
            <v>8010024808</v>
          </cell>
          <cell r="D139" t="str">
            <v>内螺纹异径弯头印尼(日标)PVC-U管件(AW给水系列)灰色 DN25x16 (1"x1/2") 联塑</v>
          </cell>
          <cell r="E139" t="str">
            <v>JIS PVC-U Faucet Elbow (AW) DN25x16 (1"x1/2") Grey - LESSO</v>
          </cell>
        </row>
        <row r="139">
          <cell r="G139">
            <v>2000</v>
          </cell>
          <cell r="H139">
            <v>2000</v>
          </cell>
          <cell r="I139">
            <v>0.12</v>
          </cell>
          <cell r="J139">
            <v>2273</v>
          </cell>
          <cell r="K139">
            <v>0.1</v>
          </cell>
          <cell r="L139">
            <v>2222</v>
          </cell>
        </row>
        <row r="140">
          <cell r="C140">
            <v>8010024553</v>
          </cell>
          <cell r="D140" t="str">
            <v>活接头(胶粘连接)印尼(日标)PVC-U管件(AW给水系列)灰色 DN16 (1/2") 联塑</v>
          </cell>
          <cell r="E140" t="str">
            <v>JIS PVC-U Union Socket (AW) DN16 (1/2") Grey - LESSO</v>
          </cell>
        </row>
        <row r="140">
          <cell r="G140">
            <v>13900</v>
          </cell>
          <cell r="H140">
            <v>13900</v>
          </cell>
          <cell r="I140">
            <v>0.12</v>
          </cell>
          <cell r="J140">
            <v>15796</v>
          </cell>
          <cell r="K140">
            <v>0.1</v>
          </cell>
          <cell r="L140">
            <v>15444</v>
          </cell>
        </row>
        <row r="141">
          <cell r="C141">
            <v>8010024813</v>
          </cell>
          <cell r="D141" t="str">
            <v>活接头(胶粘连接)印尼(日标)PVC-U管件(AW给水系列)灰色 DN20 (3/4") 联塑</v>
          </cell>
          <cell r="E141" t="str">
            <v>JIS PVC-U Union Socket (AW) DN20 (3/4") Grey - LESSO</v>
          </cell>
        </row>
        <row r="141">
          <cell r="G141">
            <v>16999</v>
          </cell>
          <cell r="H141">
            <v>16999</v>
          </cell>
          <cell r="I141">
            <v>0.12</v>
          </cell>
          <cell r="J141">
            <v>19318</v>
          </cell>
          <cell r="K141">
            <v>0.1</v>
          </cell>
          <cell r="L141">
            <v>18888</v>
          </cell>
        </row>
        <row r="142">
          <cell r="C142">
            <v>8010024419</v>
          </cell>
          <cell r="D142" t="str">
            <v>活接头(胶粘连接)印尼(日标)PVC-U管件(AW给水系列)灰色 DN25 (1") 联塑</v>
          </cell>
          <cell r="E142" t="str">
            <v>JIS PVC-U Union Socket (AW) DN25 (1") Grey - LESSO</v>
          </cell>
        </row>
        <row r="142">
          <cell r="G142">
            <v>23300</v>
          </cell>
          <cell r="H142">
            <v>23300</v>
          </cell>
          <cell r="I142">
            <v>0.12</v>
          </cell>
          <cell r="J142">
            <v>26478</v>
          </cell>
          <cell r="K142">
            <v>0.1</v>
          </cell>
          <cell r="L142">
            <v>25889</v>
          </cell>
        </row>
        <row r="143">
          <cell r="C143">
            <v>8010024450</v>
          </cell>
          <cell r="D143" t="str">
            <v>活接头(胶粘连接)印尼(日标)PVC-U管件(AW给水系列)灰色 DN35 (1-1/4") 联塑</v>
          </cell>
          <cell r="E143" t="str">
            <v>JIS PVC-U Union Socket (AW) DN35 (1-1/4") Grey - LESSO</v>
          </cell>
        </row>
        <row r="143">
          <cell r="G143">
            <v>39446</v>
          </cell>
          <cell r="H143">
            <v>39446</v>
          </cell>
          <cell r="I143">
            <v>0.12</v>
          </cell>
          <cell r="J143">
            <v>44825</v>
          </cell>
          <cell r="K143">
            <v>0.1</v>
          </cell>
          <cell r="L143">
            <v>43829</v>
          </cell>
        </row>
        <row r="144">
          <cell r="C144">
            <v>8010024420</v>
          </cell>
          <cell r="D144" t="str">
            <v>活接头(胶粘连接)印尼(日标)PVC-U管件(AW给水系列)灰色 DN40 (1-1/2") 联塑</v>
          </cell>
          <cell r="E144" t="str">
            <v>JIS PVC-U Union Socket (AW) DN40 (1-1/2") Grey - LESSO</v>
          </cell>
        </row>
        <row r="144">
          <cell r="G144">
            <v>53242</v>
          </cell>
          <cell r="H144">
            <v>53242</v>
          </cell>
          <cell r="I144">
            <v>0.12</v>
          </cell>
          <cell r="J144">
            <v>60503</v>
          </cell>
          <cell r="K144">
            <v>0.1</v>
          </cell>
          <cell r="L144">
            <v>59158</v>
          </cell>
        </row>
        <row r="145">
          <cell r="C145">
            <v>8010024554</v>
          </cell>
          <cell r="D145" t="str">
            <v>活接头(螺纹连接)印尼(日标)PVC-U管件(AW给水系列)灰色 DN16 (1/2") 联塑</v>
          </cell>
          <cell r="E145" t="str">
            <v>JIS PVC-U Union Threaded (AW) DN16 (1/2") Grey - LESSO</v>
          </cell>
        </row>
        <row r="145">
          <cell r="G145">
            <v>13900</v>
          </cell>
          <cell r="H145">
            <v>13900</v>
          </cell>
          <cell r="I145">
            <v>0.12</v>
          </cell>
          <cell r="J145">
            <v>15796</v>
          </cell>
          <cell r="K145">
            <v>0.1</v>
          </cell>
          <cell r="L145">
            <v>15444</v>
          </cell>
        </row>
        <row r="146">
          <cell r="C146">
            <v>8010024949</v>
          </cell>
          <cell r="D146" t="str">
            <v>活接头(螺纹连接)印尼(日标)PVC-U管件(AW给水系列)灰色 DN20 (3/4") 联塑</v>
          </cell>
          <cell r="E146" t="str">
            <v>JIS PVC-U Union Threaded (AW) DN20 (3/4") Grey - LESSO</v>
          </cell>
        </row>
        <row r="146">
          <cell r="G146">
            <v>16999</v>
          </cell>
          <cell r="H146">
            <v>16999</v>
          </cell>
          <cell r="I146">
            <v>0.12</v>
          </cell>
          <cell r="J146">
            <v>19318</v>
          </cell>
          <cell r="K146">
            <v>0.1</v>
          </cell>
          <cell r="L146">
            <v>18888</v>
          </cell>
        </row>
        <row r="147">
          <cell r="C147">
            <v>8010024814</v>
          </cell>
          <cell r="D147" t="str">
            <v>活接头(螺纹连接)印尼(日标)PVC-U管件(AW给水系列)灰色 DN25 (1") 联塑</v>
          </cell>
          <cell r="E147" t="str">
            <v>JIS PVC-U Union Threaded (AW) DN25 (1") Grey - LESSO</v>
          </cell>
        </row>
        <row r="147">
          <cell r="G147">
            <v>23300</v>
          </cell>
          <cell r="H147">
            <v>23300</v>
          </cell>
          <cell r="I147">
            <v>0.12</v>
          </cell>
          <cell r="J147">
            <v>26478</v>
          </cell>
          <cell r="K147">
            <v>0.1</v>
          </cell>
          <cell r="L147">
            <v>25889</v>
          </cell>
        </row>
        <row r="148">
          <cell r="C148">
            <v>8010024451</v>
          </cell>
          <cell r="D148" t="str">
            <v>活接头(螺纹连接)印尼(日标)PVC-U管件(AW给水系列)灰色 DN35 (1-1/4") 联塑</v>
          </cell>
          <cell r="E148" t="str">
            <v>JIS PVC-U Union Threaded (AW) DN35 (1-1/4") Grey - LESSO</v>
          </cell>
        </row>
        <row r="148">
          <cell r="G148">
            <v>39446</v>
          </cell>
          <cell r="H148">
            <v>39446</v>
          </cell>
          <cell r="I148">
            <v>0.12</v>
          </cell>
          <cell r="J148">
            <v>44825</v>
          </cell>
          <cell r="K148">
            <v>0.1</v>
          </cell>
          <cell r="L148">
            <v>43829</v>
          </cell>
        </row>
        <row r="149">
          <cell r="C149">
            <v>8010024452</v>
          </cell>
          <cell r="D149" t="str">
            <v>活接头(螺纹连接)印尼(日标)PVC-U管件(AW给水系列)灰色 DN40 (1-1/2") 联塑</v>
          </cell>
          <cell r="E149" t="str">
            <v>JIS PVC-U Union Threaded (AW) DN40 (1-1/2") Grey - LESSO</v>
          </cell>
        </row>
        <row r="149">
          <cell r="G149">
            <v>53242</v>
          </cell>
          <cell r="H149">
            <v>53242</v>
          </cell>
          <cell r="I149">
            <v>0.12</v>
          </cell>
          <cell r="J149">
            <v>60503</v>
          </cell>
          <cell r="K149">
            <v>0.1</v>
          </cell>
          <cell r="L149">
            <v>59158</v>
          </cell>
        </row>
        <row r="150">
          <cell r="C150">
            <v>8010024809</v>
          </cell>
          <cell r="D150" t="str">
            <v>外螺纹堵头印尼(日标)PVC-U管件(AW给水系列)灰色 DN16 (1/2") 联塑</v>
          </cell>
          <cell r="E150" t="str">
            <v>JIS PVC-U Plug (AW) DN16 (1/2") Grey - LESSO</v>
          </cell>
        </row>
        <row r="150">
          <cell r="G150">
            <v>700</v>
          </cell>
          <cell r="H150">
            <v>700</v>
          </cell>
          <cell r="I150">
            <v>0.12</v>
          </cell>
          <cell r="J150">
            <v>796</v>
          </cell>
          <cell r="K150">
            <v>0.1</v>
          </cell>
          <cell r="L150">
            <v>778</v>
          </cell>
        </row>
        <row r="151">
          <cell r="C151">
            <v>8010024877</v>
          </cell>
          <cell r="D151" t="str">
            <v>外螺纹堵头印尼(日标)PVC-U管件(AW给水系列)灰色 DN20 (3/4") 联塑</v>
          </cell>
          <cell r="E151" t="str">
            <v>JIS PVC-U Plug (AW) DN20 (3/4") Grey - LESSO</v>
          </cell>
        </row>
        <row r="151">
          <cell r="G151">
            <v>850</v>
          </cell>
          <cell r="H151">
            <v>850</v>
          </cell>
          <cell r="I151">
            <v>0.12</v>
          </cell>
          <cell r="J151">
            <v>966</v>
          </cell>
          <cell r="K151">
            <v>0.1</v>
          </cell>
          <cell r="L151">
            <v>944</v>
          </cell>
        </row>
        <row r="152">
          <cell r="C152">
            <v>8010024878</v>
          </cell>
          <cell r="D152" t="str">
            <v>外螺纹堵头印尼(日标)PVC-U管件(AW给水系列)灰色 DN25 (1") 联塑</v>
          </cell>
          <cell r="E152" t="str">
            <v>JIS PVC-U Plug (AW) DN25 (1") Grey - LESSO</v>
          </cell>
        </row>
        <row r="152">
          <cell r="G152">
            <v>950</v>
          </cell>
          <cell r="H152">
            <v>950</v>
          </cell>
          <cell r="I152">
            <v>0.12</v>
          </cell>
          <cell r="J152">
            <v>1080</v>
          </cell>
          <cell r="K152">
            <v>0.1</v>
          </cell>
          <cell r="L152">
            <v>1056</v>
          </cell>
        </row>
        <row r="153">
          <cell r="C153">
            <v>8010024409</v>
          </cell>
          <cell r="D153" t="str">
            <v>双头外螺纹直接头印尼(日标)PVC-U管件(AW给水系列)灰色 DN16 (1/2") 联塑</v>
          </cell>
          <cell r="E153" t="str">
            <v>JIS PVC-U Double Nipple (AW) DN16 (1/2") Grey - LESSO</v>
          </cell>
        </row>
        <row r="153">
          <cell r="G153">
            <v>700</v>
          </cell>
          <cell r="H153">
            <v>700</v>
          </cell>
          <cell r="I153">
            <v>0.12</v>
          </cell>
          <cell r="J153">
            <v>796</v>
          </cell>
          <cell r="K153">
            <v>0.1</v>
          </cell>
          <cell r="L153">
            <v>778</v>
          </cell>
        </row>
        <row r="154">
          <cell r="C154">
            <v>8010024410</v>
          </cell>
          <cell r="D154" t="str">
            <v>双头外螺纹直接头印尼(日标)PVC-U管件(AW给水系列)灰色 DN20 (3/4") 联塑</v>
          </cell>
          <cell r="E154" t="str">
            <v>JIS PVC-U Double Nipple (AW) DN20 (3/4") Grey - LESSO</v>
          </cell>
        </row>
        <row r="154">
          <cell r="G154">
            <v>850</v>
          </cell>
          <cell r="H154">
            <v>850</v>
          </cell>
          <cell r="I154">
            <v>0.12</v>
          </cell>
          <cell r="J154">
            <v>966</v>
          </cell>
          <cell r="K154">
            <v>0.1</v>
          </cell>
          <cell r="L154">
            <v>944</v>
          </cell>
        </row>
        <row r="155">
          <cell r="C155">
            <v>8010024441</v>
          </cell>
          <cell r="D155" t="str">
            <v>双头外螺纹直接头印尼(日标)PVC-U管件(AW给水系列)灰色 DN25 (1") 联塑</v>
          </cell>
          <cell r="E155" t="str">
            <v>JIS PVC-U Double Nipple (AW) DN25 (1") Grey - LESSO</v>
          </cell>
        </row>
        <row r="155">
          <cell r="G155">
            <v>1400</v>
          </cell>
          <cell r="H155">
            <v>1400</v>
          </cell>
          <cell r="I155">
            <v>0.12</v>
          </cell>
          <cell r="J155">
            <v>1591</v>
          </cell>
          <cell r="K155">
            <v>0.1</v>
          </cell>
          <cell r="L155">
            <v>1556</v>
          </cell>
        </row>
        <row r="156">
          <cell r="C156">
            <v>8010024405</v>
          </cell>
          <cell r="D156" t="str">
            <v>管帽印尼(日标)PVC-U管件(AW给水系列) DN16 (1/2") 联塑</v>
          </cell>
          <cell r="E156" t="str">
            <v>JIS PVC-U Cap (AW) DN16 (1/2") Grey - LESSO</v>
          </cell>
        </row>
        <row r="156">
          <cell r="G156">
            <v>750</v>
          </cell>
          <cell r="H156">
            <v>750</v>
          </cell>
          <cell r="I156">
            <v>0.12</v>
          </cell>
          <cell r="J156">
            <v>853</v>
          </cell>
          <cell r="K156">
            <v>0.1</v>
          </cell>
          <cell r="L156">
            <v>833</v>
          </cell>
        </row>
        <row r="157">
          <cell r="C157">
            <v>8010024406</v>
          </cell>
          <cell r="D157" t="str">
            <v>管帽印尼(日标)PVC-U管件(AW给水系列)灰色 DN20 (3/4") 联塑</v>
          </cell>
          <cell r="E157" t="str">
            <v>JIS PVC-U Cap (AW) DN20 (3/4") Grey - LESSO</v>
          </cell>
        </row>
        <row r="157">
          <cell r="G157">
            <v>850</v>
          </cell>
          <cell r="H157">
            <v>850</v>
          </cell>
          <cell r="I157">
            <v>0.12</v>
          </cell>
          <cell r="J157">
            <v>966</v>
          </cell>
          <cell r="K157">
            <v>0.1</v>
          </cell>
          <cell r="L157">
            <v>944</v>
          </cell>
        </row>
        <row r="158">
          <cell r="C158">
            <v>8010024547</v>
          </cell>
          <cell r="D158" t="str">
            <v>管帽印尼(日标)PVC-U管件(AW给水系列)灰色 DN25 (1") 联塑</v>
          </cell>
          <cell r="E158" t="str">
            <v>JIS PVC-U Cap (AW) DN25 (1") Grey - LESSO</v>
          </cell>
        </row>
        <row r="158">
          <cell r="G158">
            <v>1300</v>
          </cell>
          <cell r="H158">
            <v>1300</v>
          </cell>
          <cell r="I158">
            <v>0.12</v>
          </cell>
          <cell r="J158">
            <v>1478</v>
          </cell>
          <cell r="K158">
            <v>0.1</v>
          </cell>
          <cell r="L158">
            <v>1444</v>
          </cell>
        </row>
        <row r="159">
          <cell r="C159">
            <v>8010024407</v>
          </cell>
          <cell r="D159" t="str">
            <v>管帽印尼(日标)PVC-U管件(AW给水系列)灰色 DN50 (2") 联塑</v>
          </cell>
          <cell r="E159" t="str">
            <v>JIS PVC-U Cap (AW) DN50 (2") Grey - LESSO</v>
          </cell>
        </row>
        <row r="159">
          <cell r="G159">
            <v>4092</v>
          </cell>
          <cell r="H159">
            <v>4092</v>
          </cell>
          <cell r="I159">
            <v>0.12</v>
          </cell>
          <cell r="J159">
            <v>4650</v>
          </cell>
          <cell r="K159">
            <v>0.1</v>
          </cell>
          <cell r="L159">
            <v>4547</v>
          </cell>
        </row>
        <row r="160">
          <cell r="C160">
            <v>8010024439</v>
          </cell>
          <cell r="D160" t="str">
            <v>管帽印尼(日标)PVC-U管件(AW给水系列)灰色 DN75 (3") 联塑</v>
          </cell>
          <cell r="E160" t="str">
            <v>JIS PVC-U Cap (AW) DN75 (3") Grey - LESSO</v>
          </cell>
        </row>
        <row r="160">
          <cell r="G160">
            <v>12628</v>
          </cell>
          <cell r="H160">
            <v>12628</v>
          </cell>
          <cell r="I160">
            <v>0.12</v>
          </cell>
          <cell r="J160">
            <v>14350</v>
          </cell>
          <cell r="K160">
            <v>0.1</v>
          </cell>
          <cell r="L160">
            <v>14031</v>
          </cell>
        </row>
        <row r="161">
          <cell r="C161">
            <v>8010024663</v>
          </cell>
          <cell r="D161" t="str">
            <v>管帽印尼(日标)PVC-U管件(AW给水系列)灰色 DN100 (4") 联塑</v>
          </cell>
          <cell r="E161" t="str">
            <v>JIS PVC-U Cap (AW) DN100 (4") Grey - LESSO</v>
          </cell>
        </row>
        <row r="161">
          <cell r="G161">
            <v>26150</v>
          </cell>
          <cell r="H161">
            <v>26150</v>
          </cell>
          <cell r="I161">
            <v>0.12</v>
          </cell>
          <cell r="J161">
            <v>29716</v>
          </cell>
          <cell r="K161">
            <v>0.1</v>
          </cell>
          <cell r="L161">
            <v>29056</v>
          </cell>
        </row>
        <row r="162">
          <cell r="C162">
            <v>80516340</v>
          </cell>
          <cell r="D162" t="str">
            <v>管帽印尼(日标) PVC-U管件(AW给水系列) DN150 (6") - RUCIKA</v>
          </cell>
          <cell r="E162" t="str">
            <v>JIS PVC-U Cap (AW) DN150 (6") - RUCIKA</v>
          </cell>
        </row>
        <row r="162">
          <cell r="G162">
            <v>60608</v>
          </cell>
          <cell r="H162">
            <v>60608</v>
          </cell>
          <cell r="I162">
            <v>0.15</v>
          </cell>
          <cell r="J162">
            <v>71304</v>
          </cell>
          <cell r="K162">
            <v>0.15</v>
          </cell>
          <cell r="L162">
            <v>71304</v>
          </cell>
        </row>
        <row r="163">
          <cell r="C163">
            <v>80516341</v>
          </cell>
          <cell r="D163" t="str">
            <v>管帽印尼(日标) PVC-U管件(AW给水系列) DN200 (8") - RUCIKA</v>
          </cell>
          <cell r="E163" t="str">
            <v>JIS PVC-U Cap (AW) DN200 (8") - RUCIKA</v>
          </cell>
        </row>
        <row r="163">
          <cell r="G163">
            <v>118851</v>
          </cell>
          <cell r="H163">
            <v>118851</v>
          </cell>
          <cell r="I163">
            <v>0.15</v>
          </cell>
          <cell r="J163">
            <v>139825</v>
          </cell>
          <cell r="K163">
            <v>0.15</v>
          </cell>
          <cell r="L163">
            <v>139825</v>
          </cell>
        </row>
        <row r="164">
          <cell r="C164">
            <v>8010024802</v>
          </cell>
          <cell r="D164" t="str">
            <v>法兰印尼(日标)PVC-U管件(AW给水系列)灰色 DN50 (2") 联塑</v>
          </cell>
          <cell r="E164" t="str">
            <v>JIS PVC-U Flange PVC (AW) DN50 (2") Grey - LESSO</v>
          </cell>
        </row>
        <row r="164">
          <cell r="G164">
            <v>16923</v>
          </cell>
          <cell r="H164">
            <v>16923</v>
          </cell>
          <cell r="I164">
            <v>0.12</v>
          </cell>
          <cell r="J164">
            <v>19231</v>
          </cell>
          <cell r="K164">
            <v>0.1</v>
          </cell>
          <cell r="L164">
            <v>18803</v>
          </cell>
        </row>
        <row r="165">
          <cell r="C165">
            <v>8010024803</v>
          </cell>
          <cell r="D165" t="str">
            <v>法兰印尼(日标)PVC-U管件(AW给水系列)灰色 DN75 (3") 联塑</v>
          </cell>
          <cell r="E165" t="str">
            <v>JIS PVC-U Flange PVC (AW) DN75 (3") Grey - LESSO</v>
          </cell>
        </row>
        <row r="165">
          <cell r="G165">
            <v>26167</v>
          </cell>
          <cell r="H165">
            <v>26167</v>
          </cell>
          <cell r="I165">
            <v>0.12</v>
          </cell>
          <cell r="J165">
            <v>29736</v>
          </cell>
          <cell r="K165">
            <v>0.1</v>
          </cell>
          <cell r="L165">
            <v>29074</v>
          </cell>
        </row>
        <row r="166">
          <cell r="C166">
            <v>8010024804</v>
          </cell>
          <cell r="D166" t="str">
            <v>法兰印尼(日标)PVC-U管件(AW给水系列)灰色 DN100 (4") 联塑</v>
          </cell>
          <cell r="E166" t="str">
            <v>JIS PVC-U Flange PVC (AW) DN100 (4") Grey - LESSO</v>
          </cell>
        </row>
        <row r="166">
          <cell r="G166">
            <v>42749</v>
          </cell>
          <cell r="H166">
            <v>42749</v>
          </cell>
          <cell r="I166">
            <v>0.12</v>
          </cell>
          <cell r="J166">
            <v>48579</v>
          </cell>
          <cell r="K166">
            <v>0.1</v>
          </cell>
          <cell r="L166">
            <v>47499</v>
          </cell>
        </row>
        <row r="167">
          <cell r="C167">
            <v>8010024805</v>
          </cell>
          <cell r="D167" t="str">
            <v>法兰印尼(日标)PVC-U管件(AW给水系列)灰色 DN150 (6") 联塑</v>
          </cell>
          <cell r="E167" t="str">
            <v>JIS PVC-U Flange PVC (AW) DN150 (6") Grey - LESSO</v>
          </cell>
        </row>
        <row r="167">
          <cell r="G167">
            <v>97497</v>
          </cell>
          <cell r="H167">
            <v>97497</v>
          </cell>
          <cell r="I167">
            <v>0.12</v>
          </cell>
          <cell r="J167">
            <v>110793</v>
          </cell>
          <cell r="K167">
            <v>0.1</v>
          </cell>
          <cell r="L167">
            <v>108330</v>
          </cell>
        </row>
        <row r="168">
          <cell r="C168">
            <v>80516355</v>
          </cell>
          <cell r="D168" t="str">
            <v>法兰印尼(日标) PVC-U管件(AW给水系列) DN65 (2-1/2") - RUCIKA</v>
          </cell>
          <cell r="E168" t="str">
            <v>JIS PVC-U Flange (AW) DN65 (2-1/2") - RUCIKA</v>
          </cell>
        </row>
        <row r="168">
          <cell r="G168">
            <v>29527</v>
          </cell>
          <cell r="H168">
            <v>29527</v>
          </cell>
          <cell r="I168">
            <v>0.15</v>
          </cell>
          <cell r="J168">
            <v>34738</v>
          </cell>
          <cell r="K168">
            <v>0.15</v>
          </cell>
          <cell r="L168">
            <v>34738</v>
          </cell>
        </row>
        <row r="169">
          <cell r="C169">
            <v>8010024193</v>
          </cell>
          <cell r="D169" t="str">
            <v>异径套印尼(日标)PVC-U管件(AW给水系列)灰色 DN20x16 (3/4"x1/2") 联塑</v>
          </cell>
          <cell r="E169" t="str">
            <v>JIS PVC-U Reducing Socket (AW) DN20x16 (3/4"x1/2") Grey - LESSO</v>
          </cell>
        </row>
        <row r="169">
          <cell r="G169">
            <v>1350</v>
          </cell>
          <cell r="H169">
            <v>1350</v>
          </cell>
          <cell r="I169">
            <v>0.12</v>
          </cell>
          <cell r="J169">
            <v>1535</v>
          </cell>
          <cell r="K169">
            <v>0.1</v>
          </cell>
          <cell r="L169">
            <v>1500</v>
          </cell>
        </row>
        <row r="170">
          <cell r="C170">
            <v>8010024416</v>
          </cell>
          <cell r="D170" t="str">
            <v>异径套印尼(日标)PVC-U管件(AW给水系列)灰色 DN25x16 (1"x1/2") 联塑</v>
          </cell>
          <cell r="E170" t="str">
            <v>JIS PVC-U Reducing Socket (AW) DN25x16 (1"x1/2") Grey - LESSO</v>
          </cell>
        </row>
        <row r="170">
          <cell r="G170">
            <v>1400</v>
          </cell>
          <cell r="H170">
            <v>1400</v>
          </cell>
          <cell r="I170">
            <v>0.12</v>
          </cell>
          <cell r="J170">
            <v>1591</v>
          </cell>
          <cell r="K170">
            <v>0.1</v>
          </cell>
          <cell r="L170">
            <v>1556</v>
          </cell>
        </row>
        <row r="171">
          <cell r="C171">
            <v>8010024194</v>
          </cell>
          <cell r="D171" t="str">
            <v>异径套印尼(日标)PVC-U管件(AW给水系列)灰色 DN25x20 (1"x3/4") 联塑</v>
          </cell>
          <cell r="E171" t="str">
            <v>JIS PVC-U Reducing Socket (AW) DN25x20 (1"x3/4") Grey - LESSO</v>
          </cell>
        </row>
        <row r="171">
          <cell r="G171">
            <v>1800</v>
          </cell>
          <cell r="H171">
            <v>1800</v>
          </cell>
          <cell r="I171">
            <v>0.12</v>
          </cell>
          <cell r="J171">
            <v>2046</v>
          </cell>
          <cell r="K171">
            <v>0.1</v>
          </cell>
          <cell r="L171">
            <v>2000</v>
          </cell>
        </row>
        <row r="172">
          <cell r="C172">
            <v>8010024379</v>
          </cell>
          <cell r="D172" t="str">
            <v>异径套印尼(日标)PVC-U管件(AW给水系列)灰色 DN35x16 (1-1/4"x1/2") 联塑</v>
          </cell>
          <cell r="E172" t="str">
            <v>JIS PVC-U Reducing Socket (AW) DN35x16 (1-1/4"x1/2") Grey - LESSO</v>
          </cell>
        </row>
        <row r="172">
          <cell r="G172">
            <v>1990</v>
          </cell>
          <cell r="H172">
            <v>1990</v>
          </cell>
          <cell r="I172">
            <v>0.12</v>
          </cell>
          <cell r="J172">
            <v>2262</v>
          </cell>
          <cell r="K172">
            <v>0.1</v>
          </cell>
          <cell r="L172">
            <v>2211</v>
          </cell>
        </row>
        <row r="173">
          <cell r="C173">
            <v>8010024326</v>
          </cell>
          <cell r="D173" t="str">
            <v>异径套印尼(日标)PVC-U管件(AW给水系列)灰色 DN35x20 (1-1/4"x3/4") 联塑</v>
          </cell>
          <cell r="E173" t="str">
            <v>JIS PVC-U Reducing Socket (AW) DN35x20 (1-1/4"x3/4") Grey - LESSO</v>
          </cell>
        </row>
        <row r="173">
          <cell r="G173">
            <v>2347</v>
          </cell>
          <cell r="H173">
            <v>2347</v>
          </cell>
          <cell r="I173">
            <v>0.12</v>
          </cell>
          <cell r="J173">
            <v>2668</v>
          </cell>
          <cell r="K173">
            <v>0.1</v>
          </cell>
          <cell r="L173">
            <v>2608</v>
          </cell>
        </row>
        <row r="174">
          <cell r="C174">
            <v>8010024195</v>
          </cell>
          <cell r="D174" t="str">
            <v>异径套印尼(日标)PVC-U管件(AW给水系列)灰色 DN35x25 (1-1/4"x1") 联塑</v>
          </cell>
          <cell r="E174" t="str">
            <v>JIS PVC-U Reducing Socket (AW) DN35x25 (1-1/4"x1") Grey - LESSO</v>
          </cell>
        </row>
        <row r="174">
          <cell r="G174">
            <v>2705</v>
          </cell>
          <cell r="H174">
            <v>2705</v>
          </cell>
          <cell r="I174">
            <v>0.12</v>
          </cell>
          <cell r="J174">
            <v>3074</v>
          </cell>
          <cell r="K174">
            <v>0.1</v>
          </cell>
          <cell r="L174">
            <v>3006</v>
          </cell>
        </row>
        <row r="175">
          <cell r="C175">
            <v>8010024325</v>
          </cell>
          <cell r="D175" t="str">
            <v>异径套印尼(日标)PVC-U管件(AW给水系列)灰色 DN40x16 (1-1/2"x1/2") 联塑</v>
          </cell>
          <cell r="E175" t="str">
            <v>JIS PVC-U Reducing Socket (AW) DN40x16 (1-1/2"x1/2") Grey - LESSO</v>
          </cell>
        </row>
        <row r="175">
          <cell r="G175">
            <v>2879</v>
          </cell>
          <cell r="H175">
            <v>2879</v>
          </cell>
          <cell r="I175">
            <v>0.12</v>
          </cell>
          <cell r="J175">
            <v>3272</v>
          </cell>
          <cell r="K175">
            <v>0.1</v>
          </cell>
          <cell r="L175">
            <v>3199</v>
          </cell>
        </row>
        <row r="176">
          <cell r="C176">
            <v>8010024196</v>
          </cell>
          <cell r="D176" t="str">
            <v>异径套印尼(日标)PVC-U管件(AW给水系列)灰色 DN40x20 (1-1/2"x3/4") 联塑</v>
          </cell>
          <cell r="E176" t="str">
            <v>JIS PVC-U Reducing Socket (AW) DN40x20 (1-1/2"x3/4") Grey - LESSO</v>
          </cell>
        </row>
        <row r="176">
          <cell r="G176">
            <v>3031</v>
          </cell>
          <cell r="H176">
            <v>3031</v>
          </cell>
          <cell r="I176">
            <v>0.12</v>
          </cell>
          <cell r="J176">
            <v>3445</v>
          </cell>
          <cell r="K176">
            <v>0.1</v>
          </cell>
          <cell r="L176">
            <v>3368</v>
          </cell>
        </row>
        <row r="177">
          <cell r="C177">
            <v>8010024380</v>
          </cell>
          <cell r="D177" t="str">
            <v>异径套印尼(日标)PVC-U管件(AW给水系列)灰色 DN40x25 (1-1/2"x1") 联塑</v>
          </cell>
          <cell r="E177" t="str">
            <v>JIS PVC-U Reducing Socket (AW) DN40x25 (1-1/2"x1") Grey - LESSO</v>
          </cell>
        </row>
        <row r="177">
          <cell r="G177">
            <v>3687</v>
          </cell>
          <cell r="H177">
            <v>3687</v>
          </cell>
          <cell r="I177">
            <v>0.12</v>
          </cell>
          <cell r="J177">
            <v>4190</v>
          </cell>
          <cell r="K177">
            <v>0.1</v>
          </cell>
          <cell r="L177">
            <v>4097</v>
          </cell>
        </row>
        <row r="178">
          <cell r="C178">
            <v>8010024381</v>
          </cell>
          <cell r="D178" t="str">
            <v>异径套印尼(日标)PVC-U管件(AW给水系列)灰色 DN40x35 (1-1/2"x1-1/4") 联塑</v>
          </cell>
          <cell r="E178" t="str">
            <v>JIS PVC-U Reducing Socket (AW) DN40x35 (1-1/2"x1-1/4") Grey - LESSO</v>
          </cell>
        </row>
        <row r="178">
          <cell r="G178">
            <v>4185</v>
          </cell>
          <cell r="H178">
            <v>4185</v>
          </cell>
          <cell r="I178">
            <v>0.12</v>
          </cell>
          <cell r="J178">
            <v>4756</v>
          </cell>
          <cell r="K178">
            <v>0.1</v>
          </cell>
          <cell r="L178">
            <v>4650</v>
          </cell>
        </row>
        <row r="179">
          <cell r="C179">
            <v>8010024417</v>
          </cell>
          <cell r="D179" t="str">
            <v>异径套印尼(日标)PVC-U管件(AW给水系列)灰色 DN50x16 (2"x1/2") 联塑</v>
          </cell>
          <cell r="E179" t="str">
            <v>JIS PVC-U Reducing Socket (AW) DN50x16 (2"x1/2") Grey - LESSO</v>
          </cell>
        </row>
        <row r="179">
          <cell r="G179">
            <v>4250</v>
          </cell>
          <cell r="H179">
            <v>4250</v>
          </cell>
          <cell r="I179">
            <v>0.12</v>
          </cell>
          <cell r="J179">
            <v>4830</v>
          </cell>
          <cell r="K179">
            <v>0.1</v>
          </cell>
          <cell r="L179">
            <v>4722</v>
          </cell>
        </row>
        <row r="180">
          <cell r="C180">
            <v>8010024445</v>
          </cell>
          <cell r="D180" t="str">
            <v>异径套印尼(日标)PVC-U管件(AW给水系列)灰色 DN50x20 (2"x3/4") 联塑</v>
          </cell>
          <cell r="E180" t="str">
            <v>JIS PVC-U Reducing Socket (AW) DN50x20 (2"x3/4") Grey - LESSO</v>
          </cell>
        </row>
        <row r="180">
          <cell r="G180">
            <v>4550</v>
          </cell>
          <cell r="H180">
            <v>4550</v>
          </cell>
          <cell r="I180">
            <v>0.12</v>
          </cell>
          <cell r="J180">
            <v>5171</v>
          </cell>
          <cell r="K180">
            <v>0.1</v>
          </cell>
          <cell r="L180">
            <v>5056</v>
          </cell>
        </row>
        <row r="181">
          <cell r="C181">
            <v>8010024661</v>
          </cell>
          <cell r="D181" t="str">
            <v>异径套印尼(日标)PVC-U管件(AW给水系列)灰色 DN50x25 (2"x1") 联塑</v>
          </cell>
          <cell r="E181" t="str">
            <v>JIS PVC-U Reducing Socket (AW) DN50x25 (2"x1") Grey - LESSO</v>
          </cell>
        </row>
        <row r="181">
          <cell r="G181">
            <v>5000</v>
          </cell>
          <cell r="H181">
            <v>5000</v>
          </cell>
          <cell r="I181">
            <v>0.12</v>
          </cell>
          <cell r="J181">
            <v>5682</v>
          </cell>
          <cell r="K181">
            <v>0.1</v>
          </cell>
          <cell r="L181">
            <v>5556</v>
          </cell>
        </row>
        <row r="182">
          <cell r="C182">
            <v>8010024662</v>
          </cell>
          <cell r="D182" t="str">
            <v>异径套印尼(日标)PVC-U管件(AW给水系列)灰色 DN50x35 (2"x1-1/4") 联塑</v>
          </cell>
          <cell r="E182" t="str">
            <v>JIS PVC-U Reducing Socket (AW) DN50x35 (2"x1-1/4") Grey - LESSO</v>
          </cell>
        </row>
        <row r="182">
          <cell r="G182">
            <v>5919</v>
          </cell>
          <cell r="H182">
            <v>5919</v>
          </cell>
          <cell r="I182">
            <v>0.12</v>
          </cell>
          <cell r="J182">
            <v>6727</v>
          </cell>
          <cell r="K182">
            <v>0.1</v>
          </cell>
          <cell r="L182">
            <v>6577</v>
          </cell>
        </row>
        <row r="183">
          <cell r="C183">
            <v>8010024446</v>
          </cell>
          <cell r="D183" t="str">
            <v>异径套印尼(日标)PVC-U管件(AW给水系列)灰色 DN50x40 (2"x1-1/2") 联塑</v>
          </cell>
          <cell r="E183" t="str">
            <v>JIS PVC-U Reducing Socket (AW) DN50x40 (2"x1-1/2") Grey - LESSO</v>
          </cell>
        </row>
        <row r="183">
          <cell r="G183">
            <v>6264</v>
          </cell>
          <cell r="H183">
            <v>6264</v>
          </cell>
          <cell r="I183">
            <v>0.12</v>
          </cell>
          <cell r="J183">
            <v>7119</v>
          </cell>
          <cell r="K183">
            <v>0.1</v>
          </cell>
          <cell r="L183">
            <v>6960</v>
          </cell>
        </row>
        <row r="184">
          <cell r="C184">
            <v>8010024382</v>
          </cell>
          <cell r="D184" t="str">
            <v>异径套印尼(日标)PVC-U管件(AW给水系列)灰色 DN75x50 (3"x2") 联塑</v>
          </cell>
          <cell r="E184" t="str">
            <v>JIS PVC-U Reducing Socket (AW) DN75x50 (3"x2") Grey - LESSO</v>
          </cell>
        </row>
        <row r="184">
          <cell r="G184">
            <v>10911</v>
          </cell>
          <cell r="H184">
            <v>10911</v>
          </cell>
          <cell r="I184">
            <v>0.12</v>
          </cell>
          <cell r="J184">
            <v>12399</v>
          </cell>
          <cell r="K184">
            <v>0.1</v>
          </cell>
          <cell r="L184">
            <v>12123</v>
          </cell>
        </row>
        <row r="185">
          <cell r="C185">
            <v>8010024811</v>
          </cell>
          <cell r="D185" t="str">
            <v>异径套印尼(日标)PVC-U管件(AW给水系列)灰色 DN100x40 (4"x1-1/2") 联塑</v>
          </cell>
          <cell r="E185" t="str">
            <v>JIS PVC-U Reducing Socket (AW) DN100x40 (4"x1-1/2") Grey - LESSO</v>
          </cell>
        </row>
        <row r="185">
          <cell r="G185">
            <v>26671</v>
          </cell>
          <cell r="H185">
            <v>26671</v>
          </cell>
          <cell r="I185">
            <v>0.12</v>
          </cell>
          <cell r="J185">
            <v>30308</v>
          </cell>
          <cell r="K185">
            <v>0.1</v>
          </cell>
          <cell r="L185">
            <v>29634</v>
          </cell>
        </row>
        <row r="186">
          <cell r="C186">
            <v>8010024383</v>
          </cell>
          <cell r="D186" t="str">
            <v>异径套印尼(日标)PVC-U管件(AW给水系列)灰色 DN100x50 (4"x2") 联塑</v>
          </cell>
          <cell r="E186" t="str">
            <v>JIS PVC-U Reducing Socket (AW) DN100x50 (4"x2") Grey - LESSO</v>
          </cell>
        </row>
        <row r="186">
          <cell r="G186">
            <v>28995</v>
          </cell>
          <cell r="H186">
            <v>28995</v>
          </cell>
          <cell r="I186">
            <v>0.12</v>
          </cell>
          <cell r="J186">
            <v>32949</v>
          </cell>
          <cell r="K186">
            <v>0.1</v>
          </cell>
          <cell r="L186">
            <v>32217</v>
          </cell>
        </row>
        <row r="187">
          <cell r="C187">
            <v>8010024384</v>
          </cell>
          <cell r="D187" t="str">
            <v>异径套印尼(日标)PVC-U管件(AW给水系列)灰色 DN100x75 (4"x3") 联塑</v>
          </cell>
          <cell r="E187" t="str">
            <v>JIS PVC-U Reducing Socket (AW) DN100x75 (4"x3") Grey - LESSO</v>
          </cell>
        </row>
        <row r="187">
          <cell r="G187">
            <v>30966</v>
          </cell>
          <cell r="H187">
            <v>30966</v>
          </cell>
          <cell r="I187">
            <v>0.12</v>
          </cell>
          <cell r="J187">
            <v>35189</v>
          </cell>
          <cell r="K187">
            <v>0.1</v>
          </cell>
          <cell r="L187">
            <v>34407</v>
          </cell>
        </row>
        <row r="188">
          <cell r="C188">
            <v>8010024447</v>
          </cell>
          <cell r="D188" t="str">
            <v>异径套印尼(日标)PVC-U管件(AW给水系列)灰色 DN150x100 (6"x4") 联塑</v>
          </cell>
          <cell r="E188" t="str">
            <v>JIS PVC-U Reducing Socket (AW) DN150x100 (6"x4") Grey - LESSO</v>
          </cell>
        </row>
        <row r="188">
          <cell r="G188">
            <v>57991</v>
          </cell>
          <cell r="H188">
            <v>57991</v>
          </cell>
          <cell r="I188">
            <v>0.12</v>
          </cell>
          <cell r="J188">
            <v>65899</v>
          </cell>
          <cell r="K188">
            <v>0.1</v>
          </cell>
          <cell r="L188">
            <v>64434</v>
          </cell>
        </row>
        <row r="189">
          <cell r="C189">
            <v>8010024385</v>
          </cell>
          <cell r="D189" t="str">
            <v>异径套印尼(日标)PVC-U管件(AW给水系列)灰色 DN150x75 (6"x3") 联塑</v>
          </cell>
          <cell r="E189" t="str">
            <v>JIS PVC-U Reducing Socket (AW) DN150x75 (6"x3") Grey - LESSO</v>
          </cell>
        </row>
        <row r="189">
          <cell r="G189">
            <v>53191</v>
          </cell>
          <cell r="H189">
            <v>53191</v>
          </cell>
          <cell r="I189">
            <v>0.12</v>
          </cell>
          <cell r="J189">
            <v>60445</v>
          </cell>
          <cell r="K189">
            <v>0.1</v>
          </cell>
          <cell r="L189">
            <v>59101</v>
          </cell>
        </row>
        <row r="190">
          <cell r="C190">
            <v>8011021689</v>
          </cell>
          <cell r="D190" t="str">
            <v>异径套印尼(日标)PVC-U管件(AW给水系列)灰色 DN200x150 (8"x6") 联塑</v>
          </cell>
          <cell r="E190" t="str">
            <v>JIS PVC-U Reducing Socket (AW) DN200x150 (8"x6") Grey - LESSO</v>
          </cell>
          <cell r="F190">
            <v>115533.333333333</v>
          </cell>
          <cell r="G190">
            <v>115533</v>
          </cell>
          <cell r="H190">
            <v>115533</v>
          </cell>
          <cell r="I190">
            <v>0.12</v>
          </cell>
          <cell r="J190">
            <v>131288</v>
          </cell>
          <cell r="K190">
            <v>0.1</v>
          </cell>
          <cell r="L190">
            <v>128370</v>
          </cell>
        </row>
        <row r="191">
          <cell r="C191">
            <v>8011021690</v>
          </cell>
          <cell r="D191" t="str">
            <v>异径套印尼(日标)PVC-U管件(AW给水系列)灰色 DN250x200 (10"x8") 联塑</v>
          </cell>
          <cell r="E191" t="str">
            <v>JIS PVC-U Reducing Socket (AW) DN250x200 (10"x8") Grey - LESSO</v>
          </cell>
        </row>
        <row r="191">
          <cell r="G191">
            <v>174567</v>
          </cell>
          <cell r="H191">
            <v>174567</v>
          </cell>
          <cell r="I191">
            <v>0.12</v>
          </cell>
          <cell r="J191">
            <v>198372</v>
          </cell>
          <cell r="K191">
            <v>0.1</v>
          </cell>
          <cell r="L191">
            <v>193963</v>
          </cell>
        </row>
        <row r="192">
          <cell r="C192">
            <v>8011021691</v>
          </cell>
          <cell r="D192" t="str">
            <v>异径套印尼(日标)PVC-U管件(AW给水系列)灰色 DN300x250 (12"x10") 联塑</v>
          </cell>
          <cell r="E192" t="str">
            <v>JIS PVC-U Reducing Socket (AW) DN300x250 (12"x10") Grey - LESSO</v>
          </cell>
        </row>
        <row r="192">
          <cell r="G192">
            <v>222959</v>
          </cell>
          <cell r="H192">
            <v>222959</v>
          </cell>
          <cell r="I192">
            <v>0.12</v>
          </cell>
          <cell r="J192">
            <v>253363</v>
          </cell>
          <cell r="K192">
            <v>0.1</v>
          </cell>
          <cell r="L192">
            <v>247732</v>
          </cell>
        </row>
        <row r="193">
          <cell r="C193">
            <v>80516397</v>
          </cell>
          <cell r="D193" t="str">
            <v>异径套印尼(日标)PVC-U管件(AW给水系列) DN65x50 (2-1/2''x 2") - RUCIKA</v>
          </cell>
          <cell r="E193" t="str">
            <v>JIS PVC-U Reducing Socket (AW) DN65x50 (2-1/2''x 2") - RUCIKA</v>
          </cell>
        </row>
        <row r="193">
          <cell r="G193">
            <v>13108</v>
          </cell>
          <cell r="H193">
            <v>13108</v>
          </cell>
          <cell r="I193">
            <v>0.15</v>
          </cell>
          <cell r="J193">
            <v>15422</v>
          </cell>
          <cell r="K193">
            <v>0.15</v>
          </cell>
          <cell r="L193">
            <v>15421</v>
          </cell>
        </row>
        <row r="194">
          <cell r="C194">
            <v>80516416</v>
          </cell>
          <cell r="D194" t="str">
            <v>异径套印尼(日标)PVC-U管件(AW给水系列) DN75x65 (3''x2-1/2") - RUCIKA</v>
          </cell>
          <cell r="E194" t="str">
            <v>JIS PVC-U Reducing Socket (AW) DN75x65 (3''x2-1/2") - RUCIKA</v>
          </cell>
        </row>
        <row r="194">
          <cell r="G194">
            <v>21689</v>
          </cell>
          <cell r="H194">
            <v>21689</v>
          </cell>
          <cell r="I194">
            <v>0.15</v>
          </cell>
          <cell r="J194">
            <v>25517</v>
          </cell>
          <cell r="K194">
            <v>0.15</v>
          </cell>
          <cell r="L194">
            <v>25516</v>
          </cell>
        </row>
        <row r="195">
          <cell r="C195">
            <v>80516401</v>
          </cell>
          <cell r="D195" t="str">
            <v>异径套印尼(日标)PVC-U管件(AW给水系列) DN75x40 (3"x1-1/2") - RUCIKA</v>
          </cell>
          <cell r="E195" t="str">
            <v>JIS PVC-U Reducing Socket (AW) DN75x40 (3"x1-1/2") - RUCIKA</v>
          </cell>
        </row>
        <row r="195">
          <cell r="G195">
            <v>26419</v>
          </cell>
          <cell r="H195">
            <v>26419</v>
          </cell>
          <cell r="I195">
            <v>0.15</v>
          </cell>
          <cell r="J195">
            <v>31082</v>
          </cell>
          <cell r="K195">
            <v>0.15</v>
          </cell>
          <cell r="L195">
            <v>31081</v>
          </cell>
        </row>
        <row r="196">
          <cell r="C196">
            <v>80516405</v>
          </cell>
          <cell r="D196" t="str">
            <v>异径套印尼(日标)PVC-U管件(AW给水系列) DN100x65 (4"x2-1/2") - RUCIKA</v>
          </cell>
          <cell r="E196" t="str">
            <v>JIS PVC-U Reducing Socket (AW) DN100x65 (4"x2-1/2") - RUCIKA</v>
          </cell>
        </row>
        <row r="196">
          <cell r="G196">
            <v>39595</v>
          </cell>
          <cell r="H196">
            <v>39595</v>
          </cell>
          <cell r="I196">
            <v>0.15</v>
          </cell>
          <cell r="J196">
            <v>46583</v>
          </cell>
          <cell r="K196">
            <v>0.15</v>
          </cell>
          <cell r="L196">
            <v>46582</v>
          </cell>
        </row>
        <row r="197">
          <cell r="C197">
            <v>80516412</v>
          </cell>
          <cell r="D197" t="str">
            <v>异径套印尼(日标)PVC-U管件(AW给水系列) DN200x100 (8"x4") - RUCIKA</v>
          </cell>
          <cell r="E197" t="str">
            <v>JIS PVC-U Reducing Socket (AW) DN200x100 (8"x4") - RUCIKA</v>
          </cell>
        </row>
        <row r="197">
          <cell r="G197">
            <v>139392</v>
          </cell>
          <cell r="H197">
            <v>139392</v>
          </cell>
          <cell r="I197">
            <v>0.15</v>
          </cell>
          <cell r="J197">
            <v>163991</v>
          </cell>
          <cell r="K197">
            <v>0.15</v>
          </cell>
          <cell r="L197">
            <v>163991</v>
          </cell>
        </row>
        <row r="198">
          <cell r="C198">
            <v>80516417</v>
          </cell>
          <cell r="D198" t="str">
            <v>印尼(日标) PVC-U 45°斜三通(AW给水系列)DN50 (2") - RUCIKA</v>
          </cell>
          <cell r="E198" t="str">
            <v>JIS PVC-U Y Branch (AW) DN50 (2") - RUCIKA</v>
          </cell>
        </row>
        <row r="198">
          <cell r="G198">
            <v>25135</v>
          </cell>
          <cell r="H198">
            <v>25135</v>
          </cell>
          <cell r="I198">
            <v>0.15</v>
          </cell>
          <cell r="J198">
            <v>29571</v>
          </cell>
          <cell r="K198">
            <v>0.15</v>
          </cell>
          <cell r="L198">
            <v>29571</v>
          </cell>
        </row>
        <row r="199">
          <cell r="C199">
            <v>80516421</v>
          </cell>
          <cell r="D199" t="str">
            <v>印尼(日标) PVC-U 45°斜三通(AW给水系列) DN75 (3") - RUCIKA</v>
          </cell>
          <cell r="E199" t="str">
            <v>JIS PVC-U Y Branch (AW) DN75 (3") - RUCIKA</v>
          </cell>
        </row>
        <row r="199">
          <cell r="G199">
            <v>54392</v>
          </cell>
          <cell r="H199">
            <v>54392</v>
          </cell>
          <cell r="I199">
            <v>0.15</v>
          </cell>
          <cell r="J199">
            <v>63991</v>
          </cell>
          <cell r="K199">
            <v>0.15</v>
          </cell>
          <cell r="L199">
            <v>63991</v>
          </cell>
        </row>
        <row r="200">
          <cell r="C200">
            <v>80516424</v>
          </cell>
          <cell r="D200" t="str">
            <v>印尼(日标) PVC-U 45°斜三通(AW给水系列) DN100 (4") - RUCIKA</v>
          </cell>
          <cell r="E200" t="str">
            <v>JIS PVC-U Y Branch (AW) DN100 (4") - RUCIKA</v>
          </cell>
        </row>
        <row r="200">
          <cell r="G200">
            <v>114527</v>
          </cell>
          <cell r="H200">
            <v>114527</v>
          </cell>
          <cell r="I200">
            <v>0.15</v>
          </cell>
          <cell r="J200">
            <v>134738</v>
          </cell>
          <cell r="K200">
            <v>0.15</v>
          </cell>
          <cell r="L200">
            <v>134738</v>
          </cell>
        </row>
        <row r="201">
          <cell r="C201">
            <v>80516428</v>
          </cell>
          <cell r="D201" t="str">
            <v>印尼(日标) PVC-U 45°斜三通(AW给水系列) DN200 (8") - RUCIKA</v>
          </cell>
          <cell r="E201" t="str">
            <v>JIS PVC-U Y Branch (AW) DN200 (8") - RUCIKA</v>
          </cell>
        </row>
        <row r="201">
          <cell r="G201">
            <v>968851</v>
          </cell>
          <cell r="H201">
            <v>968851</v>
          </cell>
          <cell r="I201">
            <v>0.15</v>
          </cell>
          <cell r="J201">
            <v>1139825</v>
          </cell>
          <cell r="K201">
            <v>0.15</v>
          </cell>
          <cell r="L201">
            <v>1139825</v>
          </cell>
        </row>
        <row r="202">
          <cell r="C202">
            <v>80516420</v>
          </cell>
          <cell r="D202" t="str">
            <v>印尼(日标) PVC-U 45°异径斜三通(AW给水系列) DN75x50 (3"x2") - RUCIKA</v>
          </cell>
          <cell r="E202" t="str">
            <v>JIS PVC-U Y Branch (AW) DN75x50 (3"x2") - RUCIKA</v>
          </cell>
        </row>
        <row r="202">
          <cell r="G202">
            <v>38243</v>
          </cell>
          <cell r="H202">
            <v>38243</v>
          </cell>
          <cell r="I202">
            <v>0.15</v>
          </cell>
          <cell r="J202">
            <v>44992</v>
          </cell>
          <cell r="K202">
            <v>0.15</v>
          </cell>
          <cell r="L202">
            <v>44992</v>
          </cell>
        </row>
        <row r="203">
          <cell r="C203">
            <v>80516422</v>
          </cell>
          <cell r="D203" t="str">
            <v>印尼(日标) PVC-U 45°异径斜三通(AW给水系列) DN100x50 (4"x2") - RUCIKA</v>
          </cell>
          <cell r="E203" t="str">
            <v>JIS PVC-U Y Branch (AW) DN100x50 (4"x2") - RUCIKA</v>
          </cell>
        </row>
        <row r="203">
          <cell r="G203">
            <v>68649</v>
          </cell>
          <cell r="H203">
            <v>68649</v>
          </cell>
          <cell r="I203">
            <v>0.15</v>
          </cell>
          <cell r="J203">
            <v>80764</v>
          </cell>
          <cell r="K203">
            <v>0.15</v>
          </cell>
          <cell r="L203">
            <v>80764</v>
          </cell>
        </row>
        <row r="204">
          <cell r="C204">
            <v>80516543</v>
          </cell>
          <cell r="D204" t="str">
            <v>印尼(日标) PVC-U 45°异径斜三通(AW给水系列) DN125x100 (5"x4") - RUCIKA</v>
          </cell>
          <cell r="E204" t="str">
            <v>JIS PVC-U Y Branch (AW) DN125x100 (5"x4") - RUCIKA</v>
          </cell>
        </row>
        <row r="204">
          <cell r="G204">
            <v>0</v>
          </cell>
          <cell r="H204">
            <v>0</v>
          </cell>
          <cell r="I204">
            <v>0.15</v>
          </cell>
          <cell r="J204">
            <v>0</v>
          </cell>
          <cell r="K204">
            <v>0.15</v>
          </cell>
          <cell r="L204">
            <v>0</v>
          </cell>
        </row>
        <row r="205">
          <cell r="C205">
            <v>80516427</v>
          </cell>
          <cell r="D205" t="str">
            <v>印尼(日标) PVC-U 45°异径斜三通(AW给水系列) DN200x100 (8"x4") - RUCIKA</v>
          </cell>
          <cell r="E205" t="str">
            <v>JIS PVC-U Y Branch (AW) DN200x100 (8"x4") - RUCIKA</v>
          </cell>
        </row>
        <row r="205">
          <cell r="G205">
            <v>471081</v>
          </cell>
          <cell r="H205">
            <v>471081</v>
          </cell>
          <cell r="I205">
            <v>0.15</v>
          </cell>
          <cell r="J205">
            <v>554213</v>
          </cell>
          <cell r="K205">
            <v>0.15</v>
          </cell>
          <cell r="L205">
            <v>554213</v>
          </cell>
        </row>
        <row r="206">
          <cell r="C206">
            <v>80516425</v>
          </cell>
          <cell r="D206" t="str">
            <v>印尼(日标) PVC-U 45异径斜三通(AW给水系列) DN150x75 (6"x3") - RUCIKA</v>
          </cell>
          <cell r="E206" t="str">
            <v>JIS PVC-U Y Branch (AW) DN150x75 (6"x3") - RUCIKA</v>
          </cell>
        </row>
        <row r="206">
          <cell r="G206">
            <v>201351</v>
          </cell>
          <cell r="H206">
            <v>201351</v>
          </cell>
          <cell r="I206">
            <v>0.15</v>
          </cell>
          <cell r="J206">
            <v>236884</v>
          </cell>
          <cell r="K206">
            <v>0.15</v>
          </cell>
          <cell r="L206">
            <v>236884</v>
          </cell>
        </row>
        <row r="207">
          <cell r="C207">
            <v>8010025106</v>
          </cell>
          <cell r="D207" t="str">
            <v>顺水三通印尼(日标)PVC-U管件(AW给水系列)灰色 DN100 (4") 联塑</v>
          </cell>
          <cell r="E207" t="str">
            <v>JIS PVC-U Large Radius Tee (AW) DN100 (4") Grey - LESSO</v>
          </cell>
        </row>
        <row r="207">
          <cell r="G207">
            <v>88648</v>
          </cell>
          <cell r="H207">
            <v>88648</v>
          </cell>
          <cell r="I207">
            <v>0.12</v>
          </cell>
          <cell r="J207">
            <v>100737</v>
          </cell>
          <cell r="K207">
            <v>0.1</v>
          </cell>
          <cell r="L207">
            <v>98498</v>
          </cell>
        </row>
        <row r="208">
          <cell r="C208">
            <v>80516379</v>
          </cell>
          <cell r="D208" t="str">
            <v>顺水三通印尼（日标）PVC-U管件(AW给水系列) DN40 (1-1/2") - RUCIKA</v>
          </cell>
          <cell r="E208" t="str">
            <v>JIS PVC-U Large Radius Tee (AW) DN40 (1-1/2") - RUCIKA</v>
          </cell>
        </row>
        <row r="208">
          <cell r="G208">
            <v>878</v>
          </cell>
          <cell r="H208">
            <v>878</v>
          </cell>
          <cell r="I208">
            <v>0.15</v>
          </cell>
          <cell r="J208">
            <v>1033</v>
          </cell>
          <cell r="K208">
            <v>0.15</v>
          </cell>
          <cell r="L208">
            <v>1033</v>
          </cell>
        </row>
        <row r="209">
          <cell r="C209">
            <v>80516363</v>
          </cell>
          <cell r="D209" t="str">
            <v>顺水三通印尼(日标) PVC-U管件(AW给水系列) DN50 (2") - RUCIKA</v>
          </cell>
          <cell r="E209" t="str">
            <v>JIS PVC-U Large Radius Tee (AW) DN50 (2") - RUCIKA</v>
          </cell>
        </row>
        <row r="209">
          <cell r="G209">
            <v>21284</v>
          </cell>
          <cell r="H209">
            <v>21284</v>
          </cell>
          <cell r="I209">
            <v>0.15</v>
          </cell>
          <cell r="J209">
            <v>25040</v>
          </cell>
          <cell r="K209">
            <v>0.15</v>
          </cell>
          <cell r="L209">
            <v>25040</v>
          </cell>
        </row>
        <row r="210">
          <cell r="C210">
            <v>80516380</v>
          </cell>
          <cell r="D210" t="str">
            <v>顺水三通印尼(日标) PVC-U管件(AW给水系列) DN65 (2-1/2") - RUCIKA</v>
          </cell>
          <cell r="E210" t="str">
            <v>JIS PVC-U Large Radius Tee (AW) DN65 (2-1/2") - RUCIKA</v>
          </cell>
        </row>
        <row r="210">
          <cell r="G210">
            <v>30270</v>
          </cell>
          <cell r="H210">
            <v>30270</v>
          </cell>
          <cell r="I210">
            <v>0.15</v>
          </cell>
          <cell r="J210">
            <v>35612</v>
          </cell>
          <cell r="K210">
            <v>0.15</v>
          </cell>
          <cell r="L210">
            <v>35612</v>
          </cell>
        </row>
        <row r="211">
          <cell r="C211">
            <v>80516367</v>
          </cell>
          <cell r="D211" t="str">
            <v>顺水三通印尼(日标) PVC-U管件(AW给水系列) DN75 (3") - RUCIKA</v>
          </cell>
          <cell r="E211" t="str">
            <v>JIS PVC-U Large Radius Tee (AW) DN75 (3") - RUCIKA</v>
          </cell>
        </row>
        <row r="211">
          <cell r="G211">
            <v>40743</v>
          </cell>
          <cell r="H211">
            <v>40743</v>
          </cell>
          <cell r="I211">
            <v>0.15</v>
          </cell>
          <cell r="J211">
            <v>47933</v>
          </cell>
          <cell r="K211">
            <v>0.15</v>
          </cell>
          <cell r="L211">
            <v>47933</v>
          </cell>
        </row>
        <row r="212">
          <cell r="C212">
            <v>80516375</v>
          </cell>
          <cell r="D212" t="str">
            <v>顺水三通印尼(日标) PVC-U管件(AW给水系列) DN150 (6") - RUCIKA</v>
          </cell>
          <cell r="E212" t="str">
            <v>JIS PVC-U Large Radius Tee (AW) DN150 (6") - RUCIKA</v>
          </cell>
        </row>
        <row r="212">
          <cell r="G212">
            <v>255000</v>
          </cell>
          <cell r="H212">
            <v>255000</v>
          </cell>
          <cell r="I212">
            <v>0.15</v>
          </cell>
          <cell r="J212">
            <v>300000</v>
          </cell>
          <cell r="K212">
            <v>0.15</v>
          </cell>
          <cell r="L212">
            <v>300000</v>
          </cell>
        </row>
        <row r="213">
          <cell r="C213">
            <v>80516378</v>
          </cell>
          <cell r="D213" t="str">
            <v>顺水三通印尼(日标) PVC-U管件(AW给水系列) DN200 (8") - RUCIKA</v>
          </cell>
          <cell r="E213" t="str">
            <v>JIS PVC-U Large Radius Tee (AW) DN200 (8") - RUCIKA</v>
          </cell>
        </row>
        <row r="213">
          <cell r="G213">
            <v>532230</v>
          </cell>
          <cell r="H213">
            <v>532230</v>
          </cell>
          <cell r="I213">
            <v>0.15</v>
          </cell>
          <cell r="J213">
            <v>626153</v>
          </cell>
          <cell r="K213">
            <v>0.15</v>
          </cell>
          <cell r="L213">
            <v>626153</v>
          </cell>
        </row>
        <row r="214">
          <cell r="C214">
            <v>8010025107</v>
          </cell>
          <cell r="D214" t="str">
            <v>异径顺水三通印尼(日标)PVC-U管件(AW给水系列)灰色 DN100x50 (4"x2") 联塑</v>
          </cell>
          <cell r="E214" t="str">
            <v>JIS PVC-U Large Radius Tee (AW) DN100x50 (4"x2") Grey - LESSO</v>
          </cell>
        </row>
        <row r="214">
          <cell r="G214">
            <v>52649</v>
          </cell>
          <cell r="H214">
            <v>52649</v>
          </cell>
          <cell r="I214">
            <v>0.12</v>
          </cell>
          <cell r="J214">
            <v>59829</v>
          </cell>
          <cell r="K214">
            <v>0.1</v>
          </cell>
          <cell r="L214">
            <v>58499</v>
          </cell>
        </row>
        <row r="215">
          <cell r="C215">
            <v>8010025487</v>
          </cell>
          <cell r="D215" t="str">
            <v>异径顺水三通印尼(日标)PVC-U管件(AW给水系列)灰色 DN150x100 (6"x4") 联塑</v>
          </cell>
          <cell r="E215" t="str">
            <v>JIS PVC-U Large Radius Tee (AW) DN150x100 (6"x4") Grey - LESSO</v>
          </cell>
        </row>
        <row r="215">
          <cell r="G215">
            <v>168446</v>
          </cell>
          <cell r="H215">
            <v>168446</v>
          </cell>
          <cell r="I215">
            <v>0.12</v>
          </cell>
          <cell r="J215">
            <v>191416</v>
          </cell>
          <cell r="K215">
            <v>0.1</v>
          </cell>
          <cell r="L215">
            <v>187162</v>
          </cell>
        </row>
        <row r="216">
          <cell r="C216">
            <v>80516504</v>
          </cell>
          <cell r="D216" t="str">
            <v>异径顺水三通印尼（日标）PVC-U管件(D排水系列) DN40x32 (1-1/2"x1-1/4") - RUCIKA</v>
          </cell>
          <cell r="E216" t="str">
            <v>JIS PVC-U Large Radius Tee (AW) DN40x32 (1-1/2"x1-1/4") - RUCIKA</v>
          </cell>
        </row>
        <row r="216">
          <cell r="G216">
            <v>0</v>
          </cell>
          <cell r="H216">
            <v>0</v>
          </cell>
          <cell r="I216">
            <v>0.15</v>
          </cell>
          <cell r="J216">
            <v>0</v>
          </cell>
          <cell r="K216">
            <v>0.15</v>
          </cell>
          <cell r="L216">
            <v>0</v>
          </cell>
        </row>
        <row r="217">
          <cell r="C217">
            <v>80516358</v>
          </cell>
          <cell r="D217" t="str">
            <v>异径顺水三通印尼(日标) PVC-U管件(AW给水系列) DN50x40 (2"x1-1/2") - RUCIKA</v>
          </cell>
          <cell r="E217" t="str">
            <v>JIS PVC-U Large Radius Tee (AW) DN50x40 (2"x1-1/2") - RUCIKA</v>
          </cell>
        </row>
        <row r="217">
          <cell r="G217">
            <v>15541</v>
          </cell>
          <cell r="H217">
            <v>15541</v>
          </cell>
          <cell r="I217">
            <v>0.15</v>
          </cell>
          <cell r="J217">
            <v>18284</v>
          </cell>
          <cell r="K217">
            <v>0.15</v>
          </cell>
          <cell r="L217">
            <v>18284</v>
          </cell>
        </row>
        <row r="218">
          <cell r="C218">
            <v>102277</v>
          </cell>
          <cell r="D218" t="str">
            <v>异径顺水三通印尼(日标) PVC-U管件(AW给水系列) DN65x50 (2-1/2"x2") - RUCIKA</v>
          </cell>
          <cell r="E218" t="str">
            <v>JIS PVC-U Large Radius Tee (AW) DN65x50 (2-1/2"x2") - RUCIKA</v>
          </cell>
        </row>
        <row r="218">
          <cell r="G218">
            <v>28716</v>
          </cell>
          <cell r="H218">
            <v>28716</v>
          </cell>
          <cell r="I218">
            <v>0.15</v>
          </cell>
          <cell r="J218">
            <v>33784</v>
          </cell>
          <cell r="K218">
            <v>0.15</v>
          </cell>
          <cell r="L218">
            <v>33784</v>
          </cell>
        </row>
        <row r="219">
          <cell r="C219">
            <v>80516366</v>
          </cell>
          <cell r="D219" t="str">
            <v>异径顺水三通印尼(日标) PVC-U管件(AW给水系列) DN75x50 (3"x2") - RUCIKA</v>
          </cell>
          <cell r="E219" t="str">
            <v>JIS PVC-U Large Radius Tee (AW) DN75x50 (3"x2") - RUCIKA</v>
          </cell>
        </row>
        <row r="219">
          <cell r="G219">
            <v>37365</v>
          </cell>
          <cell r="H219">
            <v>37365</v>
          </cell>
          <cell r="I219">
            <v>0.15</v>
          </cell>
          <cell r="J219">
            <v>43959</v>
          </cell>
          <cell r="K219">
            <v>0.15</v>
          </cell>
          <cell r="L219">
            <v>43959</v>
          </cell>
        </row>
        <row r="220">
          <cell r="C220">
            <v>80516513</v>
          </cell>
          <cell r="D220" t="str">
            <v>异径顺水三通印尼(日标) PVC-U管件(D给水系列) DN75x65 (3"x2-1/2") - RUCIKA</v>
          </cell>
          <cell r="E220" t="str">
            <v>JIS PVC-U Large Radius Tee (AW) DN75x65 (3"x2-1/2") - RUCIKA</v>
          </cell>
        </row>
        <row r="220">
          <cell r="G220">
            <v>0</v>
          </cell>
          <cell r="H220">
            <v>0</v>
          </cell>
          <cell r="I220">
            <v>0.15</v>
          </cell>
          <cell r="J220">
            <v>0</v>
          </cell>
          <cell r="K220">
            <v>0.15</v>
          </cell>
          <cell r="L220">
            <v>0</v>
          </cell>
        </row>
        <row r="221">
          <cell r="C221">
            <v>80516359</v>
          </cell>
          <cell r="D221" t="str">
            <v>异径顺水三通印尼(日标) PVC-U管件(AW给水系列) DN100x50 (4"x2") - RUCIKA</v>
          </cell>
          <cell r="E221" t="str">
            <v>JIS PVC-U Large Radius Tee (AW) DN100x50 (4"x2") - RUCIKA</v>
          </cell>
        </row>
        <row r="221">
          <cell r="G221">
            <v>71149</v>
          </cell>
          <cell r="H221">
            <v>71149</v>
          </cell>
          <cell r="I221">
            <v>0.15</v>
          </cell>
          <cell r="J221">
            <v>83705</v>
          </cell>
          <cell r="K221">
            <v>0.15</v>
          </cell>
          <cell r="L221">
            <v>83705</v>
          </cell>
        </row>
        <row r="222">
          <cell r="C222">
            <v>80516361</v>
          </cell>
          <cell r="D222" t="str">
            <v>异径顺水三通印尼(日标) PVC-U管件(AW给水系列) DN100x75 (4"x3") - RUCIKA</v>
          </cell>
          <cell r="E222" t="str">
            <v>JIS PVC-U Large Radius Tee (AW) DN100x75 (4"x3") - RUCIKA</v>
          </cell>
        </row>
        <row r="222">
          <cell r="G222">
            <v>100135</v>
          </cell>
          <cell r="H222">
            <v>100135</v>
          </cell>
          <cell r="I222">
            <v>0.15</v>
          </cell>
          <cell r="J222">
            <v>117806</v>
          </cell>
          <cell r="K222">
            <v>0.15</v>
          </cell>
          <cell r="L222">
            <v>117806</v>
          </cell>
        </row>
        <row r="223">
          <cell r="C223">
            <v>80516374</v>
          </cell>
          <cell r="D223" t="str">
            <v>异径顺水三通印尼(日标) PVC-U管件(AW给水系列) DN150x100 (6"x4") - RUCIKA</v>
          </cell>
          <cell r="E223" t="str">
            <v>JIS PVC-U Large Radius Tee (AW) DN150x100 (6"x4") - RUCIKA</v>
          </cell>
        </row>
        <row r="223">
          <cell r="G223">
            <v>227635</v>
          </cell>
          <cell r="H223">
            <v>227635</v>
          </cell>
          <cell r="I223">
            <v>0.15</v>
          </cell>
          <cell r="J223">
            <v>267806</v>
          </cell>
          <cell r="K223">
            <v>0.15</v>
          </cell>
          <cell r="L223">
            <v>267806</v>
          </cell>
        </row>
        <row r="224">
          <cell r="C224">
            <v>80516376</v>
          </cell>
          <cell r="D224" t="str">
            <v>异径顺水三通印尼(日标) PVC-U管件(AW给水系列) DN200x100 (8"x4") - RUCIKA</v>
          </cell>
          <cell r="E224" t="str">
            <v>JIS PVC-U Large Radius Tee (AW) DN200x100 (8"x4") - RUCIKA</v>
          </cell>
        </row>
        <row r="224">
          <cell r="G224">
            <v>356824</v>
          </cell>
          <cell r="H224">
            <v>356824</v>
          </cell>
          <cell r="I224">
            <v>0.15</v>
          </cell>
          <cell r="J224">
            <v>419793</v>
          </cell>
          <cell r="K224">
            <v>0.15</v>
          </cell>
          <cell r="L224">
            <v>419793</v>
          </cell>
        </row>
        <row r="225">
          <cell r="C225">
            <v>80516377</v>
          </cell>
          <cell r="D225" t="str">
            <v>异径顺水三通印尼(日标) PVC-U管件(AW给水系列) DN200x150 (8"x6") - RUCIKA</v>
          </cell>
          <cell r="E225" t="str">
            <v>JIS PVC-U Large Radius Tee (AW) DN200x150 (8"x6") - RUCIKA</v>
          </cell>
        </row>
        <row r="225">
          <cell r="G225">
            <v>454865</v>
          </cell>
          <cell r="H225">
            <v>454865</v>
          </cell>
          <cell r="I225">
            <v>0.15</v>
          </cell>
          <cell r="J225">
            <v>535136</v>
          </cell>
          <cell r="K225">
            <v>0.15</v>
          </cell>
          <cell r="L225">
            <v>535135</v>
          </cell>
        </row>
        <row r="226">
          <cell r="C226">
            <v>80090938</v>
          </cell>
          <cell r="D226" t="str">
            <v>异径顺水三通PVC-U管件(AW 系列) DN200x100 (8"x4") - CM</v>
          </cell>
          <cell r="E226" t="str">
            <v>PVC-U Large Radius Tee (AW) DN200x100 (8"x4") - CM</v>
          </cell>
        </row>
        <row r="226">
          <cell r="G226">
            <v>443700</v>
          </cell>
          <cell r="H226">
            <v>443700</v>
          </cell>
          <cell r="I226">
            <v>0.12</v>
          </cell>
          <cell r="J226">
            <v>504205</v>
          </cell>
          <cell r="K226">
            <v>0.1</v>
          </cell>
          <cell r="L226">
            <v>493000</v>
          </cell>
        </row>
        <row r="227">
          <cell r="C227">
            <v>8020022639</v>
          </cell>
          <cell r="D227" t="str">
            <v>直通印尼(日标)PVC-U管件(D排水系列)灰色 DN35 (1-1/4") 联塑</v>
          </cell>
          <cell r="E227" t="str">
            <v>JIS PVC-U Socket (D - DS) DN35 (1-1/4") Grey - LESSO</v>
          </cell>
        </row>
        <row r="227">
          <cell r="G227">
            <v>1174</v>
          </cell>
          <cell r="H227">
            <v>1174</v>
          </cell>
          <cell r="I227">
            <v>0.12</v>
          </cell>
          <cell r="J227">
            <v>1335</v>
          </cell>
          <cell r="K227">
            <v>0.1</v>
          </cell>
          <cell r="L227">
            <v>1304</v>
          </cell>
        </row>
        <row r="228">
          <cell r="C228">
            <v>8020022808</v>
          </cell>
          <cell r="D228" t="str">
            <v>直通印尼(日标)PVC-U管件(D排水系列)灰色 DN40 (1-1/2") 联塑</v>
          </cell>
          <cell r="E228" t="str">
            <v>JIS PVC-U Socket (D - DS) DN40 (1-1/2") Grey - LESSO</v>
          </cell>
        </row>
        <row r="228">
          <cell r="G228">
            <v>1364</v>
          </cell>
          <cell r="H228">
            <v>1364</v>
          </cell>
          <cell r="I228">
            <v>0.12</v>
          </cell>
          <cell r="J228">
            <v>1550</v>
          </cell>
          <cell r="K228">
            <v>0.1</v>
          </cell>
          <cell r="L228">
            <v>1516</v>
          </cell>
        </row>
        <row r="229">
          <cell r="C229">
            <v>8020022667</v>
          </cell>
          <cell r="D229" t="str">
            <v>直通印尼(日标)PVC-U管件(D排水系列)灰色 DN50 (2") 联塑</v>
          </cell>
          <cell r="E229" t="str">
            <v>JIS PVC-U Socket (D - DS) DN50 (2") Grey - LESSO</v>
          </cell>
        </row>
        <row r="229">
          <cell r="G229">
            <v>2021</v>
          </cell>
          <cell r="H229">
            <v>2021</v>
          </cell>
          <cell r="I229">
            <v>0.12</v>
          </cell>
          <cell r="J229">
            <v>2297</v>
          </cell>
          <cell r="K229">
            <v>0.1</v>
          </cell>
          <cell r="L229">
            <v>2246</v>
          </cell>
        </row>
        <row r="230">
          <cell r="C230">
            <v>8020022624</v>
          </cell>
          <cell r="D230" t="str">
            <v>直通印尼(日标)PVC-U管件(D排水系列)灰色 DN65 (2-1/2") 联塑</v>
          </cell>
          <cell r="E230" t="str">
            <v>JIS PVC-U Socket (D - DS) 2-1/2" Grey - LESSO</v>
          </cell>
        </row>
        <row r="230">
          <cell r="G230">
            <v>3317</v>
          </cell>
          <cell r="H230">
            <v>3317</v>
          </cell>
          <cell r="I230">
            <v>0.12</v>
          </cell>
          <cell r="J230">
            <v>3770</v>
          </cell>
          <cell r="K230">
            <v>0.1</v>
          </cell>
          <cell r="L230">
            <v>3686</v>
          </cell>
        </row>
        <row r="231">
          <cell r="C231">
            <v>8020022668</v>
          </cell>
          <cell r="D231" t="str">
            <v>直通印尼(日标)PVC-U管件(D排水系列)灰色 DN75 (3") 联塑</v>
          </cell>
          <cell r="E231" t="str">
            <v>JIS PVC-U Socket (D - DS) DN75 (3") Grey - LESSO</v>
          </cell>
        </row>
        <row r="231">
          <cell r="G231">
            <v>5102</v>
          </cell>
          <cell r="H231">
            <v>5102</v>
          </cell>
          <cell r="I231">
            <v>0.12</v>
          </cell>
          <cell r="J231">
            <v>5798</v>
          </cell>
          <cell r="K231">
            <v>0.1</v>
          </cell>
          <cell r="L231">
            <v>5669</v>
          </cell>
        </row>
        <row r="232">
          <cell r="C232">
            <v>8020022669</v>
          </cell>
          <cell r="D232" t="str">
            <v>直通印尼(日标)PVC-U管件(D排水系列)灰色 DN100 (4") 联塑</v>
          </cell>
          <cell r="E232" t="str">
            <v>JIS PVC-U Socket (D - DS) DN100 (4") Grey - LESSO</v>
          </cell>
        </row>
        <row r="232">
          <cell r="G232">
            <v>8950</v>
          </cell>
          <cell r="H232">
            <v>8950</v>
          </cell>
          <cell r="I232">
            <v>0.12</v>
          </cell>
          <cell r="J232">
            <v>10171</v>
          </cell>
          <cell r="K232">
            <v>0.1</v>
          </cell>
          <cell r="L232">
            <v>9944</v>
          </cell>
        </row>
        <row r="233">
          <cell r="C233">
            <v>8020022670</v>
          </cell>
          <cell r="D233" t="str">
            <v>直通印尼(日标)PVC-U管件(D排水系列)灰色 DN150 (6") 联塑</v>
          </cell>
          <cell r="E233" t="str">
            <v>JIS PVC-U Socket (D - DS) DN150 (6") Grey - LESSO</v>
          </cell>
        </row>
        <row r="233">
          <cell r="G233">
            <v>22075</v>
          </cell>
          <cell r="H233">
            <v>22075</v>
          </cell>
          <cell r="I233">
            <v>0.12</v>
          </cell>
          <cell r="J233">
            <v>25086</v>
          </cell>
          <cell r="K233">
            <v>0.1</v>
          </cell>
          <cell r="L233">
            <v>24528</v>
          </cell>
        </row>
        <row r="234">
          <cell r="C234">
            <v>8020026064</v>
          </cell>
          <cell r="D234" t="str">
            <v>直通印尼(日标)PVC-U管件(D排水系列)灰色 DN200 (8") 联塑</v>
          </cell>
          <cell r="E234" t="str">
            <v>JIS PVC-U Socket (D - DS) DN200 (8") Grey - LESSO</v>
          </cell>
        </row>
        <row r="234">
          <cell r="G234">
            <v>53459</v>
          </cell>
          <cell r="H234">
            <v>53459</v>
          </cell>
          <cell r="I234">
            <v>0.12</v>
          </cell>
          <cell r="J234">
            <v>60749</v>
          </cell>
          <cell r="K234">
            <v>0.1</v>
          </cell>
          <cell r="L234">
            <v>59399</v>
          </cell>
        </row>
        <row r="235">
          <cell r="C235">
            <v>8020026152</v>
          </cell>
          <cell r="D235" t="str">
            <v>直通印尼(日标)PVC-U管件(D排水系列)灰色 DN250 (10") 联塑</v>
          </cell>
          <cell r="E235" t="str">
            <v>JIS PVC-U Socket (D - DS) DN250 (10") Grey - LESSO</v>
          </cell>
        </row>
        <row r="235">
          <cell r="G235">
            <v>73729</v>
          </cell>
          <cell r="H235">
            <v>73729</v>
          </cell>
          <cell r="I235">
            <v>0.12</v>
          </cell>
          <cell r="J235">
            <v>83783</v>
          </cell>
          <cell r="K235">
            <v>0.1</v>
          </cell>
          <cell r="L235">
            <v>81921</v>
          </cell>
        </row>
        <row r="236">
          <cell r="C236">
            <v>8020026151</v>
          </cell>
          <cell r="D236" t="str">
            <v>直通印尼(日标)PVC-U管件(D排水系列)灰色 DN300 (12") 联塑</v>
          </cell>
          <cell r="E236" t="str">
            <v>JIS PVC-U Socket (D - DS) DN300 (12") Grey - LESSO</v>
          </cell>
        </row>
        <row r="236">
          <cell r="G236">
            <v>114013</v>
          </cell>
          <cell r="H236">
            <v>114013</v>
          </cell>
          <cell r="I236">
            <v>0.12</v>
          </cell>
          <cell r="J236">
            <v>129561</v>
          </cell>
          <cell r="K236">
            <v>0.1</v>
          </cell>
          <cell r="L236">
            <v>126681</v>
          </cell>
        </row>
        <row r="237">
          <cell r="C237">
            <v>8020022805</v>
          </cell>
          <cell r="D237" t="str">
            <v>45°弯头印尼(日标)PVC-U管件(D排水系列)灰色 DN35 (1-1/4") 联塑</v>
          </cell>
          <cell r="E237" t="str">
            <v>JIS PVC-U 45° Elbow (D - 45L) DN35 (1-1/4") Grey - LESSO</v>
          </cell>
        </row>
        <row r="237">
          <cell r="G237">
            <v>1633</v>
          </cell>
          <cell r="H237">
            <v>1633</v>
          </cell>
          <cell r="I237">
            <v>0.12</v>
          </cell>
          <cell r="J237">
            <v>1856</v>
          </cell>
          <cell r="K237">
            <v>0.1</v>
          </cell>
          <cell r="L237">
            <v>1814</v>
          </cell>
        </row>
        <row r="238">
          <cell r="C238">
            <v>8020022754</v>
          </cell>
          <cell r="D238" t="str">
            <v>45°弯头印尼(日标)PVC-U管件(D排水系列)灰色 DN40 (1-1/2") 联塑</v>
          </cell>
          <cell r="E238" t="str">
            <v>JIS PVC-U 45° Elbow (D - 45L) DN40 (1-1/2") Grey - LESSO</v>
          </cell>
        </row>
        <row r="238">
          <cell r="G238">
            <v>1869</v>
          </cell>
          <cell r="H238">
            <v>1869</v>
          </cell>
          <cell r="I238">
            <v>0.12</v>
          </cell>
          <cell r="J238">
            <v>2124</v>
          </cell>
          <cell r="K238">
            <v>0.1</v>
          </cell>
          <cell r="L238">
            <v>2077</v>
          </cell>
        </row>
        <row r="239">
          <cell r="C239">
            <v>8020022742</v>
          </cell>
          <cell r="D239" t="str">
            <v>45°弯头印尼(日标)PVC-U管件(D排水系列)灰色 DN50 (2") 联塑</v>
          </cell>
          <cell r="E239" t="str">
            <v>JIS PVC-U 45° Elbow ((D - 45L)) DN50 (2") Grey - LESSO</v>
          </cell>
        </row>
        <row r="239">
          <cell r="G239">
            <v>3244</v>
          </cell>
          <cell r="H239">
            <v>3244</v>
          </cell>
          <cell r="I239">
            <v>0.12</v>
          </cell>
          <cell r="J239">
            <v>3687</v>
          </cell>
          <cell r="K239">
            <v>0.1</v>
          </cell>
          <cell r="L239">
            <v>3604</v>
          </cell>
        </row>
        <row r="240">
          <cell r="C240">
            <v>8020022618</v>
          </cell>
          <cell r="D240" t="str">
            <v>45°弯头印尼(日标)PVC-U管件(D排水系列)灰色 DN65 (2-1/2") 联塑</v>
          </cell>
          <cell r="E240" t="str">
            <v>JIS PVC-U 45° Elbow ((D - 45L)) 2-1/2" Grey - LESSO</v>
          </cell>
        </row>
        <row r="240">
          <cell r="G240">
            <v>5001</v>
          </cell>
          <cell r="H240">
            <v>5001</v>
          </cell>
          <cell r="I240">
            <v>0.12</v>
          </cell>
          <cell r="J240">
            <v>5683</v>
          </cell>
          <cell r="K240">
            <v>0.1</v>
          </cell>
          <cell r="L240">
            <v>5557</v>
          </cell>
        </row>
        <row r="241">
          <cell r="C241">
            <v>8020022755</v>
          </cell>
          <cell r="D241" t="str">
            <v>45°弯头印尼(日标)PVC-U管件(D排水系列)灰色 DN75 (3") 联塑</v>
          </cell>
          <cell r="E241" t="str">
            <v>JIS PVC-U 45° Elbow ((D - 45L)) DN75 (3") Grey - LESSO</v>
          </cell>
        </row>
        <row r="241">
          <cell r="G241">
            <v>7064</v>
          </cell>
          <cell r="H241">
            <v>7064</v>
          </cell>
          <cell r="I241">
            <v>0.12</v>
          </cell>
          <cell r="J241">
            <v>8028</v>
          </cell>
          <cell r="K241">
            <v>0.1</v>
          </cell>
          <cell r="L241">
            <v>7849</v>
          </cell>
        </row>
        <row r="242">
          <cell r="C242">
            <v>8020022756</v>
          </cell>
          <cell r="D242" t="str">
            <v>45°弯头印尼(日标)PVC-U管件(D排水系列)灰色 DN100 (4") 联塑</v>
          </cell>
          <cell r="E242" t="str">
            <v>JIS PVC-U 45° Elbow ((D - 45L)) DN100 (4") Grey - LESSO</v>
          </cell>
        </row>
        <row r="242">
          <cell r="G242">
            <v>11951</v>
          </cell>
          <cell r="H242">
            <v>11951</v>
          </cell>
          <cell r="I242">
            <v>0.12</v>
          </cell>
          <cell r="J242">
            <v>13581</v>
          </cell>
          <cell r="K242">
            <v>0.1</v>
          </cell>
          <cell r="L242">
            <v>13279</v>
          </cell>
        </row>
        <row r="243">
          <cell r="C243">
            <v>8020026126</v>
          </cell>
          <cell r="D243" t="str">
            <v>45°弯头印尼(日标)PVC-U管件(D排水系列)灰色 DN125 (5") 联塑</v>
          </cell>
          <cell r="E243" t="str">
            <v>JIS PVC-U 45° Elbow (D - 45L) DN125 (5") Grey - LESSO</v>
          </cell>
        </row>
        <row r="243">
          <cell r="G243">
            <v>24830</v>
          </cell>
          <cell r="H243">
            <v>24830</v>
          </cell>
          <cell r="I243">
            <v>0.12</v>
          </cell>
          <cell r="J243">
            <v>28216</v>
          </cell>
          <cell r="K243">
            <v>0.1</v>
          </cell>
          <cell r="L243">
            <v>27589</v>
          </cell>
        </row>
        <row r="244">
          <cell r="C244">
            <v>8020022757</v>
          </cell>
          <cell r="D244" t="str">
            <v>45°弯头印尼(日标)PVC-U管件(D排水系列)灰色 DN150 (6") 联塑</v>
          </cell>
          <cell r="E244" t="str">
            <v>JIS PVC-U 45° Elbow ((D - 45L)) DN150 (6") Grey - LESSO</v>
          </cell>
        </row>
        <row r="244">
          <cell r="G244">
            <v>50059</v>
          </cell>
          <cell r="H244">
            <v>50059</v>
          </cell>
          <cell r="I244">
            <v>0.12</v>
          </cell>
          <cell r="J244">
            <v>56886</v>
          </cell>
          <cell r="K244">
            <v>0.1</v>
          </cell>
          <cell r="L244">
            <v>55621</v>
          </cell>
        </row>
        <row r="245">
          <cell r="C245">
            <v>8020026127</v>
          </cell>
          <cell r="D245" t="str">
            <v>45°弯头印尼(日标)PVC-U管件(D排水系列)灰色 DN200 (8") 联塑</v>
          </cell>
          <cell r="E245" t="str">
            <v>JIS PVC-U 45° Elbow (D - 45L) DN200 (8") Grey - LESSO</v>
          </cell>
        </row>
        <row r="245">
          <cell r="G245">
            <v>86396</v>
          </cell>
          <cell r="H245">
            <v>86396</v>
          </cell>
          <cell r="I245">
            <v>0.12</v>
          </cell>
          <cell r="J245">
            <v>98178</v>
          </cell>
          <cell r="K245">
            <v>0.1</v>
          </cell>
          <cell r="L245">
            <v>95996</v>
          </cell>
        </row>
        <row r="246">
          <cell r="C246">
            <v>8020026142</v>
          </cell>
          <cell r="D246" t="str">
            <v>45°弯头印尼(日标)PVC-U管件(D排水系列)灰色 DN250 (10") 联塑</v>
          </cell>
          <cell r="E246" t="str">
            <v>JIS PVC-U 45° Elbow ((D - 45L)) DN250 (10") Grey - LESSO</v>
          </cell>
        </row>
        <row r="246">
          <cell r="G246">
            <v>125922</v>
          </cell>
          <cell r="H246">
            <v>125922</v>
          </cell>
          <cell r="I246">
            <v>0.12</v>
          </cell>
          <cell r="J246">
            <v>143094</v>
          </cell>
          <cell r="K246">
            <v>0.1</v>
          </cell>
          <cell r="L246">
            <v>139913</v>
          </cell>
        </row>
        <row r="247">
          <cell r="C247">
            <v>8020026143</v>
          </cell>
          <cell r="D247" t="str">
            <v>45°弯头印尼(日标)PVC-U管件(D排水系列)灰色 DN300 (12") 联塑</v>
          </cell>
          <cell r="E247" t="str">
            <v>JIS PVC-U 45° Elbow ((D - 45L)) DN300 (12") Grey - LESSO</v>
          </cell>
        </row>
        <row r="247">
          <cell r="G247">
            <v>195342</v>
          </cell>
          <cell r="H247">
            <v>195342</v>
          </cell>
          <cell r="I247">
            <v>0.12</v>
          </cell>
          <cell r="J247">
            <v>221980</v>
          </cell>
          <cell r="K247">
            <v>0.1</v>
          </cell>
          <cell r="L247">
            <v>217047</v>
          </cell>
        </row>
        <row r="248">
          <cell r="C248">
            <v>8020022746</v>
          </cell>
          <cell r="D248" t="str">
            <v>90°弯头印尼(日标)PVC-U管件(D排水系列)灰色 DN35 (1-1/4") 联塑</v>
          </cell>
          <cell r="E248" t="str">
            <v>JIS PVC-U 90° Elbow (D - DT) DN35 (1-1/4") Grey - LESSO</v>
          </cell>
        </row>
        <row r="248">
          <cell r="G248">
            <v>1607</v>
          </cell>
          <cell r="H248">
            <v>1607</v>
          </cell>
          <cell r="I248">
            <v>0.12</v>
          </cell>
          <cell r="J248">
            <v>1827</v>
          </cell>
          <cell r="K248">
            <v>0.1</v>
          </cell>
          <cell r="L248">
            <v>1786</v>
          </cell>
        </row>
        <row r="249">
          <cell r="C249">
            <v>8020022760</v>
          </cell>
          <cell r="D249" t="str">
            <v>90°弯头印尼(日标)PVC-U管件(D排水系列)灰色 DN40 (1-1/2") 联塑</v>
          </cell>
          <cell r="E249" t="str">
            <v>JIS PVC-U 90° Elbow (D - DT) DN40 (1-1/2") Grey - LESSO</v>
          </cell>
        </row>
        <row r="249">
          <cell r="G249">
            <v>2032</v>
          </cell>
          <cell r="H249">
            <v>2032</v>
          </cell>
          <cell r="I249">
            <v>0.12</v>
          </cell>
          <cell r="J249">
            <v>2310</v>
          </cell>
          <cell r="K249">
            <v>0.1</v>
          </cell>
          <cell r="L249">
            <v>2258</v>
          </cell>
        </row>
        <row r="250">
          <cell r="C250">
            <v>8020022822</v>
          </cell>
          <cell r="D250" t="str">
            <v>90°弯头印尼(日标)PVC-U管件(D排水系列)灰色 DN50 (2") 联塑</v>
          </cell>
          <cell r="E250" t="str">
            <v>JIS PVC-U 90° Elbow (D - DT) DN50 (2") Grey - LESSO</v>
          </cell>
        </row>
        <row r="250">
          <cell r="G250">
            <v>3198</v>
          </cell>
          <cell r="H250">
            <v>3198</v>
          </cell>
          <cell r="I250">
            <v>0.12</v>
          </cell>
          <cell r="J250">
            <v>3635</v>
          </cell>
          <cell r="K250">
            <v>0.1</v>
          </cell>
          <cell r="L250">
            <v>3553</v>
          </cell>
        </row>
        <row r="251">
          <cell r="C251">
            <v>8020022619</v>
          </cell>
          <cell r="D251" t="str">
            <v>90°弯头印尼(日标)PVC-U管件(D排水系列)灰色 DN65 (2-1/2") 联塑</v>
          </cell>
          <cell r="E251" t="str">
            <v>JIS PVC-U 90° Elbow (D - DT) DN65 (2-1/2") Grey - LESSO</v>
          </cell>
        </row>
        <row r="251">
          <cell r="G251">
            <v>5715</v>
          </cell>
          <cell r="H251">
            <v>5715</v>
          </cell>
          <cell r="I251">
            <v>0.12</v>
          </cell>
          <cell r="J251">
            <v>6495</v>
          </cell>
          <cell r="K251">
            <v>0.1</v>
          </cell>
          <cell r="L251">
            <v>6350</v>
          </cell>
        </row>
        <row r="252">
          <cell r="C252">
            <v>8020022650</v>
          </cell>
          <cell r="D252" t="str">
            <v>90°弯头印尼(日标)PVC-U管件(D排水系列)灰色 DN75 (3") 联塑</v>
          </cell>
          <cell r="E252" t="str">
            <v>JIS PVC-U 90° Elbow (D - DT) DN75 (3") Grey - LESSO</v>
          </cell>
        </row>
        <row r="252">
          <cell r="G252">
            <v>7242</v>
          </cell>
          <cell r="H252">
            <v>7242</v>
          </cell>
          <cell r="I252">
            <v>0.12</v>
          </cell>
          <cell r="J252">
            <v>8230</v>
          </cell>
          <cell r="K252">
            <v>0.1</v>
          </cell>
          <cell r="L252">
            <v>8047</v>
          </cell>
        </row>
        <row r="253">
          <cell r="C253">
            <v>8020022806</v>
          </cell>
          <cell r="D253" t="str">
            <v>90°弯头印尼(日标)PVC-U管件(D排水系列)灰色 DN100 (4") 联塑</v>
          </cell>
          <cell r="E253" t="str">
            <v>JIS PVC-U 90° Elbow (D - DT) DN100 (4") Grey - LESSO</v>
          </cell>
          <cell r="F253">
            <v>14351.3513513513</v>
          </cell>
          <cell r="G253">
            <v>14351</v>
          </cell>
          <cell r="H253">
            <v>14351</v>
          </cell>
          <cell r="I253">
            <v>0.12</v>
          </cell>
          <cell r="J253">
            <v>16308</v>
          </cell>
          <cell r="K253">
            <v>0.1</v>
          </cell>
          <cell r="L253">
            <v>15946</v>
          </cell>
        </row>
        <row r="254">
          <cell r="C254">
            <v>8020026128</v>
          </cell>
          <cell r="D254" t="str">
            <v>90°弯头印尼(日标)PVC-U管件(D排水系列)灰色 DN125 (5") 联塑</v>
          </cell>
          <cell r="E254" t="str">
            <v>JIS PVC-U 90° Elbow (D - DT) DN125 (5") Grey - LESSO</v>
          </cell>
        </row>
        <row r="254">
          <cell r="G254">
            <v>34205</v>
          </cell>
          <cell r="H254">
            <v>34205</v>
          </cell>
          <cell r="I254">
            <v>0.12</v>
          </cell>
          <cell r="J254">
            <v>38870</v>
          </cell>
          <cell r="K254">
            <v>0.1</v>
          </cell>
          <cell r="L254">
            <v>38006</v>
          </cell>
        </row>
        <row r="255">
          <cell r="C255">
            <v>8020022807</v>
          </cell>
          <cell r="D255" t="str">
            <v>90°弯头印尼(日标)PVC-U管件(D排水系列)灰色 DN150 (6") 联塑</v>
          </cell>
          <cell r="E255" t="str">
            <v>JIS PVC-U 90° Elbow (D - DT) DN150 (6") Grey - LESSO</v>
          </cell>
        </row>
        <row r="255">
          <cell r="G255">
            <v>47584</v>
          </cell>
          <cell r="H255">
            <v>47584</v>
          </cell>
          <cell r="I255">
            <v>0.12</v>
          </cell>
          <cell r="J255">
            <v>54073</v>
          </cell>
          <cell r="K255">
            <v>0.1</v>
          </cell>
          <cell r="L255">
            <v>52871</v>
          </cell>
        </row>
        <row r="256">
          <cell r="C256">
            <v>8020026144</v>
          </cell>
          <cell r="D256" t="str">
            <v>90°弯头印尼(日标)PVC-U管件(D排水系列)灰色 DN200 (8") 联塑</v>
          </cell>
          <cell r="E256" t="str">
            <v>JIS PVC-U 90" Elbow (D - DT) DN200 (8") Grey - LESSO</v>
          </cell>
        </row>
        <row r="256">
          <cell r="G256">
            <v>112747</v>
          </cell>
          <cell r="H256">
            <v>112747</v>
          </cell>
          <cell r="I256">
            <v>0.12</v>
          </cell>
          <cell r="J256">
            <v>128122</v>
          </cell>
          <cell r="K256">
            <v>0.1</v>
          </cell>
          <cell r="L256">
            <v>125274</v>
          </cell>
        </row>
        <row r="257">
          <cell r="C257">
            <v>8020026145</v>
          </cell>
          <cell r="D257" t="str">
            <v>90°弯头印尼(日标)PVC-U管件(D排水系列)灰色 DN250 (10") 联塑</v>
          </cell>
          <cell r="E257" t="str">
            <v>JIS PVC-U 90" Elbow (D - DT) DN250 (10") Grey - LESSO</v>
          </cell>
        </row>
        <row r="257">
          <cell r="G257">
            <v>162659</v>
          </cell>
          <cell r="H257">
            <v>162659</v>
          </cell>
          <cell r="I257">
            <v>0.12</v>
          </cell>
          <cell r="J257">
            <v>184840</v>
          </cell>
          <cell r="K257">
            <v>0.1</v>
          </cell>
          <cell r="L257">
            <v>180732</v>
          </cell>
        </row>
        <row r="258">
          <cell r="C258">
            <v>8020026146</v>
          </cell>
          <cell r="D258" t="str">
            <v>90°弯头印尼(日标)PVC-U管件(D排水系列)灰色 DN300 (12") 联塑</v>
          </cell>
          <cell r="E258" t="str">
            <v>JIS PVC-U 90" Elbow (D - DT) DN300 (12") Grey - LESSO</v>
          </cell>
        </row>
        <row r="258">
          <cell r="G258">
            <v>240694</v>
          </cell>
          <cell r="H258">
            <v>240694</v>
          </cell>
          <cell r="I258">
            <v>0.12</v>
          </cell>
          <cell r="J258">
            <v>273516</v>
          </cell>
          <cell r="K258">
            <v>0.1</v>
          </cell>
          <cell r="L258">
            <v>267438</v>
          </cell>
        </row>
        <row r="259">
          <cell r="C259">
            <v>8020022759</v>
          </cell>
          <cell r="D259" t="str">
            <v>90°顺水弯头印尼(日标)PVC-U管件(D排水系列)灰色 DN35 (1-1/4") 联塑</v>
          </cell>
          <cell r="E259" t="str">
            <v>JIS PVC-U Large Radius Elbow (D-DLL) DN35 (1-1/4") Grey - LESSO</v>
          </cell>
        </row>
        <row r="259">
          <cell r="G259">
            <v>2705</v>
          </cell>
          <cell r="H259">
            <v>2705</v>
          </cell>
          <cell r="I259">
            <v>0.12</v>
          </cell>
          <cell r="J259">
            <v>3074</v>
          </cell>
          <cell r="K259">
            <v>0.1</v>
          </cell>
          <cell r="L259">
            <v>3006</v>
          </cell>
        </row>
        <row r="260">
          <cell r="C260">
            <v>8020022649</v>
          </cell>
          <cell r="D260" t="str">
            <v>90°顺水弯头印尼(日标)PVC-U管件(D排水系列)灰色 DN50 (2") (2") 联塑</v>
          </cell>
          <cell r="E260" t="str">
            <v>JIS PVC-U Large Radius Elbow (D-DLL) DN50 (2") (2") Grey - LESSO</v>
          </cell>
        </row>
        <row r="260">
          <cell r="G260">
            <v>5759</v>
          </cell>
          <cell r="H260">
            <v>5759</v>
          </cell>
          <cell r="I260">
            <v>0.12</v>
          </cell>
          <cell r="J260">
            <v>6545</v>
          </cell>
          <cell r="K260">
            <v>0.1</v>
          </cell>
          <cell r="L260">
            <v>6399</v>
          </cell>
        </row>
        <row r="261">
          <cell r="C261">
            <v>8020022789</v>
          </cell>
          <cell r="D261" t="str">
            <v>90°顺水弯头印尼(日标)PVC-U管件(D排水系列)灰色 DN75 (3") 联塑</v>
          </cell>
          <cell r="E261" t="str">
            <v>JIS PVC-U Large Radius Elbow (D-DLL) DN75 (3") Grey - LESSO</v>
          </cell>
        </row>
        <row r="261">
          <cell r="G261">
            <v>12881</v>
          </cell>
          <cell r="H261">
            <v>12881</v>
          </cell>
          <cell r="I261">
            <v>0.12</v>
          </cell>
          <cell r="J261">
            <v>14638</v>
          </cell>
          <cell r="K261">
            <v>0.1</v>
          </cell>
          <cell r="L261">
            <v>14312</v>
          </cell>
        </row>
        <row r="262">
          <cell r="C262">
            <v>8020022744</v>
          </cell>
          <cell r="D262" t="str">
            <v>90°顺水弯头印尼(日标)PVC-U管件(D排水系列)灰色 DN100 (4") 联塑</v>
          </cell>
          <cell r="E262" t="str">
            <v>JIS PVC-U Large Radius Elbow (D-DLL) DN100 (4") Grey - LESSO</v>
          </cell>
        </row>
        <row r="262">
          <cell r="G262">
            <v>26550</v>
          </cell>
          <cell r="H262">
            <v>26550</v>
          </cell>
          <cell r="I262">
            <v>0.12</v>
          </cell>
          <cell r="J262">
            <v>30171</v>
          </cell>
          <cell r="K262">
            <v>0.1</v>
          </cell>
          <cell r="L262">
            <v>29500</v>
          </cell>
        </row>
        <row r="263">
          <cell r="C263">
            <v>8020022745</v>
          </cell>
          <cell r="D263" t="str">
            <v>90°顺水弯头印尼(日标)PVC-U管件(D排水系列)灰色 DN150 (6") 联塑</v>
          </cell>
          <cell r="E263" t="str">
            <v>JIS PVC-U Large Radius Elbow (D-DLL) DN150 (6") Grey - LESSO</v>
          </cell>
        </row>
        <row r="263">
          <cell r="G263">
            <v>80520</v>
          </cell>
          <cell r="H263">
            <v>80520</v>
          </cell>
          <cell r="I263">
            <v>0.12</v>
          </cell>
          <cell r="J263">
            <v>91500</v>
          </cell>
          <cell r="K263">
            <v>0.1</v>
          </cell>
          <cell r="L263">
            <v>89467</v>
          </cell>
        </row>
        <row r="264">
          <cell r="C264">
            <v>8020022651</v>
          </cell>
          <cell r="D264" t="str">
            <v>短型顺水三通印尼(日标)PVC-U管件(D排水系列)灰色 DN35 (1-1/4") 联塑</v>
          </cell>
          <cell r="E264" t="str">
            <v>JIS PVC-U Tee (D - DT) DN35 (1-1/4") Grey - LESSO</v>
          </cell>
        </row>
        <row r="264">
          <cell r="G264">
            <v>2296</v>
          </cell>
          <cell r="H264">
            <v>2296</v>
          </cell>
          <cell r="I264">
            <v>0.12</v>
          </cell>
          <cell r="J264">
            <v>2610</v>
          </cell>
          <cell r="K264">
            <v>0.1</v>
          </cell>
          <cell r="L264">
            <v>2551</v>
          </cell>
        </row>
        <row r="265">
          <cell r="C265">
            <v>8020022652</v>
          </cell>
          <cell r="D265" t="str">
            <v>短型顺水三通印尼(日标)PVC-U管件(D排水系列)灰色 DN40 (1-1/2") 联塑</v>
          </cell>
          <cell r="E265" t="str">
            <v>JIS PVC-U Tee (D - DT) DN40 (1-1/2") Grey - LESSO</v>
          </cell>
        </row>
        <row r="265">
          <cell r="G265">
            <v>3182</v>
          </cell>
          <cell r="H265">
            <v>3182</v>
          </cell>
          <cell r="I265">
            <v>0.12</v>
          </cell>
          <cell r="J265">
            <v>3616</v>
          </cell>
          <cell r="K265">
            <v>0.1</v>
          </cell>
          <cell r="L265">
            <v>3536</v>
          </cell>
        </row>
        <row r="266">
          <cell r="C266">
            <v>8020022784</v>
          </cell>
          <cell r="D266" t="str">
            <v>短型顺水三通印尼(日标)PVC-U管件(D排水系列)灰色 DN50 (2") 联塑</v>
          </cell>
          <cell r="E266" t="str">
            <v>JIS PVC-U Tee (D - DT) DN50 (2") Grey - LESSO</v>
          </cell>
        </row>
        <row r="266">
          <cell r="G266">
            <v>4132</v>
          </cell>
          <cell r="H266">
            <v>4132</v>
          </cell>
          <cell r="I266">
            <v>0.12</v>
          </cell>
          <cell r="J266">
            <v>4696</v>
          </cell>
          <cell r="K266">
            <v>0.1</v>
          </cell>
          <cell r="L266">
            <v>4591</v>
          </cell>
        </row>
        <row r="267">
          <cell r="C267">
            <v>8020022628</v>
          </cell>
          <cell r="D267" t="str">
            <v>短型顺水三通印尼(日标)PVC-U管件(D排水系列)灰色 DN65 (2-1/2") 联塑</v>
          </cell>
          <cell r="E267" t="str">
            <v>JIS PVC-U Tee (D - DT) DN65 (2-1/2") Grey - LESSO</v>
          </cell>
          <cell r="F267">
            <v>8471.17117117117</v>
          </cell>
          <cell r="G267">
            <v>8471</v>
          </cell>
          <cell r="H267">
            <v>8471</v>
          </cell>
          <cell r="I267">
            <v>0.12</v>
          </cell>
          <cell r="J267">
            <v>9627</v>
          </cell>
          <cell r="K267">
            <v>0.1</v>
          </cell>
          <cell r="L267">
            <v>9412</v>
          </cell>
        </row>
        <row r="268">
          <cell r="C268">
            <v>8020022761</v>
          </cell>
          <cell r="D268" t="str">
            <v>短型顺水三通印尼(日标)PVC-U管件(D排水系列)灰色 DN75 (3") 联塑</v>
          </cell>
          <cell r="E268" t="str">
            <v>JIS PVC-U Tee (D - DT) DN75 (3") Grey - LESSO</v>
          </cell>
        </row>
        <row r="268">
          <cell r="G268">
            <v>11063</v>
          </cell>
          <cell r="H268">
            <v>11063</v>
          </cell>
          <cell r="I268">
            <v>0.12</v>
          </cell>
          <cell r="J268">
            <v>12572</v>
          </cell>
          <cell r="K268">
            <v>0.1</v>
          </cell>
          <cell r="L268">
            <v>12292</v>
          </cell>
        </row>
        <row r="269">
          <cell r="C269">
            <v>8020022653</v>
          </cell>
          <cell r="D269" t="str">
            <v>短型顺水三通印尼(日标)PVC-U管件(D排水系列)灰色 DN100 (4") 联塑</v>
          </cell>
          <cell r="E269" t="str">
            <v>JIS PVC-U Tee (D - DT) DN100 (4") Grey - LESSO</v>
          </cell>
        </row>
        <row r="269">
          <cell r="G269">
            <v>18882</v>
          </cell>
          <cell r="H269">
            <v>18882</v>
          </cell>
          <cell r="I269">
            <v>0.12</v>
          </cell>
          <cell r="J269">
            <v>21457</v>
          </cell>
          <cell r="K269">
            <v>0.1</v>
          </cell>
          <cell r="L269">
            <v>20980</v>
          </cell>
        </row>
        <row r="270">
          <cell r="C270">
            <v>8020026063</v>
          </cell>
          <cell r="D270" t="str">
            <v>短型顺水三通印尼(日标)PVC-U管件(D排水系列)灰色 DN125 (5") 联塑</v>
          </cell>
          <cell r="E270" t="str">
            <v>JIS PVC-U Tee (D - DT) DN125 (5") Grey - LESSO</v>
          </cell>
        </row>
        <row r="270">
          <cell r="G270">
            <v>39727</v>
          </cell>
          <cell r="H270">
            <v>39727</v>
          </cell>
          <cell r="I270">
            <v>0.12</v>
          </cell>
          <cell r="J270">
            <v>45145</v>
          </cell>
          <cell r="K270">
            <v>0.1</v>
          </cell>
          <cell r="L270">
            <v>44141</v>
          </cell>
        </row>
        <row r="271">
          <cell r="C271">
            <v>8020022638</v>
          </cell>
          <cell r="D271" t="str">
            <v>短型顺水三通印尼(日标)PVC-U管件(D排水系列)灰色 DN150 (6") 联塑</v>
          </cell>
          <cell r="E271" t="str">
            <v>JIS PVC-U Tee (D - DT) DN150 (6") Grey - LESSO</v>
          </cell>
        </row>
        <row r="271">
          <cell r="G271">
            <v>65568</v>
          </cell>
          <cell r="H271">
            <v>65568</v>
          </cell>
          <cell r="I271">
            <v>0.12</v>
          </cell>
          <cell r="J271">
            <v>74510</v>
          </cell>
          <cell r="K271">
            <v>0.1</v>
          </cell>
          <cell r="L271">
            <v>72853</v>
          </cell>
        </row>
        <row r="272">
          <cell r="C272">
            <v>8020026147</v>
          </cell>
          <cell r="D272" t="str">
            <v>短型顺水三通印尼(日标)PVC-U管件(D排水系列)灰色 DN200 (8") 联塑</v>
          </cell>
          <cell r="E272" t="str">
            <v>JIS PVC-U Tee (D - DT) DN200 (8") Grey - LESSO</v>
          </cell>
        </row>
        <row r="272">
          <cell r="G272">
            <v>136815</v>
          </cell>
          <cell r="H272">
            <v>136815</v>
          </cell>
          <cell r="I272">
            <v>0.12</v>
          </cell>
          <cell r="J272">
            <v>155472</v>
          </cell>
          <cell r="K272">
            <v>0.1</v>
          </cell>
          <cell r="L272">
            <v>152017</v>
          </cell>
        </row>
        <row r="273">
          <cell r="C273">
            <v>8020026148</v>
          </cell>
          <cell r="D273" t="str">
            <v>短型顺水三通印尼(日标)PVC-U管件(D排水系列)灰色 DN250 (10") 联塑</v>
          </cell>
          <cell r="E273" t="str">
            <v>JIS PVC-U Tee (D - DT) DN250 (10") Grey - LESSO</v>
          </cell>
        </row>
        <row r="273">
          <cell r="G273">
            <v>218145</v>
          </cell>
          <cell r="H273">
            <v>218145</v>
          </cell>
          <cell r="I273">
            <v>0.12</v>
          </cell>
          <cell r="J273">
            <v>247893</v>
          </cell>
          <cell r="K273">
            <v>0.1</v>
          </cell>
          <cell r="L273">
            <v>242383</v>
          </cell>
        </row>
        <row r="274">
          <cell r="C274">
            <v>8020026176</v>
          </cell>
          <cell r="D274" t="str">
            <v>短型顺水三通印尼(日标)PVC-U管件(D排水系列)灰色 DN300 (12") 联塑</v>
          </cell>
          <cell r="E274" t="str">
            <v>JIS PVC-U Tee (D - DT) DN300 (12") Grey - LESSO</v>
          </cell>
        </row>
        <row r="274">
          <cell r="G274">
            <v>319997</v>
          </cell>
          <cell r="H274">
            <v>319997</v>
          </cell>
          <cell r="I274">
            <v>0.12</v>
          </cell>
          <cell r="J274">
            <v>363633</v>
          </cell>
          <cell r="K274">
            <v>0.1</v>
          </cell>
          <cell r="L274">
            <v>355552</v>
          </cell>
        </row>
        <row r="275">
          <cell r="C275">
            <v>8020022747</v>
          </cell>
          <cell r="D275" t="str">
            <v>短型异径顺水三通印尼(日标)PVC-U管件(D排水系列)灰色 DN75x40 (3"x1-1/2") 联塑</v>
          </cell>
          <cell r="E275" t="str">
            <v>JIS PVC-U Reducing Tee (D - DT) DN75x40 (3"x1-1/2") Grey - LESSO</v>
          </cell>
        </row>
        <row r="275">
          <cell r="G275">
            <v>8386</v>
          </cell>
          <cell r="H275">
            <v>8386</v>
          </cell>
          <cell r="I275">
            <v>0.12</v>
          </cell>
          <cell r="J275">
            <v>9530</v>
          </cell>
          <cell r="K275">
            <v>0.1</v>
          </cell>
          <cell r="L275">
            <v>9318</v>
          </cell>
        </row>
        <row r="276">
          <cell r="C276">
            <v>8020022762</v>
          </cell>
          <cell r="D276" t="str">
            <v>短型异径顺水三通印尼(日标)PVC-U管件(D排水系列)灰色 DN75x50 (3"x2") 联塑</v>
          </cell>
          <cell r="E276" t="str">
            <v>JIS PVC-U Reducing Tee (D - DT) DN75x50 (3"x2") Grey - LESSO</v>
          </cell>
        </row>
        <row r="276">
          <cell r="G276">
            <v>9699</v>
          </cell>
          <cell r="H276">
            <v>9699</v>
          </cell>
          <cell r="I276">
            <v>0.12</v>
          </cell>
          <cell r="J276">
            <v>11022</v>
          </cell>
          <cell r="K276">
            <v>0.1</v>
          </cell>
          <cell r="L276">
            <v>10777</v>
          </cell>
        </row>
        <row r="277">
          <cell r="C277">
            <v>8020022763</v>
          </cell>
          <cell r="D277" t="str">
            <v>短型异径顺水三通印尼(日标)PVC-U管件(D排水系列)灰色 DN75x65 (3"x2-1/2") 联塑</v>
          </cell>
          <cell r="E277" t="str">
            <v>JIS PVC-U Reducing Tee (D - DT) DN75x65 (3"x2-1/2") Grey - LESSO</v>
          </cell>
        </row>
        <row r="277">
          <cell r="G277">
            <v>10869</v>
          </cell>
          <cell r="H277">
            <v>10869</v>
          </cell>
          <cell r="I277">
            <v>0.12</v>
          </cell>
          <cell r="J277">
            <v>12352</v>
          </cell>
          <cell r="K277">
            <v>0.1</v>
          </cell>
          <cell r="L277">
            <v>12077</v>
          </cell>
        </row>
        <row r="278">
          <cell r="C278">
            <v>8020022823</v>
          </cell>
          <cell r="D278" t="str">
            <v>短型异径顺水三通印尼(日标)PVC-U管件(D排水系列)灰色 DN100x50 (4"x2") 联塑</v>
          </cell>
          <cell r="E278" t="str">
            <v>JIS PVC-U Reducing Tee (D - DT) DN100x50 (4"x2") Grey - LESSO</v>
          </cell>
        </row>
        <row r="278">
          <cell r="G278">
            <v>15850</v>
          </cell>
          <cell r="H278">
            <v>15850</v>
          </cell>
          <cell r="I278">
            <v>0.12</v>
          </cell>
          <cell r="J278">
            <v>18012</v>
          </cell>
          <cell r="K278">
            <v>0.1</v>
          </cell>
          <cell r="L278">
            <v>17611</v>
          </cell>
        </row>
        <row r="279">
          <cell r="C279">
            <v>8020022815</v>
          </cell>
          <cell r="D279" t="str">
            <v>短型异径顺水三通印尼(日标)PVC-U管件(D排水系列)灰色 DN100x75 (4"x3") 联塑</v>
          </cell>
          <cell r="E279" t="str">
            <v>JIS PVC-U Reducing Tee (D - DT) DN100x75 (4"x3") Grey - LESSO</v>
          </cell>
        </row>
        <row r="279">
          <cell r="G279">
            <v>18599</v>
          </cell>
          <cell r="H279">
            <v>18599</v>
          </cell>
          <cell r="I279">
            <v>0.12</v>
          </cell>
          <cell r="J279">
            <v>21136</v>
          </cell>
          <cell r="K279">
            <v>0.1</v>
          </cell>
          <cell r="L279">
            <v>20666</v>
          </cell>
        </row>
        <row r="280">
          <cell r="C280">
            <v>8020022847</v>
          </cell>
          <cell r="D280" t="str">
            <v>短型异径顺水三通印尼(日标)PVC-U管件(D排水系列)灰色 DN150x100 (6"x4") 联塑</v>
          </cell>
          <cell r="E280" t="str">
            <v>JIS PVC-U Reducing Tee (D - DT) DN150x100 (6"x4") Grey - LESSO</v>
          </cell>
        </row>
        <row r="280">
          <cell r="G280">
            <v>50799</v>
          </cell>
          <cell r="H280">
            <v>50799</v>
          </cell>
          <cell r="I280">
            <v>0.12</v>
          </cell>
          <cell r="J280">
            <v>57727</v>
          </cell>
          <cell r="K280">
            <v>0.1</v>
          </cell>
          <cell r="L280">
            <v>56443</v>
          </cell>
        </row>
        <row r="281">
          <cell r="C281">
            <v>8020025899</v>
          </cell>
          <cell r="D281" t="str">
            <v>短型异径顺水三通印尼(日标)PVC-U管件(D排水系列)灰色 DN200x150 (8"x6") 联塑</v>
          </cell>
          <cell r="E281" t="str">
            <v>JIS PVC-U Reducing Tee (D - DT) DN200x150 (8"x6") Grey - LESSO</v>
          </cell>
        </row>
        <row r="281">
          <cell r="G281">
            <v>116294</v>
          </cell>
          <cell r="H281">
            <v>116294</v>
          </cell>
          <cell r="I281">
            <v>0.12</v>
          </cell>
          <cell r="J281">
            <v>132153</v>
          </cell>
          <cell r="K281">
            <v>0.1</v>
          </cell>
          <cell r="L281">
            <v>129216</v>
          </cell>
        </row>
        <row r="282">
          <cell r="C282">
            <v>8020026149</v>
          </cell>
          <cell r="D282" t="str">
            <v>短型异径顺水三通印尼(日标)PVC-U管件(D排水系列)灰色 DN250x200 (10"x8") 联塑</v>
          </cell>
          <cell r="E282" t="str">
            <v>JIS PVC-U Reducing Tee (D - DT) DN250x200 (10"x8") Grey - LESSO</v>
          </cell>
        </row>
        <row r="282">
          <cell r="G282">
            <v>186476</v>
          </cell>
          <cell r="H282">
            <v>186476</v>
          </cell>
          <cell r="I282">
            <v>0.12</v>
          </cell>
          <cell r="J282">
            <v>211905</v>
          </cell>
          <cell r="K282">
            <v>0.1</v>
          </cell>
          <cell r="L282">
            <v>207196</v>
          </cell>
        </row>
        <row r="283">
          <cell r="C283">
            <v>8020026150</v>
          </cell>
          <cell r="D283" t="str">
            <v>短型异径顺水三通印尼(日标)PVC-U管件(D排水系列)灰色 DN300x250 (12"x10") 联塑</v>
          </cell>
          <cell r="E283" t="str">
            <v>JIS PVC-U Reducing Tee (D - DT) DN300x250 (12"x10") Grey - LESSO</v>
          </cell>
          <cell r="F283">
            <v>277684.684684685</v>
          </cell>
          <cell r="G283">
            <v>277685</v>
          </cell>
          <cell r="H283">
            <v>277685</v>
          </cell>
          <cell r="I283">
            <v>0.12</v>
          </cell>
          <cell r="J283">
            <v>315552</v>
          </cell>
          <cell r="K283">
            <v>0.1</v>
          </cell>
          <cell r="L283">
            <v>308539</v>
          </cell>
        </row>
        <row r="284">
          <cell r="C284">
            <v>80516487</v>
          </cell>
          <cell r="D284" t="str">
            <v>短型异径顺水三通印尼(日标) PVC-U管件(D排水系列) DN200x100 (8"x4") - RUCIKA</v>
          </cell>
          <cell r="E284" t="str">
            <v>JIS PVC-U TEE (D - DT) DN200x100 (8"x4") - RUCIKA</v>
          </cell>
        </row>
        <row r="284">
          <cell r="G284">
            <v>93243</v>
          </cell>
          <cell r="H284">
            <v>93243</v>
          </cell>
          <cell r="I284">
            <v>0.15</v>
          </cell>
          <cell r="J284">
            <v>109698</v>
          </cell>
          <cell r="K284">
            <v>0.15</v>
          </cell>
          <cell r="L284">
            <v>109698</v>
          </cell>
        </row>
        <row r="285">
          <cell r="C285">
            <v>8020022629</v>
          </cell>
          <cell r="D285" t="str">
            <v>顺水三通印尼(日标)PVC-U管件(D排水系列)灰色 DN40 (1-1/2") 联塑</v>
          </cell>
          <cell r="E285" t="str">
            <v>JIS PVC-U Large Radius Tee (D - LT) DN40 (1-1/2") Grey - LESSO</v>
          </cell>
        </row>
        <row r="285">
          <cell r="G285">
            <v>4041</v>
          </cell>
          <cell r="H285">
            <v>4041</v>
          </cell>
          <cell r="I285">
            <v>0.12</v>
          </cell>
          <cell r="J285">
            <v>4593</v>
          </cell>
          <cell r="K285">
            <v>0.1</v>
          </cell>
          <cell r="L285">
            <v>4490</v>
          </cell>
        </row>
        <row r="286">
          <cell r="C286">
            <v>8020022748</v>
          </cell>
          <cell r="D286" t="str">
            <v>顺水三通印尼(日标)PVC-U管件(D排水系列)灰色 DN50 (2") 联塑</v>
          </cell>
          <cell r="E286" t="str">
            <v>JIS PVC-U Large Radius Tee (D - LT) DN50 (2") Grey - LESSO</v>
          </cell>
        </row>
        <row r="286">
          <cell r="G286">
            <v>7880</v>
          </cell>
          <cell r="H286">
            <v>7880</v>
          </cell>
          <cell r="I286">
            <v>0.12</v>
          </cell>
          <cell r="J286">
            <v>8955</v>
          </cell>
          <cell r="K286">
            <v>0.1</v>
          </cell>
          <cell r="L286">
            <v>8756</v>
          </cell>
        </row>
        <row r="287">
          <cell r="C287">
            <v>8020022846</v>
          </cell>
          <cell r="D287" t="str">
            <v>顺水三通印尼(日标)PVC-U管件(D排水系列)灰色 DN65 (2-1/2") 联塑</v>
          </cell>
          <cell r="E287" t="str">
            <v>JIS PVC-U Large Radius Tee (D - LT) DN65 (2-1/2") Grey - LESSO</v>
          </cell>
        </row>
        <row r="287">
          <cell r="G287">
            <v>12400</v>
          </cell>
          <cell r="H287">
            <v>12400</v>
          </cell>
          <cell r="I287">
            <v>0.12</v>
          </cell>
          <cell r="J287">
            <v>14091</v>
          </cell>
          <cell r="K287">
            <v>0.1</v>
          </cell>
          <cell r="L287">
            <v>13778</v>
          </cell>
        </row>
        <row r="288">
          <cell r="C288">
            <v>8020022785</v>
          </cell>
          <cell r="D288" t="str">
            <v>顺水三通印尼(日标)PVC-U管件(D排水系列)灰色 DN75 (3") 联塑</v>
          </cell>
          <cell r="E288" t="str">
            <v>JIS PVC-U Large Radius Tee (D - LT) DN75 (3") Grey - LESSO</v>
          </cell>
        </row>
        <row r="288">
          <cell r="G288">
            <v>16872</v>
          </cell>
          <cell r="H288">
            <v>16872</v>
          </cell>
          <cell r="I288">
            <v>0.12</v>
          </cell>
          <cell r="J288">
            <v>19173</v>
          </cell>
          <cell r="K288">
            <v>0.1</v>
          </cell>
          <cell r="L288">
            <v>18747</v>
          </cell>
        </row>
        <row r="289">
          <cell r="C289">
            <v>8020022764</v>
          </cell>
          <cell r="D289" t="str">
            <v>顺水三通印尼(日标)PVC-U管件(D排水系列)灰色 DN100 (4") 联塑</v>
          </cell>
          <cell r="E289" t="str">
            <v>JIS PVC-U Large Radius Tee (D - LT) DN100 (4") Grey - LESSO</v>
          </cell>
        </row>
        <row r="289">
          <cell r="G289">
            <v>30649</v>
          </cell>
          <cell r="H289">
            <v>30649</v>
          </cell>
          <cell r="I289">
            <v>0.12</v>
          </cell>
          <cell r="J289">
            <v>34829</v>
          </cell>
          <cell r="K289">
            <v>0.1</v>
          </cell>
          <cell r="L289">
            <v>34054</v>
          </cell>
        </row>
        <row r="290">
          <cell r="C290">
            <v>8020022881</v>
          </cell>
          <cell r="D290" t="str">
            <v>顺水三通印尼(日标)PVC-U管件(D排水系列)灰色 DN150 (6") 联塑</v>
          </cell>
          <cell r="E290" t="str">
            <v>JIS PVC-U Large Radius Tee (D - LT) DN150 (6") Grey - LESSO</v>
          </cell>
        </row>
        <row r="290">
          <cell r="G290">
            <v>100321</v>
          </cell>
          <cell r="H290">
            <v>100321</v>
          </cell>
          <cell r="I290">
            <v>0.12</v>
          </cell>
          <cell r="J290">
            <v>114002</v>
          </cell>
          <cell r="K290">
            <v>0.1</v>
          </cell>
          <cell r="L290">
            <v>111468</v>
          </cell>
        </row>
        <row r="291">
          <cell r="C291">
            <v>8020022765</v>
          </cell>
          <cell r="D291" t="str">
            <v>异径顺水三通印尼(日标)PVC-U管件(D排水系列)灰色 DN40x35 (1-1/2"x1-1/4") 联塑</v>
          </cell>
          <cell r="E291" t="str">
            <v>JIS PVC-U Large Radius Tee (D - LT) DN40x35 (1-1/2"x1-1/4") Grey - LESSO</v>
          </cell>
        </row>
        <row r="291">
          <cell r="G291">
            <v>4032</v>
          </cell>
          <cell r="H291">
            <v>4032</v>
          </cell>
          <cell r="I291">
            <v>0.12</v>
          </cell>
          <cell r="J291">
            <v>4582</v>
          </cell>
          <cell r="K291">
            <v>0.1</v>
          </cell>
          <cell r="L291">
            <v>4480</v>
          </cell>
        </row>
        <row r="292">
          <cell r="C292">
            <v>8020022787</v>
          </cell>
          <cell r="D292" t="str">
            <v>异径顺水三通印尼(日标)PVC-U管件(D排水系列)灰色 DN65x40 (2-1/2"x1-1/2") 联塑</v>
          </cell>
          <cell r="E292" t="str">
            <v>JIS PVC-U Large Radius Tee (D - LT) DN65x40 (2-1/2"x1-1/2") Grey - LESSO</v>
          </cell>
        </row>
        <row r="292">
          <cell r="G292">
            <v>8032</v>
          </cell>
          <cell r="H292">
            <v>8032</v>
          </cell>
          <cell r="I292">
            <v>0.12</v>
          </cell>
          <cell r="J292">
            <v>9128</v>
          </cell>
          <cell r="K292">
            <v>0.1</v>
          </cell>
          <cell r="L292">
            <v>8924</v>
          </cell>
        </row>
        <row r="293">
          <cell r="C293">
            <v>8020022655</v>
          </cell>
          <cell r="D293" t="str">
            <v>异径顺水三通印尼(日标)PVC-U管件(D排水系列)灰色 DN100x50 (4"x2") 联塑</v>
          </cell>
          <cell r="E293" t="str">
            <v>JIS PVC-U Large Radius Tee (D - LT) DN100x50 (4"x2") Grey - LESSO</v>
          </cell>
        </row>
        <row r="293">
          <cell r="G293">
            <v>19599</v>
          </cell>
          <cell r="H293">
            <v>19599</v>
          </cell>
          <cell r="I293">
            <v>0.12</v>
          </cell>
          <cell r="J293">
            <v>22272</v>
          </cell>
          <cell r="K293">
            <v>0.1</v>
          </cell>
          <cell r="L293">
            <v>21777</v>
          </cell>
        </row>
        <row r="294">
          <cell r="C294">
            <v>8020022656</v>
          </cell>
          <cell r="D294" t="str">
            <v>异径顺水三通印尼(日标)PVC-U管件(D排水系列)灰色 DN100x75 (4"x3") 联塑</v>
          </cell>
          <cell r="E294" t="str">
            <v>JIS PVC-U Large Radius Tee (D - LT) DN100x75 (4"x3") Grey - LESSO</v>
          </cell>
        </row>
        <row r="294">
          <cell r="G294">
            <v>26799</v>
          </cell>
          <cell r="H294">
            <v>26799</v>
          </cell>
          <cell r="I294">
            <v>0.12</v>
          </cell>
          <cell r="J294">
            <v>30454</v>
          </cell>
          <cell r="K294">
            <v>0.1</v>
          </cell>
          <cell r="L294">
            <v>29777</v>
          </cell>
        </row>
        <row r="295">
          <cell r="C295">
            <v>8020022750</v>
          </cell>
          <cell r="D295" t="str">
            <v>异径顺水三通印尼(日标)PVC-U管件(D排水系列)灰色 DN150x100 (6"x4") 联塑</v>
          </cell>
          <cell r="E295" t="str">
            <v>JIS PVC-U Large Radius Tee (D - LT) DN150x100 (6"x4") Grey - LESSO</v>
          </cell>
        </row>
        <row r="295">
          <cell r="G295">
            <v>67941</v>
          </cell>
          <cell r="H295">
            <v>67941</v>
          </cell>
          <cell r="I295">
            <v>0.12</v>
          </cell>
          <cell r="J295">
            <v>77206</v>
          </cell>
          <cell r="K295">
            <v>0.1</v>
          </cell>
          <cell r="L295">
            <v>75490</v>
          </cell>
        </row>
        <row r="296">
          <cell r="C296">
            <v>8020022786</v>
          </cell>
          <cell r="D296" t="str">
            <v>异径顺水三通印尼(日标)PVC-U管件(D排水系列)灰色 DN50x40 (2"x1-1/2") 联塑</v>
          </cell>
          <cell r="E296" t="str">
            <v>JIS PVC-U Large Radius Tee (D - LT) DN50x40 (2"x1-1/2") Grey - LESSO</v>
          </cell>
        </row>
        <row r="296">
          <cell r="G296">
            <v>5759</v>
          </cell>
          <cell r="H296">
            <v>5759</v>
          </cell>
          <cell r="I296">
            <v>0.12</v>
          </cell>
          <cell r="J296">
            <v>6545</v>
          </cell>
          <cell r="K296">
            <v>0.1</v>
          </cell>
          <cell r="L296">
            <v>6399</v>
          </cell>
        </row>
        <row r="297">
          <cell r="C297">
            <v>8020022766</v>
          </cell>
          <cell r="D297" t="str">
            <v>异径顺水三通印尼(日标)PVC-U管件(D排水系列)灰色 DN65x50 (2-1/2"x2") 联塑</v>
          </cell>
          <cell r="E297" t="str">
            <v>JIS PVC-U Large Radius Tee (D - LT) DN65x50 (2-1/2"x2") Grey - LESSO</v>
          </cell>
        </row>
        <row r="297">
          <cell r="G297">
            <v>9899</v>
          </cell>
          <cell r="H297">
            <v>9899</v>
          </cell>
          <cell r="I297">
            <v>0.12</v>
          </cell>
          <cell r="J297">
            <v>11249</v>
          </cell>
          <cell r="K297">
            <v>0.1</v>
          </cell>
          <cell r="L297">
            <v>10999</v>
          </cell>
        </row>
        <row r="298">
          <cell r="C298">
            <v>8020022749</v>
          </cell>
          <cell r="D298" t="str">
            <v>异径顺水三通印尼(日标)PVC-U管件(D排水系列)灰色 DN75x50 (3"x2") 联塑</v>
          </cell>
          <cell r="E298" t="str">
            <v>JIS PVC-U Large Radius Tee (D - LT) DN75x50 (3"x2") Grey - LESSO</v>
          </cell>
        </row>
        <row r="298">
          <cell r="G298">
            <v>12831</v>
          </cell>
          <cell r="H298">
            <v>12831</v>
          </cell>
          <cell r="I298">
            <v>0.12</v>
          </cell>
          <cell r="J298">
            <v>14581</v>
          </cell>
          <cell r="K298">
            <v>0.1</v>
          </cell>
          <cell r="L298">
            <v>14257</v>
          </cell>
        </row>
        <row r="299">
          <cell r="C299">
            <v>8020022630</v>
          </cell>
          <cell r="D299" t="str">
            <v>异径顺水三通印尼(日标)PVC-U管件(D排水系列)灰色 DN75x65 (3"x2-1/2") 联塑</v>
          </cell>
          <cell r="E299" t="str">
            <v>JIS PVC-U Large Radius Tee (D - LT) DN75x65 (3"x2-1/2") Grey - LESSO</v>
          </cell>
        </row>
        <row r="299">
          <cell r="G299">
            <v>16738</v>
          </cell>
          <cell r="H299">
            <v>16738</v>
          </cell>
          <cell r="I299">
            <v>0.12</v>
          </cell>
          <cell r="J299">
            <v>19021</v>
          </cell>
          <cell r="K299">
            <v>0.1</v>
          </cell>
          <cell r="L299">
            <v>18598</v>
          </cell>
        </row>
        <row r="300">
          <cell r="C300">
            <v>80516523</v>
          </cell>
          <cell r="D300" t="str">
            <v>异径顺水三通印尼(日标) PVC-U管件(D排水系列) DN200x150 (8"x6") - RUCIKA</v>
          </cell>
          <cell r="E300" t="str">
            <v>JIS PVC-U Large Radius Tee (D) DN200x150 (8"x6") - RUCIKA</v>
          </cell>
        </row>
        <row r="300">
          <cell r="G300">
            <v>222162</v>
          </cell>
          <cell r="H300">
            <v>222162</v>
          </cell>
          <cell r="I300">
            <v>0.15</v>
          </cell>
          <cell r="J300">
            <v>261368</v>
          </cell>
          <cell r="K300">
            <v>0.15</v>
          </cell>
          <cell r="L300">
            <v>261367</v>
          </cell>
        </row>
        <row r="301">
          <cell r="C301">
            <v>8020022648</v>
          </cell>
          <cell r="D301" t="str">
            <v>45°斜三通印尼(日标)PVC-U管件(D排水系列)灰色 DN40 (1-1/2") 联塑</v>
          </cell>
          <cell r="E301" t="str">
            <v>JIS PVC-U Y Branch (D) DN40 (1-1/2") Grey - LESSO</v>
          </cell>
        </row>
        <row r="301">
          <cell r="G301">
            <v>4546</v>
          </cell>
          <cell r="H301">
            <v>4546</v>
          </cell>
          <cell r="I301">
            <v>0.12</v>
          </cell>
          <cell r="J301">
            <v>5166</v>
          </cell>
          <cell r="K301">
            <v>0.1</v>
          </cell>
          <cell r="L301">
            <v>5051</v>
          </cell>
        </row>
        <row r="302">
          <cell r="C302">
            <v>8020022813</v>
          </cell>
          <cell r="D302" t="str">
            <v>45°斜三通印尼(日标)PVC-U管件(D排水系列)灰色 DN50 (2") 联塑</v>
          </cell>
          <cell r="E302" t="str">
            <v>JIS PVC-U Y Branch (D) DN50 (2") Grey - LESSO</v>
          </cell>
        </row>
        <row r="302">
          <cell r="G302">
            <v>7072</v>
          </cell>
          <cell r="H302">
            <v>7072</v>
          </cell>
          <cell r="I302">
            <v>0.12</v>
          </cell>
          <cell r="J302">
            <v>8037</v>
          </cell>
          <cell r="K302">
            <v>0.1</v>
          </cell>
          <cell r="L302">
            <v>7858</v>
          </cell>
        </row>
        <row r="303">
          <cell r="C303">
            <v>8020022821</v>
          </cell>
          <cell r="D303" t="str">
            <v>45°斜三通印尼(日标)PVC-U管件(D排水系列)灰色 DN75 (3") 联塑</v>
          </cell>
          <cell r="E303" t="str">
            <v>JIS PVC-U Y Branch (D) DN75 (3") Grey - LESSO</v>
          </cell>
        </row>
        <row r="303">
          <cell r="G303">
            <v>15154</v>
          </cell>
          <cell r="H303">
            <v>15154</v>
          </cell>
          <cell r="I303">
            <v>0.12</v>
          </cell>
          <cell r="J303">
            <v>17221</v>
          </cell>
          <cell r="K303">
            <v>0.1</v>
          </cell>
          <cell r="L303">
            <v>16838</v>
          </cell>
        </row>
        <row r="304">
          <cell r="C304">
            <v>8020022790</v>
          </cell>
          <cell r="D304" t="str">
            <v>45°斜三通印尼(日标)PVC-U管件(D排水系列)灰色 DN100 (4") 联塑</v>
          </cell>
          <cell r="E304" t="str">
            <v>JIS PVC-U Y Branch (D) DN100 (4") Grey - LESSO</v>
          </cell>
        </row>
        <row r="304">
          <cell r="G304">
            <v>31199</v>
          </cell>
          <cell r="H304">
            <v>31199</v>
          </cell>
          <cell r="I304">
            <v>0.12</v>
          </cell>
          <cell r="J304">
            <v>35454</v>
          </cell>
          <cell r="K304">
            <v>0.1</v>
          </cell>
          <cell r="L304">
            <v>34666</v>
          </cell>
        </row>
        <row r="305">
          <cell r="C305">
            <v>8020022636</v>
          </cell>
          <cell r="D305" t="str">
            <v>45°斜三通印尼(日标)PVC-U管件(D排水系列)灰色 DN150 (6") 联塑</v>
          </cell>
          <cell r="E305" t="str">
            <v>JIS PVC-U Y Branch (D) DN150 (6") Grey - LESSO</v>
          </cell>
        </row>
        <row r="305">
          <cell r="G305">
            <v>98200</v>
          </cell>
          <cell r="H305">
            <v>98200</v>
          </cell>
          <cell r="I305">
            <v>0.12</v>
          </cell>
          <cell r="J305">
            <v>111591</v>
          </cell>
          <cell r="K305">
            <v>0.1</v>
          </cell>
          <cell r="L305">
            <v>109111</v>
          </cell>
        </row>
        <row r="306">
          <cell r="C306">
            <v>80516536</v>
          </cell>
          <cell r="D306" t="str">
            <v>印尼(日标) PVC-U 45°斜三通(D排水系列) DN65 (2-1/2") - RUCIKA</v>
          </cell>
          <cell r="E306" t="str">
            <v>JIS PVC-U Y Branch (D) DN65 (2-1/2") - RUCIKA</v>
          </cell>
        </row>
        <row r="306">
          <cell r="G306">
            <v>13108</v>
          </cell>
          <cell r="H306">
            <v>13108</v>
          </cell>
          <cell r="I306">
            <v>0.15</v>
          </cell>
          <cell r="J306">
            <v>15422</v>
          </cell>
          <cell r="K306">
            <v>0.15</v>
          </cell>
          <cell r="L306">
            <v>15421</v>
          </cell>
        </row>
        <row r="307">
          <cell r="C307">
            <v>8020022814</v>
          </cell>
          <cell r="D307" t="str">
            <v>45°异径斜三通印尼日标PVC-U管件D排水系列灰色 DN40x35 (1-1/2"x1-1/4") 联塑</v>
          </cell>
          <cell r="E307" t="str">
            <v>JIS PVC-U Y Branch (D) DN40x35 (1-1/2"x1-1/4") Grey - LESSO</v>
          </cell>
        </row>
        <row r="307">
          <cell r="G307">
            <v>3878</v>
          </cell>
          <cell r="H307">
            <v>3878</v>
          </cell>
          <cell r="I307">
            <v>0.12</v>
          </cell>
          <cell r="J307">
            <v>4407</v>
          </cell>
          <cell r="K307">
            <v>0.1</v>
          </cell>
          <cell r="L307">
            <v>4309</v>
          </cell>
        </row>
        <row r="308">
          <cell r="C308">
            <v>8020022743</v>
          </cell>
          <cell r="D308" t="str">
            <v>45°异径斜三通印尼(日标)PVC-U管件(D排水系列)灰色 DN50x35 (2"x1-1/4") 联塑</v>
          </cell>
          <cell r="E308" t="str">
            <v>JIS PVC-U Y Branch (D) DN50x35 (2"x1-1/4") Grey - LESSO</v>
          </cell>
        </row>
        <row r="308">
          <cell r="G308">
            <v>4644</v>
          </cell>
          <cell r="H308">
            <v>4644</v>
          </cell>
          <cell r="I308">
            <v>0.12</v>
          </cell>
          <cell r="J308">
            <v>5278</v>
          </cell>
          <cell r="K308">
            <v>0.1</v>
          </cell>
          <cell r="L308">
            <v>5160</v>
          </cell>
        </row>
        <row r="309">
          <cell r="C309">
            <v>8020022940</v>
          </cell>
          <cell r="D309" t="str">
            <v>45°异径斜三通印尼(日标)PVC-U管件(D排水系列)灰色 DN75x50 (3"x2") 联塑</v>
          </cell>
          <cell r="E309" t="str">
            <v>JIS PVC-U Y Branch (D) DN75x50 (3"x2") Grey - LESSO</v>
          </cell>
        </row>
        <row r="309">
          <cell r="G309">
            <v>12377</v>
          </cell>
          <cell r="H309">
            <v>12377</v>
          </cell>
          <cell r="I309">
            <v>0.12</v>
          </cell>
          <cell r="J309">
            <v>14065</v>
          </cell>
          <cell r="K309">
            <v>0.1</v>
          </cell>
          <cell r="L309">
            <v>13752</v>
          </cell>
        </row>
        <row r="310">
          <cell r="C310">
            <v>8020022758</v>
          </cell>
          <cell r="D310" t="str">
            <v>45°异径斜三通印尼(日标)PVC-U管件(D排水系列)灰色 DN100x50 (4"x2") 联塑</v>
          </cell>
          <cell r="E310" t="str">
            <v>JIS PVC-U Y Branch (D) DN100x50 (4"x2") Grey - LESSO</v>
          </cell>
        </row>
        <row r="310">
          <cell r="G310">
            <v>19100</v>
          </cell>
          <cell r="H310">
            <v>19100</v>
          </cell>
          <cell r="I310">
            <v>0.12</v>
          </cell>
          <cell r="J310">
            <v>21705</v>
          </cell>
          <cell r="K310">
            <v>0.1</v>
          </cell>
          <cell r="L310">
            <v>21222</v>
          </cell>
        </row>
        <row r="311">
          <cell r="C311">
            <v>8020022791</v>
          </cell>
          <cell r="D311" t="str">
            <v>45°异径斜三通印尼(日标)PVC-U管件(D排水系列)灰色 DN100x75 (4"x3") 联塑</v>
          </cell>
          <cell r="E311" t="str">
            <v>JIS PVC-U Y Branch (D) DN100x75 (4"x3") Grey - LESSO</v>
          </cell>
        </row>
        <row r="311">
          <cell r="G311">
            <v>26850</v>
          </cell>
          <cell r="H311">
            <v>26850</v>
          </cell>
          <cell r="I311">
            <v>0.12</v>
          </cell>
          <cell r="J311">
            <v>30512</v>
          </cell>
          <cell r="K311">
            <v>0.1</v>
          </cell>
          <cell r="L311">
            <v>29833</v>
          </cell>
        </row>
        <row r="312">
          <cell r="C312">
            <v>8020022637</v>
          </cell>
          <cell r="D312" t="str">
            <v>45°异径斜三通印尼(日标)PVC-U管件(D排水系列)灰色 DN150x100 (6"x4") 联塑</v>
          </cell>
          <cell r="E312" t="str">
            <v>JIS PVC-U Y Branch (D) DN150x100 (6"x4") Grey - LESSO</v>
          </cell>
        </row>
        <row r="312">
          <cell r="G312">
            <v>79004</v>
          </cell>
          <cell r="H312">
            <v>79004</v>
          </cell>
          <cell r="I312">
            <v>0.12</v>
          </cell>
          <cell r="J312">
            <v>89778</v>
          </cell>
          <cell r="K312">
            <v>0.1</v>
          </cell>
          <cell r="L312">
            <v>87782</v>
          </cell>
        </row>
        <row r="313">
          <cell r="C313">
            <v>8020022824</v>
          </cell>
          <cell r="D313" t="str">
            <v>顺水四通印尼(日标)PVC-U管件(D排水系列)灰色 DN100 (4") 联塑</v>
          </cell>
          <cell r="E313" t="str">
            <v>JIS PVC-U Large Radius Double Tee (D-WLT) DN100 (4") Grey - LESSO</v>
          </cell>
        </row>
        <row r="313">
          <cell r="G313">
            <v>49549</v>
          </cell>
          <cell r="H313">
            <v>49549</v>
          </cell>
          <cell r="I313">
            <v>0.12</v>
          </cell>
          <cell r="J313">
            <v>56306</v>
          </cell>
          <cell r="K313">
            <v>0.1</v>
          </cell>
          <cell r="L313">
            <v>55054</v>
          </cell>
        </row>
        <row r="314">
          <cell r="C314">
            <v>8020022631</v>
          </cell>
          <cell r="D314" t="str">
            <v>顺水四通印尼(日标)PVC-U管件(D排水系列)灰色 DN50 (2") 联塑</v>
          </cell>
          <cell r="E314" t="str">
            <v>JIS PVC-U Large Radius Double Tee (D-WLT) DN50 (2") Grey - LESSO</v>
          </cell>
        </row>
        <row r="314">
          <cell r="G314">
            <v>9850</v>
          </cell>
          <cell r="H314">
            <v>9850</v>
          </cell>
          <cell r="I314">
            <v>0.12</v>
          </cell>
          <cell r="J314">
            <v>11194</v>
          </cell>
          <cell r="K314">
            <v>0.1</v>
          </cell>
          <cell r="L314">
            <v>10944</v>
          </cell>
        </row>
        <row r="315">
          <cell r="C315">
            <v>8020022632</v>
          </cell>
          <cell r="D315" t="str">
            <v>顺水四通印尼(日标)PVC-U管件(D排水系列)灰色 DN75x50 (3"x2") 联塑</v>
          </cell>
          <cell r="E315" t="str">
            <v>JIS PVC-U Large Radius Double Tee (D-WLT) DN75x50 (3"x2") Grey - LESSO</v>
          </cell>
        </row>
        <row r="315">
          <cell r="G315">
            <v>14599</v>
          </cell>
          <cell r="H315">
            <v>14599</v>
          </cell>
          <cell r="I315">
            <v>0.12</v>
          </cell>
          <cell r="J315">
            <v>16590</v>
          </cell>
          <cell r="K315">
            <v>0.1</v>
          </cell>
          <cell r="L315">
            <v>16221</v>
          </cell>
        </row>
        <row r="316">
          <cell r="C316">
            <v>8020022917</v>
          </cell>
          <cell r="D316" t="str">
            <v>P型存水弯印尼(日标)PVC-U管件(D排水系列)灰色 DN50 (2") 联塑</v>
          </cell>
          <cell r="E316" t="str">
            <v>JIS PVC-U P-Trap (D) DN50 (2") Grey - LESSO</v>
          </cell>
        </row>
        <row r="316">
          <cell r="G316">
            <v>8285</v>
          </cell>
          <cell r="H316">
            <v>8285</v>
          </cell>
          <cell r="I316">
            <v>0.12</v>
          </cell>
          <cell r="J316">
            <v>9415</v>
          </cell>
          <cell r="K316">
            <v>0.1</v>
          </cell>
          <cell r="L316">
            <v>9206</v>
          </cell>
        </row>
        <row r="317">
          <cell r="C317">
            <v>80516490</v>
          </cell>
          <cell r="D317" t="str">
            <v>P型存水弯印尼(日标) PVC-U管件(D排水系列) DN50 (2") - RUCIKA</v>
          </cell>
          <cell r="E317" t="str">
            <v>JIS PVC-U P Trap (D) DN50 (2") - RUCIKA</v>
          </cell>
        </row>
        <row r="317">
          <cell r="G317">
            <v>11081</v>
          </cell>
          <cell r="H317">
            <v>11081</v>
          </cell>
          <cell r="I317">
            <v>0.15</v>
          </cell>
          <cell r="J317">
            <v>13037</v>
          </cell>
          <cell r="K317">
            <v>0.15</v>
          </cell>
          <cell r="L317">
            <v>13036</v>
          </cell>
        </row>
        <row r="318">
          <cell r="C318">
            <v>80516492</v>
          </cell>
          <cell r="D318" t="str">
            <v>P型存水弯印尼(日标) PVC-U管件(D排水系列) DN75 (3") - RUCIKA</v>
          </cell>
          <cell r="E318" t="str">
            <v>JIS PVC-U P Trap (D) DN75 (3") - RUCIKA</v>
          </cell>
        </row>
        <row r="318">
          <cell r="G318">
            <v>23581</v>
          </cell>
          <cell r="H318">
            <v>23581</v>
          </cell>
          <cell r="I318">
            <v>0.15</v>
          </cell>
          <cell r="J318">
            <v>27743</v>
          </cell>
          <cell r="K318">
            <v>0.15</v>
          </cell>
          <cell r="L318">
            <v>27742</v>
          </cell>
        </row>
        <row r="319">
          <cell r="C319">
            <v>8020022809</v>
          </cell>
          <cell r="D319" t="str">
            <v>清扫口(带堵头)印尼(日标)PVC-U管件(D排水系列)灰色 DN50 (2") 联塑</v>
          </cell>
          <cell r="E319" t="str">
            <v>JIS PVC-U Cleanout With Plug (D) DN50 (2") Grey - LESSO</v>
          </cell>
        </row>
        <row r="319">
          <cell r="G319">
            <v>3586</v>
          </cell>
          <cell r="H319">
            <v>3586</v>
          </cell>
          <cell r="I319">
            <v>0.12</v>
          </cell>
          <cell r="J319">
            <v>4075</v>
          </cell>
          <cell r="K319">
            <v>0.1</v>
          </cell>
          <cell r="L319">
            <v>3984</v>
          </cell>
        </row>
        <row r="320">
          <cell r="C320">
            <v>8020022671</v>
          </cell>
          <cell r="D320" t="str">
            <v>清扫口(带堵头)印尼(日标)PVC-U管件(D排水系列)灰色 DN75 (3") 联塑</v>
          </cell>
          <cell r="E320" t="str">
            <v>JIS PVC-U Cleanout With Plug (D) DN75 (3") Grey - LESSO</v>
          </cell>
        </row>
        <row r="320">
          <cell r="G320">
            <v>5658</v>
          </cell>
          <cell r="H320">
            <v>5658</v>
          </cell>
          <cell r="I320">
            <v>0.12</v>
          </cell>
          <cell r="J320">
            <v>6430</v>
          </cell>
          <cell r="K320">
            <v>0.1</v>
          </cell>
          <cell r="L320">
            <v>6287</v>
          </cell>
        </row>
        <row r="321">
          <cell r="C321">
            <v>8020022672</v>
          </cell>
          <cell r="D321" t="str">
            <v>清扫口(带堵头)印尼(日标)PVC-U管件(D排水系列)灰色 DN100 (4") 联塑</v>
          </cell>
          <cell r="E321" t="str">
            <v>JIS PVC-U Cleanout With Plug (D) DN100 (4") Grey - LESSO</v>
          </cell>
        </row>
        <row r="321">
          <cell r="G321">
            <v>14450</v>
          </cell>
          <cell r="H321">
            <v>14450</v>
          </cell>
          <cell r="I321">
            <v>0.12</v>
          </cell>
          <cell r="J321">
            <v>16421</v>
          </cell>
          <cell r="K321">
            <v>0.1</v>
          </cell>
          <cell r="L321">
            <v>16056</v>
          </cell>
        </row>
        <row r="322">
          <cell r="C322">
            <v>8020022753</v>
          </cell>
          <cell r="D322" t="str">
            <v>清扫口(带螺帽)印尼(日标)PVC-U管件(D排水系列)灰色 DN100 (4") 联塑</v>
          </cell>
          <cell r="E322" t="str">
            <v>JIS PVC-U Cleanout With Cap (D) DN100 (4") Grey - LESSO</v>
          </cell>
        </row>
        <row r="322">
          <cell r="G322">
            <v>14750</v>
          </cell>
          <cell r="H322">
            <v>14750</v>
          </cell>
          <cell r="I322">
            <v>0.12</v>
          </cell>
          <cell r="J322">
            <v>16762</v>
          </cell>
          <cell r="K322">
            <v>0.1</v>
          </cell>
          <cell r="L322">
            <v>16389</v>
          </cell>
        </row>
        <row r="323">
          <cell r="C323">
            <v>8020022620</v>
          </cell>
          <cell r="D323" t="str">
            <v>管帽印尼(日标)PVC-U管件(D排水系列)灰色 DN35 (1-1/4") 联塑</v>
          </cell>
          <cell r="E323" t="str">
            <v>JIS PVC-U Cap (D) DN35 (1-1/4") Grey - LESSO</v>
          </cell>
        </row>
        <row r="323">
          <cell r="G323">
            <v>1990</v>
          </cell>
          <cell r="H323">
            <v>1990</v>
          </cell>
          <cell r="I323">
            <v>0.12</v>
          </cell>
          <cell r="J323">
            <v>2262</v>
          </cell>
          <cell r="K323">
            <v>0.1</v>
          </cell>
          <cell r="L323">
            <v>2211</v>
          </cell>
        </row>
        <row r="324">
          <cell r="C324">
            <v>8020022621</v>
          </cell>
          <cell r="D324" t="str">
            <v>管帽印尼(日标)PVC-U管件(D排水系列)灰色 DN40 (1-1/2") 联塑</v>
          </cell>
          <cell r="E324" t="str">
            <v>JIS PVC-U Cap (D) DN40 (1-1/2") Grey - LESSO</v>
          </cell>
        </row>
        <row r="324">
          <cell r="G324">
            <v>2677</v>
          </cell>
          <cell r="H324">
            <v>2677</v>
          </cell>
          <cell r="I324">
            <v>0.12</v>
          </cell>
          <cell r="J324">
            <v>3043</v>
          </cell>
          <cell r="K324">
            <v>0.1</v>
          </cell>
          <cell r="L324">
            <v>2974</v>
          </cell>
        </row>
        <row r="325">
          <cell r="C325">
            <v>8020022622</v>
          </cell>
          <cell r="D325" t="str">
            <v>管帽印尼(日标)PVC-U管件(D排水系列)灰色 DN50 (2") 联塑</v>
          </cell>
          <cell r="E325" t="str">
            <v>JIS PVC-U Cap (D) DN50 (2") Grey - LESSO</v>
          </cell>
        </row>
        <row r="325">
          <cell r="G325">
            <v>3687</v>
          </cell>
          <cell r="H325">
            <v>3687</v>
          </cell>
          <cell r="I325">
            <v>0.12</v>
          </cell>
          <cell r="J325">
            <v>4190</v>
          </cell>
          <cell r="K325">
            <v>0.1</v>
          </cell>
          <cell r="L325">
            <v>4097</v>
          </cell>
        </row>
        <row r="326">
          <cell r="C326">
            <v>8020022623</v>
          </cell>
          <cell r="D326" t="str">
            <v>管帽印尼(日标)PVC-U管件(D排水系列)灰色 DN75 (3") 联塑</v>
          </cell>
          <cell r="E326" t="str">
            <v>JIS PVC-U Cap (D) DN75 (3") Grey - LESSO</v>
          </cell>
        </row>
        <row r="326">
          <cell r="G326">
            <v>5759</v>
          </cell>
          <cell r="H326">
            <v>5759</v>
          </cell>
          <cell r="I326">
            <v>0.12</v>
          </cell>
          <cell r="J326">
            <v>6545</v>
          </cell>
          <cell r="K326">
            <v>0.1</v>
          </cell>
          <cell r="L326">
            <v>6399</v>
          </cell>
        </row>
        <row r="327">
          <cell r="C327">
            <v>8020022654</v>
          </cell>
          <cell r="D327" t="str">
            <v>管帽印尼(日标)PVC-U管件(D排水系列)灰色 DN100 (4") 联塑</v>
          </cell>
          <cell r="E327" t="str">
            <v>JIS PVC-U Cap (D) DN100 (4") Grey - LESSO</v>
          </cell>
        </row>
        <row r="327">
          <cell r="G327">
            <v>10650</v>
          </cell>
          <cell r="H327">
            <v>10650</v>
          </cell>
          <cell r="I327">
            <v>0.12</v>
          </cell>
          <cell r="J327">
            <v>12103</v>
          </cell>
          <cell r="K327">
            <v>0.1</v>
          </cell>
          <cell r="L327">
            <v>11833</v>
          </cell>
        </row>
        <row r="328">
          <cell r="C328">
            <v>8020022657</v>
          </cell>
          <cell r="D328" t="str">
            <v>异径套印尼(日标)PVC-U管件(D排水系列)灰色 DN40x35 (1-1/2"x1-1/4") 联塑</v>
          </cell>
          <cell r="E328" t="str">
            <v>JIS PVC-U Increaser (D - IN) DN40x35 (1-1/2"x1-1/4") Grey - LESSO</v>
          </cell>
        </row>
        <row r="328">
          <cell r="G328">
            <v>1735</v>
          </cell>
          <cell r="H328">
            <v>1735</v>
          </cell>
          <cell r="I328">
            <v>0.12</v>
          </cell>
          <cell r="J328">
            <v>1972</v>
          </cell>
          <cell r="K328">
            <v>0.1</v>
          </cell>
          <cell r="L328">
            <v>1928</v>
          </cell>
        </row>
        <row r="329">
          <cell r="C329">
            <v>8020022658</v>
          </cell>
          <cell r="D329" t="str">
            <v>异径套印尼(日标)PVC-U管件(D排水系列)灰色 DN50x35 (2"x1-1/4") 联塑</v>
          </cell>
          <cell r="E329" t="str">
            <v>JIS PVC-U Increaser (D - IN) DN50x35 (2"x1-1/4") Grey - LESSO</v>
          </cell>
        </row>
        <row r="329">
          <cell r="G329">
            <v>2195</v>
          </cell>
          <cell r="H329">
            <v>2195</v>
          </cell>
          <cell r="I329">
            <v>0.12</v>
          </cell>
          <cell r="J329">
            <v>2495</v>
          </cell>
          <cell r="K329">
            <v>0.1</v>
          </cell>
          <cell r="L329">
            <v>2439</v>
          </cell>
        </row>
        <row r="330">
          <cell r="C330">
            <v>8020022751</v>
          </cell>
          <cell r="D330" t="str">
            <v>异径套印尼(日标)PVC-U管件(D排水系列)灰色 DN50x40 (2"x1-1/2") 联塑</v>
          </cell>
          <cell r="E330" t="str">
            <v>JIS PVC-U Increaser (D - IN) DN50x40 (2"x1-1/2") Grey - LESSO</v>
          </cell>
        </row>
        <row r="330">
          <cell r="G330">
            <v>2273</v>
          </cell>
          <cell r="H330">
            <v>2273</v>
          </cell>
          <cell r="I330">
            <v>0.12</v>
          </cell>
          <cell r="J330">
            <v>2583</v>
          </cell>
          <cell r="K330">
            <v>0.1</v>
          </cell>
          <cell r="L330">
            <v>2526</v>
          </cell>
        </row>
        <row r="331">
          <cell r="C331">
            <v>8020022788</v>
          </cell>
          <cell r="D331" t="str">
            <v>异径套印尼(日标)PVC-U管件(D排水系列)灰色 DN65x40 (2-1/2"x1-1/2") 联塑</v>
          </cell>
          <cell r="E331" t="str">
            <v>JIS PVC-U Increaser (D - IN) DN65x40 (2-1/2"x1-1/2") Grey - LESSO</v>
          </cell>
          <cell r="F331">
            <v>3485.58558558559</v>
          </cell>
          <cell r="G331">
            <v>3486</v>
          </cell>
          <cell r="H331">
            <v>3486</v>
          </cell>
          <cell r="I331">
            <v>0.12</v>
          </cell>
          <cell r="J331">
            <v>3962</v>
          </cell>
          <cell r="K331">
            <v>0.1</v>
          </cell>
          <cell r="L331">
            <v>3873</v>
          </cell>
        </row>
        <row r="332">
          <cell r="C332">
            <v>8020022659</v>
          </cell>
          <cell r="D332" t="str">
            <v>异径套印尼(日标)PVC-U管件(D排水系列)灰色 DN65x50 (2-1/2"x2") 联塑</v>
          </cell>
          <cell r="E332" t="str">
            <v>JIS PVC-U Increaser (D - IN) DN65x50 (2-1/2"x2") Grey - LESSO</v>
          </cell>
        </row>
        <row r="332">
          <cell r="G332">
            <v>3725</v>
          </cell>
          <cell r="H332">
            <v>3725</v>
          </cell>
          <cell r="I332">
            <v>0.12</v>
          </cell>
          <cell r="J332">
            <v>4233</v>
          </cell>
          <cell r="K332">
            <v>0.1</v>
          </cell>
          <cell r="L332">
            <v>4139</v>
          </cell>
        </row>
        <row r="333">
          <cell r="C333">
            <v>8020022660</v>
          </cell>
          <cell r="D333" t="str">
            <v>异径套印尼(日标)PVC-U管件(D排水系列)灰色 DN75x40 (3"x1-1/2") 联塑</v>
          </cell>
          <cell r="E333" t="str">
            <v>JIS PVC-U Increaser (D - IN) DN75x40 (3"x1-1/2")- LESSO</v>
          </cell>
        </row>
        <row r="333">
          <cell r="G333">
            <v>4395</v>
          </cell>
          <cell r="H333">
            <v>4395</v>
          </cell>
          <cell r="I333">
            <v>0.12</v>
          </cell>
          <cell r="J333">
            <v>4995</v>
          </cell>
          <cell r="K333">
            <v>0.1</v>
          </cell>
          <cell r="L333">
            <v>4883</v>
          </cell>
        </row>
        <row r="334">
          <cell r="C334">
            <v>8020022661</v>
          </cell>
          <cell r="D334" t="str">
            <v>异径套印尼(日标)PVC-U管件(D排水系列)灰色 DN75x50 (3"x2") 联塑</v>
          </cell>
          <cell r="E334" t="str">
            <v>JIS PVC-U Increaser (D - IN) DN75x50 (3"x2") Grey - LESSO</v>
          </cell>
        </row>
        <row r="334">
          <cell r="G334">
            <v>4697</v>
          </cell>
          <cell r="H334">
            <v>4697</v>
          </cell>
          <cell r="I334">
            <v>0.12</v>
          </cell>
          <cell r="J334">
            <v>5338</v>
          </cell>
          <cell r="K334">
            <v>0.1</v>
          </cell>
          <cell r="L334">
            <v>5219</v>
          </cell>
        </row>
        <row r="335">
          <cell r="C335">
            <v>8020022752</v>
          </cell>
          <cell r="D335" t="str">
            <v>异径套印尼(日标)PVC-U管件(D排水系列)灰色 DN75x65 (3"x2-1/2") 联塑</v>
          </cell>
          <cell r="E335" t="str">
            <v>JIS PVC-U Increaser (D - IN) DN75x65 (3"x2-1/2") Grey - LESSO</v>
          </cell>
        </row>
        <row r="335">
          <cell r="G335">
            <v>4796</v>
          </cell>
          <cell r="H335">
            <v>4796</v>
          </cell>
          <cell r="I335">
            <v>0.12</v>
          </cell>
          <cell r="J335">
            <v>5450</v>
          </cell>
          <cell r="K335">
            <v>0.1</v>
          </cell>
          <cell r="L335">
            <v>5329</v>
          </cell>
        </row>
        <row r="336">
          <cell r="C336">
            <v>8020022662</v>
          </cell>
          <cell r="D336" t="str">
            <v>异径套印尼(日标)PVC-U管件(D排水系列)灰色 DN100x50 (4"x2") 联塑</v>
          </cell>
          <cell r="E336" t="str">
            <v>JIS PVC-U Increaser (D - IN) DN100x50 (4"x2") Grey - LESSO</v>
          </cell>
        </row>
        <row r="336">
          <cell r="G336">
            <v>7800</v>
          </cell>
          <cell r="H336">
            <v>7800</v>
          </cell>
          <cell r="I336">
            <v>0.12</v>
          </cell>
          <cell r="J336">
            <v>8864</v>
          </cell>
          <cell r="K336">
            <v>0.1</v>
          </cell>
          <cell r="L336">
            <v>8667</v>
          </cell>
        </row>
        <row r="337">
          <cell r="C337">
            <v>8020022663</v>
          </cell>
          <cell r="D337" t="str">
            <v>异径套印尼(日标)PVC-U管件(D排水系列)灰色 DN100x65 (4"x2-1/2") 联塑</v>
          </cell>
          <cell r="E337" t="str">
            <v>JIS PVC-U Increaser (D - IN) DN100x65 (4"x2-1/2") Grey - LESSO</v>
          </cell>
        </row>
        <row r="337">
          <cell r="G337">
            <v>8828</v>
          </cell>
          <cell r="H337">
            <v>8828</v>
          </cell>
          <cell r="I337">
            <v>0.12</v>
          </cell>
          <cell r="J337">
            <v>10032</v>
          </cell>
          <cell r="K337">
            <v>0.1</v>
          </cell>
          <cell r="L337">
            <v>9809</v>
          </cell>
        </row>
        <row r="338">
          <cell r="C338">
            <v>8020022664</v>
          </cell>
          <cell r="D338" t="str">
            <v>异径套印尼(日标)PVC-U管件(D排水系列)灰色 DN100x75 (4"x3") 联塑</v>
          </cell>
          <cell r="E338" t="str">
            <v>JIS PVC-U Increaser (D - IN) DN100x75 (4"x3") Grey - LESSO</v>
          </cell>
        </row>
        <row r="338">
          <cell r="G338">
            <v>9100</v>
          </cell>
          <cell r="H338">
            <v>9100</v>
          </cell>
          <cell r="I338">
            <v>0.12</v>
          </cell>
          <cell r="J338">
            <v>10341</v>
          </cell>
          <cell r="K338">
            <v>0.1</v>
          </cell>
          <cell r="L338">
            <v>10111</v>
          </cell>
        </row>
        <row r="339">
          <cell r="C339">
            <v>8020022666</v>
          </cell>
          <cell r="D339" t="str">
            <v>异径套印尼(日标)PVC-U管件(D排水系列)灰色 DN150x100 (6"x4") 联塑</v>
          </cell>
          <cell r="E339" t="str">
            <v>JIS PVC-U Increaser (D - IN) DN150x100 (6"x4") Grey - LESSO</v>
          </cell>
        </row>
        <row r="339">
          <cell r="G339">
            <v>25762</v>
          </cell>
          <cell r="H339">
            <v>25762</v>
          </cell>
          <cell r="I339">
            <v>0.12</v>
          </cell>
          <cell r="J339">
            <v>29275</v>
          </cell>
          <cell r="K339">
            <v>0.1</v>
          </cell>
          <cell r="L339">
            <v>28624</v>
          </cell>
        </row>
        <row r="340">
          <cell r="C340">
            <v>8020022665</v>
          </cell>
          <cell r="D340" t="str">
            <v>异径套印尼(日标)PVC-U管件(D排水系列)灰色 DN150x75 (6"x3") 联塑</v>
          </cell>
          <cell r="E340" t="str">
            <v>JIS PVC-U Increaser (D - IN) DN150x75 (6"x3") Grey - LESSO</v>
          </cell>
        </row>
        <row r="340">
          <cell r="G340">
            <v>25409</v>
          </cell>
          <cell r="H340">
            <v>25409</v>
          </cell>
          <cell r="I340">
            <v>0.12</v>
          </cell>
          <cell r="J340">
            <v>28874</v>
          </cell>
          <cell r="K340">
            <v>0.1</v>
          </cell>
          <cell r="L340">
            <v>28232</v>
          </cell>
        </row>
        <row r="341">
          <cell r="C341">
            <v>8020026141</v>
          </cell>
          <cell r="D341" t="str">
            <v>异径套印尼(日标)PVC-U管件(D排水系列)灰色 DN200x150 (8"x6") 联塑</v>
          </cell>
          <cell r="E341" t="str">
            <v>JIS PVC-U Increaser (D - IN) DN200x150 (8"x6") Grey - LESSO</v>
          </cell>
        </row>
        <row r="341">
          <cell r="G341">
            <v>58019</v>
          </cell>
          <cell r="H341">
            <v>58019</v>
          </cell>
          <cell r="I341">
            <v>0.12</v>
          </cell>
          <cell r="J341">
            <v>65931</v>
          </cell>
          <cell r="K341">
            <v>0.1</v>
          </cell>
          <cell r="L341">
            <v>64466</v>
          </cell>
        </row>
        <row r="342">
          <cell r="C342">
            <v>8020026129</v>
          </cell>
          <cell r="D342" t="str">
            <v>异径套印尼(日标)PVC-U管件(D排水系列)灰色 DN250x200 (10"x8") 联塑</v>
          </cell>
          <cell r="E342" t="str">
            <v>JIS PVC-U Increaser (D - IN) DN250x200 (10"x8") Grey - LESSO</v>
          </cell>
        </row>
        <row r="342">
          <cell r="G342">
            <v>81076</v>
          </cell>
          <cell r="H342">
            <v>81076</v>
          </cell>
          <cell r="I342">
            <v>0.12</v>
          </cell>
          <cell r="J342">
            <v>92132</v>
          </cell>
          <cell r="K342">
            <v>0.1</v>
          </cell>
          <cell r="L342">
            <v>90084</v>
          </cell>
        </row>
        <row r="343">
          <cell r="C343">
            <v>8020026153</v>
          </cell>
          <cell r="D343" t="str">
            <v>异径套印尼(日标)PVC-U管件(D排水系列)灰色 DN300x250 (12"x10") 联塑</v>
          </cell>
          <cell r="E343" t="str">
            <v>JIS PVC-U Increaser (D - IN) DN300x250 (12"x10") Grey - LESSO</v>
          </cell>
        </row>
        <row r="343">
          <cell r="G343">
            <v>117306</v>
          </cell>
          <cell r="H343">
            <v>117306</v>
          </cell>
          <cell r="I343">
            <v>0.12</v>
          </cell>
          <cell r="J343">
            <v>133303</v>
          </cell>
          <cell r="K343">
            <v>0.1</v>
          </cell>
          <cell r="L343">
            <v>130340</v>
          </cell>
        </row>
        <row r="344">
          <cell r="C344">
            <v>80516550</v>
          </cell>
          <cell r="D344" t="str">
            <v>异径套印尼(日标) PVC-U管件(D排水系列) DN50x35 (2"x1-1/4") - RUCIKA</v>
          </cell>
          <cell r="E344" t="str">
            <v>JIS PVC-U Increaser (D) DN50x35 (2"x1-1/4") - RUCIKA</v>
          </cell>
        </row>
        <row r="344">
          <cell r="G344">
            <v>2905</v>
          </cell>
          <cell r="H344">
            <v>2905</v>
          </cell>
          <cell r="I344">
            <v>0.15</v>
          </cell>
          <cell r="J344">
            <v>3418</v>
          </cell>
          <cell r="K344">
            <v>0.15</v>
          </cell>
          <cell r="L344">
            <v>3418</v>
          </cell>
        </row>
        <row r="345">
          <cell r="C345">
            <v>80516562</v>
          </cell>
          <cell r="D345" t="str">
            <v>异径套印尼(日标) PVC-U管件(D排水系列) DN125x100 (5"x4") - RUCIKA</v>
          </cell>
          <cell r="E345" t="str">
            <v>JIS PVC-U Increaser (D) DN125x100 (5"x4") - RUCIKA</v>
          </cell>
        </row>
        <row r="345">
          <cell r="G345">
            <v>23108</v>
          </cell>
          <cell r="H345">
            <v>23108</v>
          </cell>
          <cell r="I345">
            <v>0.15</v>
          </cell>
          <cell r="J345">
            <v>27186</v>
          </cell>
          <cell r="K345">
            <v>0.15</v>
          </cell>
          <cell r="L345">
            <v>27186</v>
          </cell>
        </row>
        <row r="346">
          <cell r="C346">
            <v>80516429</v>
          </cell>
          <cell r="D346" t="str">
            <v>印尼(日标) PVC 清扫口(AW给水系列) DN50 (2") - RUCIKA</v>
          </cell>
          <cell r="E346" t="str">
            <v>JIS PVC Clean out (AW) DN50 (2") - RUCIKA</v>
          </cell>
        </row>
        <row r="346">
          <cell r="G346">
            <v>9527</v>
          </cell>
          <cell r="H346">
            <v>9527</v>
          </cell>
          <cell r="I346">
            <v>0.15</v>
          </cell>
          <cell r="J346">
            <v>11209</v>
          </cell>
          <cell r="K346">
            <v>0.15</v>
          </cell>
          <cell r="L346">
            <v>11208</v>
          </cell>
        </row>
        <row r="347">
          <cell r="C347">
            <v>80516430</v>
          </cell>
          <cell r="D347" t="str">
            <v>印尼(日标) PVC 清扫口(AW给水系列) DN75 (3") - RUCIKA</v>
          </cell>
          <cell r="E347" t="str">
            <v>JIS PVC Clean out (AW) DN75 (3") - RUCIKA</v>
          </cell>
        </row>
        <row r="347">
          <cell r="G347">
            <v>20946</v>
          </cell>
          <cell r="H347">
            <v>20946</v>
          </cell>
          <cell r="I347">
            <v>0.15</v>
          </cell>
          <cell r="J347">
            <v>24643</v>
          </cell>
          <cell r="K347">
            <v>0.15</v>
          </cell>
          <cell r="L347">
            <v>24642</v>
          </cell>
        </row>
        <row r="348">
          <cell r="C348">
            <v>80516431</v>
          </cell>
          <cell r="D348" t="str">
            <v>印尼(日标) PVC 清扫口(AW给水系列) DN100 (4") - RUCIKA</v>
          </cell>
          <cell r="E348" t="str">
            <v>JIS PVC Clean Out (AW) DN100 (4") - RUCIKA</v>
          </cell>
        </row>
        <row r="348">
          <cell r="G348">
            <v>34797</v>
          </cell>
          <cell r="H348">
            <v>34797</v>
          </cell>
          <cell r="I348">
            <v>0.15</v>
          </cell>
          <cell r="J348">
            <v>40938</v>
          </cell>
          <cell r="K348">
            <v>0.15</v>
          </cell>
          <cell r="L348">
            <v>40938</v>
          </cell>
        </row>
        <row r="349">
          <cell r="C349">
            <v>80516432</v>
          </cell>
          <cell r="D349" t="str">
            <v>印尼(日标) PVC 清扫口(AW给水系列) DN150 (6") - RUCIKA</v>
          </cell>
          <cell r="E349" t="str">
            <v>JIS PVC Clean out (AW) DN150 (6") - RUCIKA</v>
          </cell>
        </row>
        <row r="349">
          <cell r="G349">
            <v>91149</v>
          </cell>
          <cell r="H349">
            <v>91149</v>
          </cell>
          <cell r="I349">
            <v>0.15</v>
          </cell>
          <cell r="J349">
            <v>107235</v>
          </cell>
          <cell r="K349">
            <v>0.15</v>
          </cell>
          <cell r="L349">
            <v>107234</v>
          </cell>
        </row>
        <row r="350">
          <cell r="C350">
            <v>80516433</v>
          </cell>
          <cell r="D350" t="str">
            <v>印尼(日标) PVC 清扫口(AW给水系列) DN200 (8") - CM</v>
          </cell>
          <cell r="E350" t="str">
            <v>JIS PVC Clean Out (AW) DN200 (8") - CM</v>
          </cell>
        </row>
        <row r="350">
          <cell r="G350">
            <v>0</v>
          </cell>
          <cell r="H350">
            <v>0</v>
          </cell>
          <cell r="I350">
            <v>0.15</v>
          </cell>
          <cell r="J350">
            <v>0</v>
          </cell>
          <cell r="K350">
            <v>0.15</v>
          </cell>
          <cell r="L350">
            <v>0</v>
          </cell>
        </row>
        <row r="351">
          <cell r="C351" t="str">
            <v>PVC71345</v>
          </cell>
          <cell r="D351" t="str">
            <v>PVC球阀 dn22 (1/2") 球阀 - 三福</v>
          </cell>
          <cell r="E351" t="str">
            <v>PVC Ball Valve dn22 (1/2") - SANFU</v>
          </cell>
        </row>
        <row r="351">
          <cell r="G351">
            <v>4900</v>
          </cell>
          <cell r="H351">
            <v>4900</v>
          </cell>
          <cell r="I351">
            <v>0.15</v>
          </cell>
          <cell r="J351">
            <v>5765</v>
          </cell>
          <cell r="K351">
            <v>0.15</v>
          </cell>
          <cell r="L351">
            <v>5765</v>
          </cell>
        </row>
        <row r="352">
          <cell r="C352" t="str">
            <v>PVC71346</v>
          </cell>
          <cell r="D352" t="str">
            <v>PVC球阀 dn26 (3/4")球阀 - 三福</v>
          </cell>
          <cell r="E352" t="str">
            <v>PVC Ball Valve dn26 (3/4") - SANFU</v>
          </cell>
        </row>
        <row r="352">
          <cell r="G352">
            <v>7150</v>
          </cell>
          <cell r="H352">
            <v>7150</v>
          </cell>
          <cell r="I352">
            <v>0.15</v>
          </cell>
          <cell r="J352">
            <v>8412</v>
          </cell>
          <cell r="K352">
            <v>0.15</v>
          </cell>
          <cell r="L352">
            <v>8412</v>
          </cell>
        </row>
        <row r="353">
          <cell r="C353" t="str">
            <v>PVC71347</v>
          </cell>
          <cell r="D353" t="str">
            <v>PVC球阀 dn32 (1") 球阀 - 三福</v>
          </cell>
          <cell r="E353" t="str">
            <v>PVC Ball Valve dn32 (1") - SANFU</v>
          </cell>
        </row>
        <row r="353">
          <cell r="G353">
            <v>12000</v>
          </cell>
          <cell r="H353">
            <v>12000</v>
          </cell>
          <cell r="I353">
            <v>0.15</v>
          </cell>
          <cell r="J353">
            <v>14118</v>
          </cell>
          <cell r="K353">
            <v>0.15</v>
          </cell>
          <cell r="L353">
            <v>14118</v>
          </cell>
        </row>
        <row r="354">
          <cell r="C354" t="str">
            <v>PVC71348</v>
          </cell>
          <cell r="D354" t="str">
            <v>PVC球阀 dn42 (1-1/4") 球阀 - 三福</v>
          </cell>
          <cell r="E354" t="str">
            <v>PVC Ball Valve dn42 (1-1/4") - SANFU</v>
          </cell>
        </row>
        <row r="354">
          <cell r="G354">
            <v>18300</v>
          </cell>
          <cell r="H354">
            <v>18300</v>
          </cell>
          <cell r="I354">
            <v>0.15</v>
          </cell>
          <cell r="J354">
            <v>21530</v>
          </cell>
          <cell r="K354">
            <v>0.15</v>
          </cell>
          <cell r="L354">
            <v>21529</v>
          </cell>
        </row>
        <row r="355">
          <cell r="C355" t="str">
            <v>PVC71349</v>
          </cell>
          <cell r="D355" t="str">
            <v>PVC球阀 dn48 (1-1/2") 球阀 - 三福</v>
          </cell>
          <cell r="E355" t="str">
            <v>PVC Ball Valve dn48 (1-1/2") - SANFU</v>
          </cell>
        </row>
        <row r="355">
          <cell r="G355">
            <v>25200</v>
          </cell>
          <cell r="H355">
            <v>25200</v>
          </cell>
          <cell r="I355">
            <v>0.15</v>
          </cell>
          <cell r="J355">
            <v>29648</v>
          </cell>
          <cell r="K355">
            <v>0.15</v>
          </cell>
          <cell r="L355">
            <v>29647</v>
          </cell>
        </row>
        <row r="356">
          <cell r="C356" t="str">
            <v>PVC71350</v>
          </cell>
          <cell r="D356" t="str">
            <v>PVC球阀 dn60 (2") 球阀 - 三福</v>
          </cell>
          <cell r="E356" t="str">
            <v>PVC Ball Valve dn60 (2") - SANFU</v>
          </cell>
        </row>
        <row r="356">
          <cell r="G356">
            <v>37800</v>
          </cell>
          <cell r="H356">
            <v>37800</v>
          </cell>
          <cell r="I356">
            <v>0.15</v>
          </cell>
          <cell r="J356">
            <v>44471</v>
          </cell>
          <cell r="K356">
            <v>0.15</v>
          </cell>
          <cell r="L356">
            <v>44471</v>
          </cell>
        </row>
        <row r="357">
          <cell r="C357" t="str">
            <v>PVC72853</v>
          </cell>
          <cell r="D357" t="str">
            <v>PVC球阀 dn76 (2-1/2") 球阀 - 三福</v>
          </cell>
          <cell r="E357" t="str">
            <v>PVC Ball Valve dn76 (2-1/2") - SANFU</v>
          </cell>
        </row>
        <row r="357">
          <cell r="G357">
            <v>65000</v>
          </cell>
          <cell r="H357">
            <v>65000</v>
          </cell>
          <cell r="I357">
            <v>0.15</v>
          </cell>
          <cell r="J357">
            <v>76471</v>
          </cell>
          <cell r="K357">
            <v>0.15</v>
          </cell>
          <cell r="L357">
            <v>76471</v>
          </cell>
        </row>
        <row r="358">
          <cell r="C358" t="str">
            <v>PVC72854</v>
          </cell>
          <cell r="D358" t="str">
            <v>PVC球阀 dn89 (3") 球阀 - 三福</v>
          </cell>
          <cell r="E358" t="str">
            <v>PVC Ball Valve dn89 (3") - SANFU</v>
          </cell>
        </row>
        <row r="358">
          <cell r="G358">
            <v>118000</v>
          </cell>
          <cell r="H358">
            <v>118000</v>
          </cell>
          <cell r="I358">
            <v>0.15</v>
          </cell>
          <cell r="J358">
            <v>138824</v>
          </cell>
          <cell r="K358">
            <v>0.15</v>
          </cell>
          <cell r="L358">
            <v>138824</v>
          </cell>
        </row>
        <row r="359">
          <cell r="C359" t="str">
            <v>PVC72855</v>
          </cell>
          <cell r="D359" t="str">
            <v>PVC球阀 dn114(4") 球阀 - 三福</v>
          </cell>
          <cell r="E359" t="str">
            <v>PVC Ball Valve dn114 (4") - SANFU</v>
          </cell>
        </row>
        <row r="359">
          <cell r="G359">
            <v>216000</v>
          </cell>
          <cell r="H359">
            <v>216000</v>
          </cell>
          <cell r="I359">
            <v>0.15</v>
          </cell>
          <cell r="J359">
            <v>254118</v>
          </cell>
          <cell r="K359">
            <v>0.15</v>
          </cell>
          <cell r="L359">
            <v>254118</v>
          </cell>
        </row>
        <row r="360">
          <cell r="C360">
            <v>102321</v>
          </cell>
          <cell r="D360" t="str">
            <v>印尼(日标) PVC堵头 (D排水系列) DN65 (2-1/2") - RUCIKA</v>
          </cell>
          <cell r="E360" t="str">
            <v>JIS PVC CAP DOP (D) DN65(2-1/2") - RUCIKA</v>
          </cell>
        </row>
        <row r="360">
          <cell r="G360">
            <v>0</v>
          </cell>
          <cell r="H360">
            <v>0</v>
          </cell>
          <cell r="I360">
            <v>0.15</v>
          </cell>
          <cell r="J360">
            <v>0</v>
          </cell>
          <cell r="K360">
            <v>0.15</v>
          </cell>
          <cell r="L360">
            <v>0</v>
          </cell>
        </row>
        <row r="361">
          <cell r="C361">
            <v>8110010127</v>
          </cell>
          <cell r="D361" t="str">
            <v>塑胶(PVC-U)多用快接水龙头 W83105 DN15 联塑</v>
          </cell>
          <cell r="E361" t="str">
            <v>PVC-U Plastic Faucet W83105 DN15 - LESSO</v>
          </cell>
        </row>
        <row r="361">
          <cell r="G361">
            <v>4284</v>
          </cell>
          <cell r="H361">
            <v>4284</v>
          </cell>
          <cell r="I361">
            <v>0.12</v>
          </cell>
          <cell r="J361">
            <v>4869</v>
          </cell>
          <cell r="K361">
            <v>0.1</v>
          </cell>
          <cell r="L361">
            <v>4760</v>
          </cell>
        </row>
        <row r="362">
          <cell r="C362">
            <v>8110010817</v>
          </cell>
          <cell r="D362" t="str">
            <v>塑胶(PVC-U)多用快接水龙头 W83105B DN20 联塑</v>
          </cell>
          <cell r="E362" t="str">
            <v>PVC-U Plastic Faucet W83105B DN20 - LESSO</v>
          </cell>
        </row>
        <row r="362">
          <cell r="G362">
            <v>4586</v>
          </cell>
          <cell r="H362">
            <v>4586</v>
          </cell>
          <cell r="I362">
            <v>0.12</v>
          </cell>
          <cell r="J362">
            <v>5212</v>
          </cell>
          <cell r="K362">
            <v>0.1</v>
          </cell>
          <cell r="L362">
            <v>5096</v>
          </cell>
        </row>
        <row r="363">
          <cell r="C363">
            <v>8110010128</v>
          </cell>
          <cell r="D363" t="str">
            <v>塑胶(PVC-U)加长滤网水龙头 W13102 DN15 联塑</v>
          </cell>
          <cell r="E363" t="str">
            <v>PVC-U Plastic Faucet W13102 DN15 - LESSO</v>
          </cell>
        </row>
        <row r="363">
          <cell r="G363">
            <v>4500</v>
          </cell>
          <cell r="H363">
            <v>4500</v>
          </cell>
          <cell r="I363">
            <v>0.12</v>
          </cell>
          <cell r="J363">
            <v>5114</v>
          </cell>
          <cell r="K363">
            <v>0.1</v>
          </cell>
          <cell r="L363">
            <v>5000</v>
          </cell>
        </row>
        <row r="364">
          <cell r="C364">
            <v>8110010815</v>
          </cell>
          <cell r="D364" t="str">
            <v>塑胶(PVC-U)加长滤网水龙头 W13102B DN20 联塑</v>
          </cell>
          <cell r="E364" t="str">
            <v>PVC-U Plastic Faucet W13102B DN20 - LESSO</v>
          </cell>
        </row>
        <row r="364">
          <cell r="G364">
            <v>4523</v>
          </cell>
          <cell r="H364">
            <v>4523</v>
          </cell>
          <cell r="I364">
            <v>0.12</v>
          </cell>
          <cell r="J364">
            <v>5140</v>
          </cell>
          <cell r="K364">
            <v>0.1</v>
          </cell>
          <cell r="L364">
            <v>5026</v>
          </cell>
        </row>
        <row r="365">
          <cell r="C365">
            <v>8110010129</v>
          </cell>
          <cell r="D365" t="str">
            <v>塑胶(PVC-U)加长洗衣机水龙头 W83101 DN15 联塑</v>
          </cell>
          <cell r="E365" t="str">
            <v>PVC-U Plastic Faucet W83101 DN15 - LESSO</v>
          </cell>
        </row>
        <row r="365">
          <cell r="G365">
            <v>4047</v>
          </cell>
          <cell r="H365">
            <v>4047</v>
          </cell>
          <cell r="I365">
            <v>0.12</v>
          </cell>
          <cell r="J365">
            <v>4599</v>
          </cell>
          <cell r="K365">
            <v>0.1</v>
          </cell>
          <cell r="L365">
            <v>4497</v>
          </cell>
        </row>
        <row r="366">
          <cell r="C366">
            <v>8110010811</v>
          </cell>
          <cell r="D366" t="str">
            <v>塑胶(PVC-U)快接洗衣机龙头 W83106 DN15 联塑</v>
          </cell>
          <cell r="E366" t="str">
            <v>PVC-U Plastic Faucet W83106 DN15 - LESSO</v>
          </cell>
        </row>
        <row r="366">
          <cell r="G366">
            <v>3678</v>
          </cell>
          <cell r="H366">
            <v>3678</v>
          </cell>
          <cell r="I366">
            <v>0.12</v>
          </cell>
          <cell r="J366">
            <v>4180</v>
          </cell>
          <cell r="K366">
            <v>0.1</v>
          </cell>
          <cell r="L366">
            <v>4087</v>
          </cell>
        </row>
        <row r="367">
          <cell r="C367">
            <v>8110010130</v>
          </cell>
          <cell r="D367" t="str">
            <v>塑胶(PVC-U)滤网水龙头 W13103 DN15 联塑</v>
          </cell>
          <cell r="E367" t="str">
            <v>PVC-U Plastic Faucet W13103 DN15 - LESSO</v>
          </cell>
        </row>
        <row r="367">
          <cell r="G367">
            <v>4350</v>
          </cell>
          <cell r="H367">
            <v>4350</v>
          </cell>
          <cell r="I367">
            <v>0.12</v>
          </cell>
          <cell r="J367">
            <v>4944</v>
          </cell>
          <cell r="K367">
            <v>0.1</v>
          </cell>
          <cell r="L367">
            <v>4833</v>
          </cell>
        </row>
        <row r="368">
          <cell r="C368">
            <v>8110010131</v>
          </cell>
          <cell r="D368" t="str">
            <v>塑胶(PVC-U)滤网水龙头 W13104 DN20 联塑</v>
          </cell>
          <cell r="E368" t="str">
            <v>PVC-U Plastic Faucet W13104 DN20 - LESSO</v>
          </cell>
        </row>
        <row r="368">
          <cell r="G368">
            <v>4436</v>
          </cell>
          <cell r="H368">
            <v>4436</v>
          </cell>
          <cell r="I368">
            <v>0.12</v>
          </cell>
          <cell r="J368">
            <v>5041</v>
          </cell>
          <cell r="K368">
            <v>0.1</v>
          </cell>
          <cell r="L368">
            <v>4929</v>
          </cell>
        </row>
        <row r="369">
          <cell r="C369">
            <v>8110010107</v>
          </cell>
          <cell r="D369" t="str">
            <v>塑胶(PVC-U)角阀 WP01201 DN15 联塑</v>
          </cell>
          <cell r="E369" t="str">
            <v>PVC-U Plastic Faucet WP01201 DN15 - LESSO</v>
          </cell>
        </row>
        <row r="369">
          <cell r="G369">
            <v>3115</v>
          </cell>
          <cell r="H369">
            <v>3115</v>
          </cell>
          <cell r="I369">
            <v>0.12</v>
          </cell>
          <cell r="J369">
            <v>3540</v>
          </cell>
          <cell r="K369">
            <v>0.1</v>
          </cell>
          <cell r="L369">
            <v>3461</v>
          </cell>
        </row>
        <row r="370">
          <cell r="C370">
            <v>8110010108</v>
          </cell>
          <cell r="D370" t="str">
            <v>塑胶(PVC-U)角阀 WP01202 DN15 联塑</v>
          </cell>
          <cell r="E370" t="str">
            <v>PVC-U Plastic Faucet WP01202 DN15 - LESSO</v>
          </cell>
        </row>
        <row r="370">
          <cell r="G370">
            <v>3224</v>
          </cell>
          <cell r="H370">
            <v>3224</v>
          </cell>
          <cell r="I370">
            <v>0.12</v>
          </cell>
          <cell r="J370">
            <v>3664</v>
          </cell>
          <cell r="K370">
            <v>0.1</v>
          </cell>
          <cell r="L370">
            <v>3582</v>
          </cell>
        </row>
        <row r="371">
          <cell r="C371">
            <v>8110010185</v>
          </cell>
          <cell r="D371" t="str">
            <v>塑胶(PVC-U)直通阀 WP01203</v>
          </cell>
          <cell r="E371" t="str">
            <v>PVC-U Plastic Faucet WP01203 - LESSO</v>
          </cell>
        </row>
        <row r="371">
          <cell r="G371">
            <v>3072</v>
          </cell>
          <cell r="H371">
            <v>3072</v>
          </cell>
          <cell r="I371">
            <v>0.12</v>
          </cell>
          <cell r="J371">
            <v>3491</v>
          </cell>
          <cell r="K371">
            <v>0.1</v>
          </cell>
          <cell r="L371">
            <v>3413</v>
          </cell>
        </row>
        <row r="372">
          <cell r="C372">
            <v>8110010906</v>
          </cell>
          <cell r="D372" t="str">
            <v>塑胶(PVC-U)三通角阀 WP01205</v>
          </cell>
          <cell r="E372" t="str">
            <v>PVC-U Plastic Faucet WP01205 - LESSO</v>
          </cell>
        </row>
        <row r="372">
          <cell r="G372">
            <v>6059</v>
          </cell>
          <cell r="H372">
            <v>6059</v>
          </cell>
          <cell r="I372">
            <v>0.12</v>
          </cell>
          <cell r="J372">
            <v>6886</v>
          </cell>
          <cell r="K372">
            <v>0.1</v>
          </cell>
          <cell r="L372">
            <v>6732</v>
          </cell>
        </row>
        <row r="373">
          <cell r="C373">
            <v>8110010133</v>
          </cell>
          <cell r="D373" t="str">
            <v>塑胶(PVC-U)接管型水龙头 W13101</v>
          </cell>
          <cell r="E373" t="str">
            <v>PVC-U Plastic Faucet W13101 - LESSO</v>
          </cell>
        </row>
        <row r="373">
          <cell r="G373">
            <v>3722</v>
          </cell>
          <cell r="H373">
            <v>3722</v>
          </cell>
          <cell r="I373">
            <v>0.12</v>
          </cell>
          <cell r="J373">
            <v>4230</v>
          </cell>
          <cell r="K373">
            <v>0.1</v>
          </cell>
          <cell r="L373">
            <v>4136</v>
          </cell>
        </row>
        <row r="374">
          <cell r="C374">
            <v>8110010134</v>
          </cell>
          <cell r="D374" t="str">
            <v>塑胶(PVC-U)洗衣机水龙头 W83102 DN15 联塑</v>
          </cell>
          <cell r="E374" t="str">
            <v>PVC-U Plastic Faucet W83102 DN15 - LESSO</v>
          </cell>
        </row>
        <row r="374">
          <cell r="G374">
            <v>3895</v>
          </cell>
          <cell r="H374">
            <v>3895</v>
          </cell>
          <cell r="I374">
            <v>0.12</v>
          </cell>
          <cell r="J374">
            <v>4427</v>
          </cell>
          <cell r="K374">
            <v>0.1</v>
          </cell>
          <cell r="L374">
            <v>4328</v>
          </cell>
        </row>
        <row r="375">
          <cell r="C375">
            <v>8110010136</v>
          </cell>
          <cell r="D375" t="str">
            <v>塑胶(PVC-U)洗衣机水龙头 W83104 DN20 联塑</v>
          </cell>
          <cell r="E375" t="str">
            <v>PVC-U Plastic Faucet W83104 DN20 - LESSO</v>
          </cell>
        </row>
        <row r="375">
          <cell r="G375">
            <v>3981</v>
          </cell>
          <cell r="H375">
            <v>3981</v>
          </cell>
          <cell r="I375">
            <v>0.12</v>
          </cell>
          <cell r="J375">
            <v>4524</v>
          </cell>
          <cell r="K375">
            <v>0.1</v>
          </cell>
          <cell r="L375">
            <v>4423</v>
          </cell>
        </row>
        <row r="376">
          <cell r="C376">
            <v>8110010448</v>
          </cell>
          <cell r="D376" t="str">
            <v>塑胶(PVC-U)厨房单冷龙头 W23101 联塑</v>
          </cell>
          <cell r="E376" t="str">
            <v>PVC-U Plastic Faucet W23101 - LESSO</v>
          </cell>
        </row>
        <row r="376">
          <cell r="G376">
            <v>11835</v>
          </cell>
          <cell r="H376">
            <v>11835</v>
          </cell>
          <cell r="I376">
            <v>0.12</v>
          </cell>
          <cell r="J376">
            <v>13449</v>
          </cell>
          <cell r="K376">
            <v>0.1</v>
          </cell>
          <cell r="L376">
            <v>13150</v>
          </cell>
        </row>
        <row r="377">
          <cell r="C377">
            <v>8110010450</v>
          </cell>
          <cell r="D377" t="str">
            <v>塑胶(PVC-U)厨房单冷龙头 W23103 联塑</v>
          </cell>
          <cell r="E377" t="str">
            <v>PVC-U Plastic Faucet W23103 - LESSO</v>
          </cell>
        </row>
        <row r="377">
          <cell r="G377">
            <v>12549</v>
          </cell>
          <cell r="H377">
            <v>12549</v>
          </cell>
          <cell r="I377">
            <v>0.12</v>
          </cell>
          <cell r="J377">
            <v>14261</v>
          </cell>
          <cell r="K377">
            <v>0.1</v>
          </cell>
          <cell r="L377">
            <v>13943</v>
          </cell>
        </row>
        <row r="378">
          <cell r="C378">
            <v>8110010796</v>
          </cell>
          <cell r="D378" t="str">
            <v>塑胶(PVC-U)厨房单冷龙头 W23105 联塑</v>
          </cell>
          <cell r="E378" t="str">
            <v>PVC-U Plastic Faucet W23105 - LESSO</v>
          </cell>
        </row>
        <row r="378">
          <cell r="G378">
            <v>11014</v>
          </cell>
          <cell r="H378">
            <v>11014</v>
          </cell>
          <cell r="I378">
            <v>0.12</v>
          </cell>
          <cell r="J378">
            <v>12516</v>
          </cell>
          <cell r="K378">
            <v>0.1</v>
          </cell>
          <cell r="L378">
            <v>12238</v>
          </cell>
        </row>
        <row r="379">
          <cell r="C379">
            <v>8110010810</v>
          </cell>
          <cell r="D379" t="str">
            <v>塑胶(PVC-U)厨房单冷龙头 W23107 联塑</v>
          </cell>
          <cell r="E379" t="str">
            <v>PVC-U Plastic Faucet W23107 - LESSO</v>
          </cell>
        </row>
        <row r="379">
          <cell r="G379">
            <v>11857</v>
          </cell>
          <cell r="H379">
            <v>11857</v>
          </cell>
          <cell r="I379">
            <v>0.12</v>
          </cell>
          <cell r="J379">
            <v>13474</v>
          </cell>
          <cell r="K379">
            <v>0.1</v>
          </cell>
          <cell r="L379">
            <v>13174</v>
          </cell>
        </row>
        <row r="380">
          <cell r="C380">
            <v>8110010845</v>
          </cell>
          <cell r="D380" t="str">
            <v>塑胶(PVC-U)厨房单冷龙头 W23107B 联塑</v>
          </cell>
          <cell r="E380" t="str">
            <v>PVC-U Plastic Faucet W23107B - LESSO</v>
          </cell>
        </row>
        <row r="380">
          <cell r="G380">
            <v>11900</v>
          </cell>
          <cell r="H380">
            <v>11900</v>
          </cell>
          <cell r="I380">
            <v>0.12</v>
          </cell>
          <cell r="J380">
            <v>13523</v>
          </cell>
          <cell r="K380">
            <v>0.1</v>
          </cell>
          <cell r="L380">
            <v>13222</v>
          </cell>
        </row>
        <row r="381">
          <cell r="C381">
            <v>8110010755</v>
          </cell>
          <cell r="D381" t="str">
            <v>塑胶(PVC-U)面盆单冷龙头 W33102 联塑</v>
          </cell>
          <cell r="E381" t="str">
            <v>PVC-U Plastic Faucet W33102 - LESSO</v>
          </cell>
        </row>
        <row r="381">
          <cell r="G381">
            <v>6361</v>
          </cell>
          <cell r="H381">
            <v>6361</v>
          </cell>
          <cell r="I381">
            <v>0.12</v>
          </cell>
          <cell r="J381">
            <v>7229</v>
          </cell>
          <cell r="K381">
            <v>0.1</v>
          </cell>
          <cell r="L381">
            <v>7068</v>
          </cell>
        </row>
        <row r="382">
          <cell r="C382">
            <v>80516584</v>
          </cell>
          <cell r="D382" t="str">
            <v>印尼(日标) PVC 再粘合胶水 100g - RUCIKA</v>
          </cell>
          <cell r="E382" t="str">
            <v>JIS PVC Re-glue Pipe Cement 100g - RUCIKA</v>
          </cell>
        </row>
        <row r="382">
          <cell r="G382">
            <v>15000</v>
          </cell>
          <cell r="H382">
            <v>15000</v>
          </cell>
          <cell r="I382">
            <v>0.15</v>
          </cell>
          <cell r="J382">
            <v>17648</v>
          </cell>
          <cell r="K382">
            <v>0.15</v>
          </cell>
          <cell r="L382">
            <v>17647</v>
          </cell>
        </row>
        <row r="383">
          <cell r="C383" t="str">
            <v>GPR-LL02L00004</v>
          </cell>
          <cell r="D383" t="str">
            <v>PVC 胶水(莱姆) 400g - ISARPLAS</v>
          </cell>
          <cell r="E383" t="str">
            <v>Glue PVC 400g - ISARPLAS</v>
          </cell>
        </row>
        <row r="383">
          <cell r="G383">
            <v>43243</v>
          </cell>
          <cell r="H383">
            <v>43243</v>
          </cell>
          <cell r="I383">
            <v>0.12</v>
          </cell>
          <cell r="J383">
            <v>49140</v>
          </cell>
          <cell r="K383">
            <v>0.12</v>
          </cell>
          <cell r="L383">
            <v>49140</v>
          </cell>
        </row>
        <row r="384">
          <cell r="C384" t="str">
            <v>GPR-LL02L21002</v>
          </cell>
          <cell r="D384" t="str">
            <v>PVC 胶水(莱姆) 400g - ASOKA</v>
          </cell>
        </row>
        <row r="384">
          <cell r="G384">
            <v>42000</v>
          </cell>
          <cell r="H384">
            <v>42000</v>
          </cell>
          <cell r="I384">
            <v>0.12</v>
          </cell>
          <cell r="J384">
            <v>47728</v>
          </cell>
          <cell r="K384">
            <v>0.12</v>
          </cell>
          <cell r="L384">
            <v>47727</v>
          </cell>
        </row>
        <row r="385">
          <cell r="C385">
            <v>80516585</v>
          </cell>
          <cell r="D385" t="str">
            <v>印尼(日标)管道胶水 400g - RUCIKA</v>
          </cell>
          <cell r="E385" t="str">
            <v>JIS Pipe Cement 400g - RUCIKA</v>
          </cell>
        </row>
        <row r="385">
          <cell r="G385">
            <v>41284</v>
          </cell>
          <cell r="H385">
            <v>41284</v>
          </cell>
          <cell r="I385">
            <v>0.15</v>
          </cell>
          <cell r="J385">
            <v>48570</v>
          </cell>
          <cell r="K385">
            <v>0.15</v>
          </cell>
          <cell r="L385">
            <v>48569</v>
          </cell>
        </row>
        <row r="386">
          <cell r="C386">
            <v>8010062265</v>
          </cell>
          <cell r="D386" t="str">
            <v>(IDN)PPR冷给水直管S5(1.0MPa)印尼绿色 dn20 (1/2") 4M/根 联塑</v>
          </cell>
          <cell r="E386" t="str">
            <v>(IDN)PPR Pipe S5(1.0Mpa) dn20 (1/2") 4M/pcs Green(INA) - LESSO</v>
          </cell>
        </row>
        <row r="386">
          <cell r="G386">
            <v>16510</v>
          </cell>
          <cell r="H386">
            <v>16510</v>
          </cell>
          <cell r="I386">
            <v>0.08</v>
          </cell>
          <cell r="J386">
            <v>17946</v>
          </cell>
          <cell r="K386">
            <v>0.06</v>
          </cell>
          <cell r="L386">
            <v>17564</v>
          </cell>
        </row>
        <row r="387">
          <cell r="C387">
            <v>8010062266</v>
          </cell>
          <cell r="D387" t="str">
            <v>(IDN)PPR冷给水直管S5(1.0MPa)印尼绿色 dn25 (3/4") 4M/根 联塑</v>
          </cell>
          <cell r="E387" t="str">
            <v>(IDN)PPR Pipe S5(1.0Mpa) dn25 (3/4") 4M/pcs Green(INA) - LESSO</v>
          </cell>
        </row>
        <row r="387">
          <cell r="G387">
            <v>21631</v>
          </cell>
          <cell r="H387">
            <v>21631</v>
          </cell>
          <cell r="I387">
            <v>0.08</v>
          </cell>
          <cell r="J387">
            <v>23512</v>
          </cell>
          <cell r="K387">
            <v>0.06</v>
          </cell>
          <cell r="L387">
            <v>23012</v>
          </cell>
        </row>
        <row r="388">
          <cell r="C388">
            <v>8010062267</v>
          </cell>
          <cell r="D388" t="str">
            <v>(IDN)PPR冷给水直管S5(1.0MPa)印尼绿色 dn32 (1") 4M/根 联塑</v>
          </cell>
          <cell r="E388" t="str">
            <v>(IDN)PPR Pipe S5(1.0Mpa) dn32 (1") 4M/pcs Green(INA) - LESSO</v>
          </cell>
        </row>
        <row r="388">
          <cell r="G388">
            <v>34697</v>
          </cell>
          <cell r="H388">
            <v>34697</v>
          </cell>
          <cell r="I388">
            <v>0.08</v>
          </cell>
          <cell r="J388">
            <v>37715</v>
          </cell>
          <cell r="K388">
            <v>0.06</v>
          </cell>
          <cell r="L388">
            <v>36912</v>
          </cell>
        </row>
        <row r="389">
          <cell r="C389">
            <v>8010062268</v>
          </cell>
          <cell r="D389" t="str">
            <v>(IDN)PPR冷给水直管S5(1.0MPa)印尼绿色 dn40 (1-1/4") 4M/根 联塑</v>
          </cell>
          <cell r="E389" t="str">
            <v>(IDN)PPR Pipe S5(1.0Mpa) dn40 (1-1/4") 4M/pcs Green(INA) - LESSO</v>
          </cell>
        </row>
        <row r="389">
          <cell r="G389">
            <v>56416</v>
          </cell>
          <cell r="H389">
            <v>56416</v>
          </cell>
          <cell r="I389">
            <v>0.08</v>
          </cell>
          <cell r="J389">
            <v>61322</v>
          </cell>
          <cell r="K389">
            <v>0.06</v>
          </cell>
          <cell r="L389">
            <v>60017</v>
          </cell>
        </row>
        <row r="390">
          <cell r="C390">
            <v>8010062269</v>
          </cell>
          <cell r="D390" t="str">
            <v>(IDN)PPR冷给水直管S5(1.0MPa)印尼绿色 dn50 (1-1/2") 4M/根 联塑</v>
          </cell>
          <cell r="E390" t="str">
            <v>(IDN)PPR Pipe S5(1.0Mpa) dn50 (1-1/2") 4M/pcs Green(INA) - LESSO</v>
          </cell>
        </row>
        <row r="390">
          <cell r="G390">
            <v>87405</v>
          </cell>
          <cell r="H390">
            <v>87405</v>
          </cell>
          <cell r="I390">
            <v>0.08</v>
          </cell>
          <cell r="J390">
            <v>95006</v>
          </cell>
          <cell r="K390">
            <v>0.06</v>
          </cell>
          <cell r="L390">
            <v>92984</v>
          </cell>
        </row>
        <row r="391">
          <cell r="C391">
            <v>8010062270</v>
          </cell>
          <cell r="D391" t="str">
            <v>(IDN)PPR冷给水直管S5(1.0MPa)印尼绿色 dn63 (2") 4M/根 联塑</v>
          </cell>
          <cell r="E391" t="str">
            <v>(IDN)PPR Pipe S5(1.0Mpa) dn63 (2") 4M/pcs Green(INA) - LESSO</v>
          </cell>
        </row>
        <row r="391">
          <cell r="G391">
            <v>138348</v>
          </cell>
          <cell r="H391">
            <v>138348</v>
          </cell>
          <cell r="I391">
            <v>0.08</v>
          </cell>
          <cell r="J391">
            <v>150379</v>
          </cell>
          <cell r="K391">
            <v>0.06</v>
          </cell>
          <cell r="L391">
            <v>147179</v>
          </cell>
        </row>
        <row r="392">
          <cell r="C392">
            <v>8010062271</v>
          </cell>
          <cell r="D392" t="str">
            <v>(IDN)PPR冷给水直管S5(1.0MPa)印尼绿色 dn75 (2-1/2") 4M/根 联塑</v>
          </cell>
          <cell r="E392" t="str">
            <v>(IDN)PPR Pipe S5(1.0Mpa) dn75 (2-1/2") 4M/pcs Green(INA) - LESSO</v>
          </cell>
        </row>
        <row r="392">
          <cell r="G392">
            <v>193616</v>
          </cell>
          <cell r="H392">
            <v>193616</v>
          </cell>
          <cell r="I392">
            <v>0.08</v>
          </cell>
          <cell r="J392">
            <v>210453</v>
          </cell>
          <cell r="K392">
            <v>0.06</v>
          </cell>
          <cell r="L392">
            <v>205974</v>
          </cell>
        </row>
        <row r="393">
          <cell r="C393">
            <v>8010062272</v>
          </cell>
          <cell r="D393" t="str">
            <v>(IDN)PPR冷给水直管S5(1.0MPa)印尼绿色 dn90 (3") 4M/根 联塑</v>
          </cell>
          <cell r="E393" t="str">
            <v>(IDN)PPR Pipe S5(1.0Mpa) dn90 (3") 4M/pcs Green(INA) - LESSO</v>
          </cell>
        </row>
        <row r="393">
          <cell r="G393">
            <v>289586</v>
          </cell>
          <cell r="H393">
            <v>289586</v>
          </cell>
          <cell r="I393">
            <v>0.08</v>
          </cell>
          <cell r="J393">
            <v>314768</v>
          </cell>
          <cell r="K393">
            <v>0.06</v>
          </cell>
          <cell r="L393">
            <v>308070</v>
          </cell>
        </row>
        <row r="394">
          <cell r="C394">
            <v>8010062273</v>
          </cell>
          <cell r="D394" t="str">
            <v>(IDN)PPR冷给水直管S5(1.0MPa)印尼绿色 dn110 (4") 4M/根 联塑</v>
          </cell>
          <cell r="E394" t="str">
            <v>(IDN)PPR Pipe S5(1.0Mpa) dn110 (4") 4M/pcs Green(INA) - LESSO</v>
          </cell>
          <cell r="F394">
            <v>430052.252252252</v>
          </cell>
          <cell r="G394">
            <v>430052</v>
          </cell>
          <cell r="H394">
            <v>430052</v>
          </cell>
          <cell r="I394">
            <v>0.08</v>
          </cell>
          <cell r="J394">
            <v>467448</v>
          </cell>
          <cell r="K394">
            <v>0.06</v>
          </cell>
          <cell r="L394">
            <v>457502</v>
          </cell>
        </row>
        <row r="395">
          <cell r="C395">
            <v>8010062274</v>
          </cell>
          <cell r="D395" t="str">
            <v>(IDN)PPR冷给水直管S5(1.0MPa)印尼绿色 dn125 4M/根 联塑</v>
          </cell>
          <cell r="E395" t="str">
            <v>(IDN)PPR Pipe S5(1.0Mpa) dn125 4M/pcs Green(INA) - LESSO</v>
          </cell>
        </row>
        <row r="395">
          <cell r="G395">
            <v>862303</v>
          </cell>
          <cell r="H395">
            <v>862303</v>
          </cell>
          <cell r="I395">
            <v>0.08</v>
          </cell>
          <cell r="J395">
            <v>937286</v>
          </cell>
          <cell r="K395">
            <v>0.06</v>
          </cell>
          <cell r="L395">
            <v>917344</v>
          </cell>
        </row>
        <row r="396">
          <cell r="C396">
            <v>8010062275</v>
          </cell>
          <cell r="D396" t="str">
            <v>(IDN)PPR冷给水直管S5(1.0MPa)印尼绿色 dn160 (6") 4M/根 联塑</v>
          </cell>
          <cell r="E396" t="str">
            <v>(IDN)PPR Pipe S5(1.0Mpa) dn160 (6") 4M/pcs Green(INA) - LESSO</v>
          </cell>
        </row>
        <row r="396">
          <cell r="G396">
            <v>1465497</v>
          </cell>
          <cell r="H396">
            <v>1465497</v>
          </cell>
          <cell r="I396">
            <v>0.08</v>
          </cell>
          <cell r="J396">
            <v>1592932</v>
          </cell>
          <cell r="K396">
            <v>0.06</v>
          </cell>
          <cell r="L396">
            <v>1559039</v>
          </cell>
        </row>
        <row r="397">
          <cell r="C397">
            <v>8010062276</v>
          </cell>
          <cell r="D397" t="str">
            <v>(IDN)PPR冷给水直管S4(1.25MPa)印尼绿色 dn20 (1/2") 4M/根 联塑</v>
          </cell>
          <cell r="E397" t="str">
            <v>(IDN)PPR Pipe S4(1.25Mpa) dn20 (1/2") 4M/pcs Green(INA) - LESSO</v>
          </cell>
        </row>
        <row r="397">
          <cell r="G397">
            <v>20130</v>
          </cell>
          <cell r="H397">
            <v>20130</v>
          </cell>
          <cell r="I397">
            <v>0.08</v>
          </cell>
          <cell r="J397">
            <v>21881</v>
          </cell>
          <cell r="K397">
            <v>0.06</v>
          </cell>
          <cell r="L397">
            <v>21415</v>
          </cell>
        </row>
        <row r="398">
          <cell r="C398">
            <v>8010062277</v>
          </cell>
          <cell r="D398" t="str">
            <v>(IDN)PPR冷给水直管S4(1.25MPa)印尼绿色 dn25 (3/4") 4M/根 联塑</v>
          </cell>
          <cell r="E398" t="str">
            <v>(IDN)PPR Pipe S4(1.25Mpa) dn25 (3/4") 4M/pcs Green(INA) - LESSO</v>
          </cell>
        </row>
        <row r="398">
          <cell r="G398">
            <v>31740</v>
          </cell>
          <cell r="H398">
            <v>31740</v>
          </cell>
          <cell r="I398">
            <v>0.08</v>
          </cell>
          <cell r="J398">
            <v>34500</v>
          </cell>
          <cell r="K398">
            <v>0.06</v>
          </cell>
          <cell r="L398">
            <v>33766</v>
          </cell>
        </row>
        <row r="399">
          <cell r="C399">
            <v>8010062278</v>
          </cell>
          <cell r="D399" t="str">
            <v>(IDN)PPR冷给水直管S4(1.25MPa)印尼绿色 dn32 (1") 4M/根 联塑</v>
          </cell>
          <cell r="E399" t="str">
            <v>(IDN)PPR Pipe S4(1.25Mpa) dn32 (1") 4M/pcs Green(INA) - LESSO</v>
          </cell>
        </row>
        <row r="399">
          <cell r="G399">
            <v>50942</v>
          </cell>
          <cell r="H399">
            <v>50942</v>
          </cell>
          <cell r="I399">
            <v>0.08</v>
          </cell>
          <cell r="J399">
            <v>55372</v>
          </cell>
          <cell r="K399">
            <v>0.06</v>
          </cell>
          <cell r="L399">
            <v>54194</v>
          </cell>
        </row>
        <row r="400">
          <cell r="C400">
            <v>8010062279</v>
          </cell>
          <cell r="D400" t="str">
            <v>(IDN)PPR冷给水直管S4(1.25MPa)印尼绿色 dn40 (1-1/4") 4M/根 联塑</v>
          </cell>
          <cell r="E400" t="str">
            <v>(IDN)PPR Pipe S4(1.25Mpa) dn40 (1-1/4") 4M/pcs Green(INA) - LESSO</v>
          </cell>
        </row>
        <row r="400">
          <cell r="G400">
            <v>81225</v>
          </cell>
          <cell r="H400">
            <v>81225</v>
          </cell>
          <cell r="I400">
            <v>0.08</v>
          </cell>
          <cell r="J400">
            <v>88289</v>
          </cell>
          <cell r="K400">
            <v>0.06</v>
          </cell>
          <cell r="L400">
            <v>86410</v>
          </cell>
        </row>
        <row r="401">
          <cell r="C401">
            <v>8010062280</v>
          </cell>
          <cell r="D401" t="str">
            <v>(IDN)PPR冷给水直管S4(1.25MPa)印尼绿色 dn50 (1-1/2") 4M/根 联塑</v>
          </cell>
          <cell r="E401" t="str">
            <v>(IDN)PPR Pipe S4(1.25Mpa) dn50 (1-1/2") 4M/pcs Green(INA) - LESSO</v>
          </cell>
          <cell r="F401">
            <v>126693.693693694</v>
          </cell>
          <cell r="G401">
            <v>126694</v>
          </cell>
          <cell r="H401">
            <v>126694</v>
          </cell>
          <cell r="I401">
            <v>0.08</v>
          </cell>
          <cell r="J401">
            <v>137711</v>
          </cell>
          <cell r="K401">
            <v>0.06</v>
          </cell>
          <cell r="L401">
            <v>134781</v>
          </cell>
        </row>
        <row r="402">
          <cell r="C402">
            <v>8010062281</v>
          </cell>
          <cell r="D402" t="str">
            <v>(IDN)PPR冷给水直管S4(1.25MPa)印尼绿色 dn63 (2") 4M/根 联塑</v>
          </cell>
          <cell r="E402" t="str">
            <v>(IDN)PPR Pipe S4(1.25Mpa) dn63 (2") 4M/pcs Green(INA) - LESSO</v>
          </cell>
        </row>
        <row r="402">
          <cell r="G402">
            <v>199223</v>
          </cell>
          <cell r="H402">
            <v>199223</v>
          </cell>
          <cell r="I402">
            <v>0.08</v>
          </cell>
          <cell r="J402">
            <v>216547</v>
          </cell>
          <cell r="K402">
            <v>0.06</v>
          </cell>
          <cell r="L402">
            <v>211939</v>
          </cell>
        </row>
        <row r="403">
          <cell r="C403">
            <v>8010062282</v>
          </cell>
          <cell r="D403" t="str">
            <v>(IDN)PPR冷给水直管S4(1.25MPa)印尼绿色 dn75 (2-1/2") 4M/根 联塑</v>
          </cell>
          <cell r="E403" t="str">
            <v>(IDN)PPR Pipe S4(1.25Mpa) dn75 (2-1/2") 4M/pcs Green(INA) - LESSO</v>
          </cell>
        </row>
        <row r="403">
          <cell r="G403">
            <v>283670</v>
          </cell>
          <cell r="H403">
            <v>283670</v>
          </cell>
          <cell r="I403">
            <v>0.08</v>
          </cell>
          <cell r="J403">
            <v>308337</v>
          </cell>
          <cell r="K403">
            <v>0.06</v>
          </cell>
          <cell r="L403">
            <v>301777</v>
          </cell>
        </row>
        <row r="404">
          <cell r="C404">
            <v>8010062283</v>
          </cell>
          <cell r="D404" t="str">
            <v>(IDN)PPR冷给水直管S4(1.25MPa)印尼绿色 dn90 (3") 4M/根 联塑</v>
          </cell>
          <cell r="E404" t="str">
            <v>(IDN)PPR Pipe S4(1.25Mpa) dn90 (3") 4M/pcs Green(INA) - LESSO</v>
          </cell>
        </row>
        <row r="404">
          <cell r="G404">
            <v>421400</v>
          </cell>
          <cell r="H404">
            <v>421400</v>
          </cell>
          <cell r="I404">
            <v>0.08</v>
          </cell>
          <cell r="J404">
            <v>458044</v>
          </cell>
          <cell r="K404">
            <v>0.06</v>
          </cell>
          <cell r="L404">
            <v>448298</v>
          </cell>
        </row>
        <row r="405">
          <cell r="C405">
            <v>8010062284</v>
          </cell>
          <cell r="D405" t="str">
            <v>(IDN)PPR冷给水直管S4(1.25MPa)印尼绿色 dn110 (4") 4M/根 联塑</v>
          </cell>
          <cell r="E405" t="str">
            <v>(IDN)PPR Pipe S4(1.25Mpa) dn110 (4") 4M/pcs Green(INA) - LESSO</v>
          </cell>
        </row>
        <row r="405">
          <cell r="G405">
            <v>631217</v>
          </cell>
          <cell r="H405">
            <v>631217</v>
          </cell>
          <cell r="I405">
            <v>0.08</v>
          </cell>
          <cell r="J405">
            <v>686106</v>
          </cell>
          <cell r="K405">
            <v>0.06</v>
          </cell>
          <cell r="L405">
            <v>671507</v>
          </cell>
        </row>
        <row r="406">
          <cell r="C406">
            <v>8010062285</v>
          </cell>
          <cell r="D406" t="str">
            <v>(IDN)PPR冷给水直管S4(1.25MPa)印尼绿色 dn125 4M/根 联塑</v>
          </cell>
          <cell r="E406" t="str">
            <v>(IDN)PPR Pipe S4(1.25Mpa) dn125 4M/pcs Green(INA) - LESSO</v>
          </cell>
        </row>
        <row r="406">
          <cell r="G406">
            <v>1070941</v>
          </cell>
          <cell r="H406">
            <v>1070941</v>
          </cell>
          <cell r="I406">
            <v>0.08</v>
          </cell>
          <cell r="J406">
            <v>1164067</v>
          </cell>
          <cell r="K406">
            <v>0.06</v>
          </cell>
          <cell r="L406">
            <v>1139299</v>
          </cell>
        </row>
        <row r="407">
          <cell r="C407">
            <v>8010062286</v>
          </cell>
          <cell r="D407" t="str">
            <v>(IDN)PPR冷给水直管S4(1.25MPa)印尼绿色 dn160 (6") 4M/根 联塑</v>
          </cell>
          <cell r="E407" t="str">
            <v>(IDN)PPR Pipe S4(1.25Mpa) dn160 (6") 4M/pcs Green(INA) - LESSO</v>
          </cell>
        </row>
        <row r="407">
          <cell r="G407">
            <v>2125011</v>
          </cell>
          <cell r="H407">
            <v>2125011</v>
          </cell>
          <cell r="I407">
            <v>0.08</v>
          </cell>
          <cell r="J407">
            <v>2309795</v>
          </cell>
          <cell r="K407">
            <v>0.06</v>
          </cell>
          <cell r="L407">
            <v>2260650</v>
          </cell>
        </row>
        <row r="408">
          <cell r="C408">
            <v>8010062287</v>
          </cell>
          <cell r="D408" t="str">
            <v>(IDN)PPR热给水直管S3.2(1.6MPa)印尼绿色 dn20 (1/2") 4M/根 联塑</v>
          </cell>
          <cell r="E408" t="str">
            <v>(IDN)PPR Pipe S3.2(1.6Mpa) dn20 (1/2") 4M/pcs Green(INA) - LESSO</v>
          </cell>
        </row>
        <row r="408">
          <cell r="G408">
            <v>22911</v>
          </cell>
          <cell r="H408">
            <v>22911</v>
          </cell>
          <cell r="I408">
            <v>0.08</v>
          </cell>
          <cell r="J408">
            <v>24904</v>
          </cell>
          <cell r="K408">
            <v>0.06</v>
          </cell>
          <cell r="L408">
            <v>24373</v>
          </cell>
        </row>
        <row r="409">
          <cell r="C409">
            <v>8010062288</v>
          </cell>
          <cell r="D409" t="str">
            <v>(IDN)PPR热给水直管S3.2(1.6MPa)印尼绿色 dn25 (3/4") 4M/根 联塑</v>
          </cell>
          <cell r="E409" t="str">
            <v>(IDN)PPR Pipe S3.2(1.6Mpa) dn25 (3/4") 4M/pcs Green(INA) - LESSO</v>
          </cell>
        </row>
        <row r="409">
          <cell r="G409">
            <v>35139</v>
          </cell>
          <cell r="H409">
            <v>35139</v>
          </cell>
          <cell r="I409">
            <v>0.08</v>
          </cell>
          <cell r="J409">
            <v>38195</v>
          </cell>
          <cell r="K409">
            <v>0.06</v>
          </cell>
          <cell r="L409">
            <v>37382</v>
          </cell>
        </row>
        <row r="410">
          <cell r="C410">
            <v>8010062289</v>
          </cell>
          <cell r="D410" t="str">
            <v>(IDN)PPR热给水直管S3.2(1.6MPa)印尼绿色 dn32 (1") 4M/根 联塑</v>
          </cell>
          <cell r="E410" t="str">
            <v>(IDN)PPR Pipe S3.2(1.6Mpa) dn32 (1") 4M/pcs Green(INA) - LESSO</v>
          </cell>
        </row>
        <row r="410">
          <cell r="G410">
            <v>57696</v>
          </cell>
          <cell r="H410">
            <v>57696</v>
          </cell>
          <cell r="I410">
            <v>0.08</v>
          </cell>
          <cell r="J410">
            <v>62714</v>
          </cell>
          <cell r="K410">
            <v>0.06</v>
          </cell>
          <cell r="L410">
            <v>61379</v>
          </cell>
        </row>
        <row r="411">
          <cell r="C411">
            <v>8010062290</v>
          </cell>
          <cell r="D411" t="str">
            <v>(IDN)PPR热给水直管S3.2(1.6MPa)印尼绿色 dn40 (1-1/4") 4M/根 联塑</v>
          </cell>
          <cell r="E411" t="str">
            <v>(IDN)PPR Pipe S3.2(1.6Mpa) dn40 (1-1/4") 4M/pcs Green(INA) - LESSO</v>
          </cell>
        </row>
        <row r="411">
          <cell r="G411">
            <v>91158</v>
          </cell>
          <cell r="H411">
            <v>91158</v>
          </cell>
          <cell r="I411">
            <v>0.08</v>
          </cell>
          <cell r="J411">
            <v>99085</v>
          </cell>
          <cell r="K411">
            <v>0.06</v>
          </cell>
          <cell r="L411">
            <v>96977</v>
          </cell>
        </row>
        <row r="412">
          <cell r="C412">
            <v>8010062291</v>
          </cell>
          <cell r="D412" t="str">
            <v>(IDN)PPR热给水直管S3.2(1.6MPa)印尼绿色 dn50 (1-1/2") 4M/根 联塑</v>
          </cell>
          <cell r="E412" t="str">
            <v>(IDN)PPR Pipe S3.2(1.6Mpa) dn50 (1-1/2") 4M/pcs Green(INA) - LESSO</v>
          </cell>
        </row>
        <row r="412">
          <cell r="G412">
            <v>142453</v>
          </cell>
          <cell r="H412">
            <v>142453</v>
          </cell>
          <cell r="I412">
            <v>0.08</v>
          </cell>
          <cell r="J412">
            <v>154841</v>
          </cell>
          <cell r="K412">
            <v>0.06</v>
          </cell>
          <cell r="L412">
            <v>151546</v>
          </cell>
        </row>
        <row r="413">
          <cell r="C413">
            <v>8010062292</v>
          </cell>
          <cell r="D413" t="str">
            <v>(IDN)PPR热给水直管S3.2(1.6MPa)印尼绿色 dn63 (2") 4M/根 联塑</v>
          </cell>
          <cell r="E413" t="str">
            <v>(IDN)PPR Pipe S3.2(1.6Mpa) dn63 (2") 4M/pcs Green(INA) - LESSO</v>
          </cell>
        </row>
        <row r="413">
          <cell r="G413">
            <v>225665</v>
          </cell>
          <cell r="H413">
            <v>225665</v>
          </cell>
          <cell r="I413">
            <v>0.08</v>
          </cell>
          <cell r="J413">
            <v>245289</v>
          </cell>
          <cell r="K413">
            <v>0.06</v>
          </cell>
          <cell r="L413">
            <v>240069</v>
          </cell>
        </row>
        <row r="414">
          <cell r="C414">
            <v>8010062293</v>
          </cell>
          <cell r="D414" t="str">
            <v>(IDN)PPR热给水直管S3.2(1.6MPa)印尼绿色 dn75 (2-1/2") 4M/根 联塑</v>
          </cell>
          <cell r="E414" t="str">
            <v>(IDN)PPR Pipe S3.2(1.6Mpa) dn75 (2-1/2") 4M/pcs Green(INA) - LESSO</v>
          </cell>
        </row>
        <row r="414">
          <cell r="G414">
            <v>319471</v>
          </cell>
          <cell r="H414">
            <v>319471</v>
          </cell>
          <cell r="I414">
            <v>0.08</v>
          </cell>
          <cell r="J414">
            <v>347252</v>
          </cell>
          <cell r="K414">
            <v>0.06</v>
          </cell>
          <cell r="L414">
            <v>339863</v>
          </cell>
        </row>
        <row r="415">
          <cell r="C415">
            <v>8010062294</v>
          </cell>
          <cell r="D415" t="str">
            <v>(IDN)PPR热给水直管S3.2(1.6MPa)印尼绿色 dn90 (3") 4M/根 联塑</v>
          </cell>
          <cell r="E415" t="str">
            <v>(IDN)PPR Pipe S3.2(1.6Mpa) dn90 (3") 4M/pcs Green(INA) - LESSO</v>
          </cell>
        </row>
        <row r="415">
          <cell r="G415">
            <v>475962</v>
          </cell>
          <cell r="H415">
            <v>475962</v>
          </cell>
          <cell r="I415">
            <v>0.08</v>
          </cell>
          <cell r="J415">
            <v>517350</v>
          </cell>
          <cell r="K415">
            <v>0.06</v>
          </cell>
          <cell r="L415">
            <v>506343</v>
          </cell>
        </row>
        <row r="416">
          <cell r="C416">
            <v>8010062295</v>
          </cell>
          <cell r="D416" t="str">
            <v>(IDN)PPR热给水直管S3.2(1.6MPa)印尼绿色 dn110 (4") 4M/根 联塑</v>
          </cell>
          <cell r="E416" t="str">
            <v>(IDN)PPR Pipe S3.2(1.6Mpa) dn110 (4") 4M/pcs Green(INA) - LESSO</v>
          </cell>
        </row>
        <row r="416">
          <cell r="G416">
            <v>711250</v>
          </cell>
          <cell r="H416">
            <v>711250</v>
          </cell>
          <cell r="I416">
            <v>0.08</v>
          </cell>
          <cell r="J416">
            <v>773098</v>
          </cell>
          <cell r="K416">
            <v>0.06</v>
          </cell>
          <cell r="L416">
            <v>756649</v>
          </cell>
        </row>
        <row r="417">
          <cell r="C417">
            <v>8010062296</v>
          </cell>
          <cell r="D417" t="str">
            <v>(IDN)PPR热给水直管S3.2(1.6MPa)印尼绿色 dn125 4M/根 联塑</v>
          </cell>
          <cell r="E417" t="str">
            <v>(IDN)PPR Pipe S3.2(1.6Mpa) dn125 4M/pcs Green(INA) - LESSO</v>
          </cell>
        </row>
        <row r="417">
          <cell r="G417">
            <v>1196790</v>
          </cell>
          <cell r="H417">
            <v>1196790</v>
          </cell>
          <cell r="I417">
            <v>0.08</v>
          </cell>
          <cell r="J417">
            <v>1300859</v>
          </cell>
          <cell r="K417">
            <v>0.06</v>
          </cell>
          <cell r="L417">
            <v>1273181</v>
          </cell>
        </row>
        <row r="418">
          <cell r="C418">
            <v>8010062297</v>
          </cell>
          <cell r="D418" t="str">
            <v>(IDN)PPR热给水直管S3.2(1.6MPa)印尼绿色 dn160 (6") 4M/根 联塑</v>
          </cell>
          <cell r="E418" t="str">
            <v>(IDN)PPR Pipe S3.2(1.6Mpa) dn160 (6") 4M/pcs Green(INA) - LESSO</v>
          </cell>
        </row>
        <row r="418">
          <cell r="G418">
            <v>2423734</v>
          </cell>
          <cell r="H418">
            <v>2423734</v>
          </cell>
          <cell r="I418">
            <v>0.08</v>
          </cell>
          <cell r="J418">
            <v>2634494</v>
          </cell>
          <cell r="K418">
            <v>0.06</v>
          </cell>
          <cell r="L418">
            <v>2578440</v>
          </cell>
        </row>
        <row r="419">
          <cell r="C419">
            <v>8010062298</v>
          </cell>
          <cell r="D419" t="str">
            <v>(IDN)PPR热给水直管S2.5(2.0MPa)印尼绿色 dn20 (1/2") 4M/根 联塑</v>
          </cell>
          <cell r="E419" t="str">
            <v>(IDN)PPR Pipe S2.5(2.0Mpa) dn20 (1/2") 4M/pcs Green(INA) - LESSO</v>
          </cell>
        </row>
        <row r="419">
          <cell r="G419">
            <v>25202</v>
          </cell>
          <cell r="H419">
            <v>25202</v>
          </cell>
          <cell r="I419">
            <v>0.08</v>
          </cell>
          <cell r="J419">
            <v>27394</v>
          </cell>
          <cell r="K419">
            <v>0.06</v>
          </cell>
          <cell r="L419">
            <v>26811</v>
          </cell>
        </row>
        <row r="420">
          <cell r="C420">
            <v>8010062299</v>
          </cell>
          <cell r="D420" t="str">
            <v>(IDN)PPR热给水直管S2.5(2.0MPa)印尼绿色 dn25 (3/4") 4M/根 联塑</v>
          </cell>
          <cell r="E420" t="str">
            <v>(IDN)PPR Pipe S2.5(2.0Mpa) dn25 (3/4") 4M/pcs Green(INA) - LESSO</v>
          </cell>
        </row>
        <row r="420">
          <cell r="G420">
            <v>38652</v>
          </cell>
          <cell r="H420">
            <v>38652</v>
          </cell>
          <cell r="I420">
            <v>0.08</v>
          </cell>
          <cell r="J420">
            <v>42014</v>
          </cell>
          <cell r="K420">
            <v>0.06</v>
          </cell>
          <cell r="L420">
            <v>41119</v>
          </cell>
        </row>
        <row r="421">
          <cell r="C421">
            <v>8010062300</v>
          </cell>
          <cell r="D421" t="str">
            <v>(IDN)PPR热给水直管S2.5(2.0MPa)印尼绿色 dn32 (1") 4M/根 联塑</v>
          </cell>
          <cell r="E421" t="str">
            <v>(IDN)PPR Pipe S2.5(2.0Mpa) dn32 (1") 4M/pcs Green(INA) - LESSO</v>
          </cell>
        </row>
        <row r="421">
          <cell r="G421">
            <v>63466</v>
          </cell>
          <cell r="H421">
            <v>63466</v>
          </cell>
          <cell r="I421">
            <v>0.08</v>
          </cell>
          <cell r="J421">
            <v>68985</v>
          </cell>
          <cell r="K421">
            <v>0.06</v>
          </cell>
          <cell r="L421">
            <v>67517</v>
          </cell>
        </row>
        <row r="422">
          <cell r="C422">
            <v>8010062301</v>
          </cell>
          <cell r="D422" t="str">
            <v>(IDN)PPR热给水直管S2.5(2.0MPa)印尼绿色 dn40 (1-1/4") 4M/根 联塑</v>
          </cell>
          <cell r="E422" t="str">
            <v>(IDN)PPR Pipe S2.5(2.0Mpa) dn40 (1-1/4") 4M/pcs Green(INA) - LESSO</v>
          </cell>
        </row>
        <row r="422">
          <cell r="G422">
            <v>100273</v>
          </cell>
          <cell r="H422">
            <v>100273</v>
          </cell>
          <cell r="I422">
            <v>0.08</v>
          </cell>
          <cell r="J422">
            <v>108993</v>
          </cell>
          <cell r="K422">
            <v>0.06</v>
          </cell>
          <cell r="L422">
            <v>106673</v>
          </cell>
        </row>
        <row r="423">
          <cell r="C423">
            <v>8010062302</v>
          </cell>
          <cell r="D423" t="str">
            <v>(IDN)PPR热给水直管S2.5(2.0MPa)印尼绿色 dn50 (1-1/2") 4M/根 联塑</v>
          </cell>
          <cell r="E423" t="str">
            <v>(IDN)PPR Pipe S2.5(2.0Mpa) dn50 (1-1/2") 4M/pcs Green(INA) - LESSO</v>
          </cell>
        </row>
        <row r="423">
          <cell r="G423">
            <v>156698</v>
          </cell>
          <cell r="H423">
            <v>156698</v>
          </cell>
          <cell r="I423">
            <v>0.08</v>
          </cell>
          <cell r="J423">
            <v>170324</v>
          </cell>
          <cell r="K423">
            <v>0.06</v>
          </cell>
          <cell r="L423">
            <v>166700</v>
          </cell>
        </row>
        <row r="424">
          <cell r="C424">
            <v>8010062303</v>
          </cell>
          <cell r="D424" t="str">
            <v>(IDN)PPR热给水直管S2.5(2.0MPa)印尼绿色 dn63 (2") 4M/根 联塑</v>
          </cell>
          <cell r="E424" t="str">
            <v>(IDN)PPR Pipe S2.5(2.0Mpa) dn63 (2") 4M/pcs Green(INA) - LESSO</v>
          </cell>
        </row>
        <row r="424">
          <cell r="G424">
            <v>248232</v>
          </cell>
          <cell r="H424">
            <v>248232</v>
          </cell>
          <cell r="I424">
            <v>0.08</v>
          </cell>
          <cell r="J424">
            <v>269818</v>
          </cell>
          <cell r="K424">
            <v>0.06</v>
          </cell>
          <cell r="L424">
            <v>264077</v>
          </cell>
        </row>
        <row r="425">
          <cell r="C425">
            <v>8010062304</v>
          </cell>
          <cell r="D425" t="str">
            <v>(IDN)PPR热给水直管S2.5(2.0MPa)印尼绿色 dn75 (2-1/2") 4M/根 联塑</v>
          </cell>
          <cell r="E425" t="str">
            <v>(IDN)PPR Pipe S2.5(2.0Mpa) dn75 (2-1/2") 4M/pcs Green(INA) - LESSO</v>
          </cell>
        </row>
        <row r="425">
          <cell r="G425">
            <v>351418</v>
          </cell>
          <cell r="H425">
            <v>351418</v>
          </cell>
          <cell r="I425">
            <v>0.08</v>
          </cell>
          <cell r="J425">
            <v>381977</v>
          </cell>
          <cell r="K425">
            <v>0.06</v>
          </cell>
          <cell r="L425">
            <v>373849</v>
          </cell>
        </row>
        <row r="426">
          <cell r="C426">
            <v>8010062305</v>
          </cell>
          <cell r="D426" t="str">
            <v>(IDN)PPR热给水直管S2.5(2.0MPa)印尼绿色 dn90 (3") 4M/根 联塑</v>
          </cell>
          <cell r="E426" t="str">
            <v>(IDN)PPR Pipe S2.5(2.0Mpa) dn90 (3") 4M/pcs Green(INA) - LESSO</v>
          </cell>
        </row>
        <row r="426">
          <cell r="G426">
            <v>523559</v>
          </cell>
          <cell r="H426">
            <v>523559</v>
          </cell>
          <cell r="I426">
            <v>0.08</v>
          </cell>
          <cell r="J426">
            <v>569086</v>
          </cell>
          <cell r="K426">
            <v>0.06</v>
          </cell>
          <cell r="L426">
            <v>556978</v>
          </cell>
        </row>
        <row r="427">
          <cell r="C427">
            <v>8010062306</v>
          </cell>
          <cell r="D427" t="str">
            <v>(IDN)PPR热给水直管S2.5(2.0MPa)印尼绿色 dn110 (4") 4M/根 联塑</v>
          </cell>
          <cell r="E427" t="str">
            <v>(IDN)PPR Pipe S2.5(2.0Mpa) dn110 (4") 4M/pcs Green(INA) - LESSO</v>
          </cell>
        </row>
        <row r="427">
          <cell r="G427">
            <v>782376</v>
          </cell>
          <cell r="H427">
            <v>782376</v>
          </cell>
          <cell r="I427">
            <v>0.08</v>
          </cell>
          <cell r="J427">
            <v>850409</v>
          </cell>
          <cell r="K427">
            <v>0.06</v>
          </cell>
          <cell r="L427">
            <v>832315</v>
          </cell>
        </row>
        <row r="428">
          <cell r="C428">
            <v>8010062307</v>
          </cell>
          <cell r="D428" t="str">
            <v>(IDN)PPR热给水直管S2.5(2.0MPa)印尼绿色 dn125 4M/根 联塑</v>
          </cell>
          <cell r="E428" t="str">
            <v>(IDN)PPR Pipe S2.5(2.0Mpa) dn125 4M/pcs Green(INA) - LESSO</v>
          </cell>
        </row>
        <row r="428">
          <cell r="G428">
            <v>1316468</v>
          </cell>
          <cell r="H428">
            <v>1316468</v>
          </cell>
          <cell r="I428">
            <v>0.08</v>
          </cell>
          <cell r="J428">
            <v>1430944</v>
          </cell>
          <cell r="K428">
            <v>0.06</v>
          </cell>
          <cell r="L428">
            <v>1400498</v>
          </cell>
        </row>
        <row r="429">
          <cell r="C429">
            <v>8010062308</v>
          </cell>
          <cell r="D429" t="str">
            <v>(IDN)PPR热给水直管S2.5(2.0MPa)印尼绿色 dn160 (6") 4M/根 联塑</v>
          </cell>
          <cell r="E429" t="str">
            <v>(IDN)PPR Pipe S2.5(2.0Mpa) dn160 (6") 4M/pcs Green(INA) - LESSO</v>
          </cell>
        </row>
        <row r="429">
          <cell r="G429">
            <v>2666107</v>
          </cell>
          <cell r="H429">
            <v>2666107</v>
          </cell>
          <cell r="I429">
            <v>0.08</v>
          </cell>
          <cell r="J429">
            <v>2897943</v>
          </cell>
          <cell r="K429">
            <v>0.06</v>
          </cell>
          <cell r="L429">
            <v>2836284</v>
          </cell>
        </row>
        <row r="430">
          <cell r="C430">
            <v>8010072759</v>
          </cell>
          <cell r="D430" t="str">
            <v>直通(PPR 配件)印尼绿色 dn16 联塑</v>
          </cell>
          <cell r="E430" t="str">
            <v>PPR Coupling dn16 Green(INA) - LESSO</v>
          </cell>
        </row>
        <row r="430">
          <cell r="G430">
            <v>832</v>
          </cell>
          <cell r="H430">
            <v>832</v>
          </cell>
          <cell r="I430">
            <v>0.12</v>
          </cell>
          <cell r="J430">
            <v>946</v>
          </cell>
          <cell r="K430">
            <v>0.1</v>
          </cell>
          <cell r="L430">
            <v>924</v>
          </cell>
        </row>
        <row r="431">
          <cell r="C431">
            <v>8010071377</v>
          </cell>
          <cell r="D431" t="str">
            <v>直通(PPR 配件)印尼绿色 dn20 (1/2") 联塑</v>
          </cell>
          <cell r="E431" t="str">
            <v>PPR Coupling dn20 (1/2") Green(INA) - LESSO</v>
          </cell>
        </row>
        <row r="431">
          <cell r="G431">
            <v>1070</v>
          </cell>
          <cell r="H431">
            <v>1070</v>
          </cell>
          <cell r="I431">
            <v>0.12</v>
          </cell>
          <cell r="J431">
            <v>1216</v>
          </cell>
          <cell r="K431">
            <v>0.1</v>
          </cell>
          <cell r="L431">
            <v>1189</v>
          </cell>
        </row>
        <row r="432">
          <cell r="C432">
            <v>8010071378</v>
          </cell>
          <cell r="D432" t="str">
            <v>直通(PPR 配件)印尼绿色 dn25 (3/4") 联塑</v>
          </cell>
          <cell r="E432" t="str">
            <v>PPR Coupling dn25 (3/4") Green(INA) - LESSO</v>
          </cell>
        </row>
        <row r="432">
          <cell r="G432">
            <v>1308</v>
          </cell>
          <cell r="H432">
            <v>1308</v>
          </cell>
          <cell r="I432">
            <v>0.12</v>
          </cell>
          <cell r="J432">
            <v>1487</v>
          </cell>
          <cell r="K432">
            <v>0.1</v>
          </cell>
          <cell r="L432">
            <v>1453</v>
          </cell>
        </row>
        <row r="433">
          <cell r="C433">
            <v>8010071379</v>
          </cell>
          <cell r="D433" t="str">
            <v>直通(PPR 配件)印尼绿色 dn32 (1") 联塑</v>
          </cell>
          <cell r="E433" t="str">
            <v>PPR Coupling dn32 (1") Green(INA) - LESSO</v>
          </cell>
        </row>
        <row r="433">
          <cell r="G433">
            <v>1903</v>
          </cell>
          <cell r="H433">
            <v>1903</v>
          </cell>
          <cell r="I433">
            <v>0.12</v>
          </cell>
          <cell r="J433">
            <v>2163</v>
          </cell>
          <cell r="K433">
            <v>0.1</v>
          </cell>
          <cell r="L433">
            <v>2114</v>
          </cell>
        </row>
        <row r="434">
          <cell r="C434">
            <v>8010071380</v>
          </cell>
          <cell r="D434" t="str">
            <v>直通(PPR 配件)印尼绿色 dn40 (1-1/4") 联塑</v>
          </cell>
          <cell r="E434" t="str">
            <v>PPR Coupling dn40 (1-1/4")- LESSO</v>
          </cell>
        </row>
        <row r="434">
          <cell r="G434">
            <v>3647</v>
          </cell>
          <cell r="H434">
            <v>3647</v>
          </cell>
          <cell r="I434">
            <v>0.12</v>
          </cell>
          <cell r="J434">
            <v>4145</v>
          </cell>
          <cell r="K434">
            <v>0.1</v>
          </cell>
          <cell r="L434">
            <v>4052</v>
          </cell>
        </row>
        <row r="435">
          <cell r="C435">
            <v>8010071381</v>
          </cell>
          <cell r="D435" t="str">
            <v>直通(PPR 配件)印尼绿色 dn50 (1-1/2") 联塑</v>
          </cell>
          <cell r="E435" t="str">
            <v>PPR Coupling dn50 (1-1/2")- LESSO</v>
          </cell>
        </row>
        <row r="435">
          <cell r="G435">
            <v>6144</v>
          </cell>
          <cell r="H435">
            <v>6144</v>
          </cell>
          <cell r="I435">
            <v>0.12</v>
          </cell>
          <cell r="J435">
            <v>6982</v>
          </cell>
          <cell r="K435">
            <v>0.1</v>
          </cell>
          <cell r="L435">
            <v>6827</v>
          </cell>
        </row>
        <row r="436">
          <cell r="C436">
            <v>8010071382</v>
          </cell>
          <cell r="D436" t="str">
            <v>直通(PPR 配件)印尼绿色 dn63 (2") 联塑</v>
          </cell>
          <cell r="E436" t="str">
            <v>PPR Coupling dn63 (2") Green(INA) - LESSO</v>
          </cell>
        </row>
        <row r="436">
          <cell r="G436">
            <v>8524</v>
          </cell>
          <cell r="H436">
            <v>8524</v>
          </cell>
          <cell r="I436">
            <v>0.12</v>
          </cell>
          <cell r="J436">
            <v>9687</v>
          </cell>
          <cell r="K436">
            <v>0.1</v>
          </cell>
          <cell r="L436">
            <v>9471</v>
          </cell>
        </row>
        <row r="437">
          <cell r="C437">
            <v>8010071383</v>
          </cell>
          <cell r="D437" t="str">
            <v>直通(PPR 配件)印尼绿色 dn75 (2-1/2") 联塑</v>
          </cell>
          <cell r="E437" t="str">
            <v>PPR Coupling dn75 (2-1/2") Green(INA) - LESSO</v>
          </cell>
        </row>
        <row r="437">
          <cell r="G437">
            <v>16014</v>
          </cell>
          <cell r="H437">
            <v>16014</v>
          </cell>
          <cell r="I437">
            <v>0.12</v>
          </cell>
          <cell r="J437">
            <v>18198</v>
          </cell>
          <cell r="K437">
            <v>0.1</v>
          </cell>
          <cell r="L437">
            <v>17793</v>
          </cell>
        </row>
        <row r="438">
          <cell r="C438">
            <v>8010071384</v>
          </cell>
          <cell r="D438" t="str">
            <v>直通(PPR 配件)印尼绿色 dn90 (3") 联塑</v>
          </cell>
          <cell r="E438" t="str">
            <v>PPR Coupling dn90 (3") Green(INA) - LESSO</v>
          </cell>
        </row>
        <row r="438">
          <cell r="G438">
            <v>32465</v>
          </cell>
          <cell r="H438">
            <v>32465</v>
          </cell>
          <cell r="I438">
            <v>0.12</v>
          </cell>
          <cell r="J438">
            <v>36893</v>
          </cell>
          <cell r="K438">
            <v>0.1</v>
          </cell>
          <cell r="L438">
            <v>36072</v>
          </cell>
        </row>
        <row r="439">
          <cell r="C439">
            <v>8010071385</v>
          </cell>
          <cell r="D439" t="str">
            <v>直通(PPR 配件)印尼绿色 dn110 (4") 联塑</v>
          </cell>
          <cell r="E439" t="str">
            <v>PPR Coupling dn110 (4") Green(INA) - LESSO</v>
          </cell>
        </row>
        <row r="439">
          <cell r="G439">
            <v>38616</v>
          </cell>
          <cell r="H439">
            <v>38616</v>
          </cell>
          <cell r="I439">
            <v>0.12</v>
          </cell>
          <cell r="J439">
            <v>43882</v>
          </cell>
          <cell r="K439">
            <v>0.1</v>
          </cell>
          <cell r="L439">
            <v>42907</v>
          </cell>
        </row>
        <row r="440">
          <cell r="C440">
            <v>8010071386</v>
          </cell>
          <cell r="D440" t="str">
            <v>直通(PPR 配件)印尼绿色 dn160 (6") 联塑</v>
          </cell>
          <cell r="E440" t="str">
            <v>PPR Coupling dn160 (6") Green(INA) - LESSO</v>
          </cell>
        </row>
        <row r="440">
          <cell r="G440">
            <v>117800</v>
          </cell>
          <cell r="H440">
            <v>117800</v>
          </cell>
          <cell r="I440">
            <v>0.12</v>
          </cell>
          <cell r="J440">
            <v>133864</v>
          </cell>
          <cell r="K440">
            <v>0.1</v>
          </cell>
          <cell r="L440">
            <v>130889</v>
          </cell>
        </row>
        <row r="441">
          <cell r="C441">
            <v>8010072756</v>
          </cell>
          <cell r="D441" t="str">
            <v>异径套(PPR 配件)印尼绿色 dn20x16 联塑</v>
          </cell>
          <cell r="E441" t="str">
            <v>PPR Reducing Coupling dn20x16 Green(INA) - LESSO</v>
          </cell>
        </row>
        <row r="441">
          <cell r="G441">
            <v>1249</v>
          </cell>
          <cell r="H441">
            <v>1249</v>
          </cell>
          <cell r="I441">
            <v>0.12</v>
          </cell>
          <cell r="J441">
            <v>1420</v>
          </cell>
          <cell r="K441">
            <v>0.1</v>
          </cell>
          <cell r="L441">
            <v>1388</v>
          </cell>
        </row>
        <row r="442">
          <cell r="C442">
            <v>8010072757</v>
          </cell>
          <cell r="D442" t="str">
            <v>异径套(PPR 配件)印尼绿色 dn25x16 联塑</v>
          </cell>
          <cell r="E442" t="str">
            <v>PPR Reducing Coupling dn25x16 Green(INA) - LESSO</v>
          </cell>
        </row>
        <row r="442">
          <cell r="G442">
            <v>1665</v>
          </cell>
          <cell r="H442">
            <v>1665</v>
          </cell>
          <cell r="I442">
            <v>0.12</v>
          </cell>
          <cell r="J442">
            <v>1893</v>
          </cell>
          <cell r="K442">
            <v>0.1</v>
          </cell>
          <cell r="L442">
            <v>1850</v>
          </cell>
        </row>
        <row r="443">
          <cell r="C443">
            <v>8010072758</v>
          </cell>
          <cell r="D443" t="str">
            <v>异径套(PPR 配件)印尼绿色 dn32x16 联塑</v>
          </cell>
          <cell r="E443" t="str">
            <v>PPR Reducing Coupling dn32x16 Green(INA) - LESSO</v>
          </cell>
        </row>
        <row r="443">
          <cell r="G443">
            <v>1744</v>
          </cell>
          <cell r="H443">
            <v>1744</v>
          </cell>
          <cell r="I443">
            <v>0.12</v>
          </cell>
          <cell r="J443">
            <v>1982</v>
          </cell>
          <cell r="K443">
            <v>0.1</v>
          </cell>
          <cell r="L443">
            <v>1938</v>
          </cell>
        </row>
        <row r="444">
          <cell r="C444">
            <v>8010071445</v>
          </cell>
          <cell r="D444" t="str">
            <v>异径套(PPR 配件)印尼绿色 dn25x20 (3/4"x1/2") 联塑</v>
          </cell>
          <cell r="E444" t="str">
            <v>PPR Reducer dn25x20 (3/4"x1/2") Green(INA) - LESSO</v>
          </cell>
        </row>
        <row r="444">
          <cell r="G444">
            <v>1031</v>
          </cell>
          <cell r="H444">
            <v>1031</v>
          </cell>
          <cell r="I444">
            <v>0.12</v>
          </cell>
          <cell r="J444">
            <v>1172</v>
          </cell>
          <cell r="K444">
            <v>0.1</v>
          </cell>
          <cell r="L444">
            <v>1146</v>
          </cell>
        </row>
        <row r="445">
          <cell r="C445">
            <v>8010071446</v>
          </cell>
          <cell r="D445" t="str">
            <v>异径套(PPR 配件)印尼绿色 dn32x20 (1"x1/2") 联塑</v>
          </cell>
          <cell r="E445" t="str">
            <v>PPR Reducer dn32x20 (1"x1/2") Green(INA) - LESSO</v>
          </cell>
        </row>
        <row r="445">
          <cell r="G445">
            <v>1506</v>
          </cell>
          <cell r="H445">
            <v>1506</v>
          </cell>
          <cell r="I445">
            <v>0.12</v>
          </cell>
          <cell r="J445">
            <v>1712</v>
          </cell>
          <cell r="K445">
            <v>0.1</v>
          </cell>
          <cell r="L445">
            <v>1673</v>
          </cell>
        </row>
        <row r="446">
          <cell r="C446">
            <v>8010071447</v>
          </cell>
          <cell r="D446" t="str">
            <v>异径套(PPR 配件)印尼绿色 dn32x25 (1"x3/4") 联塑</v>
          </cell>
          <cell r="E446" t="str">
            <v>PPR Reducer dn32x25 (1"x3/4") Green(INA) - LESSO</v>
          </cell>
        </row>
        <row r="446">
          <cell r="G446">
            <v>1705</v>
          </cell>
          <cell r="H446">
            <v>1705</v>
          </cell>
          <cell r="I446">
            <v>0.12</v>
          </cell>
          <cell r="J446">
            <v>1938</v>
          </cell>
          <cell r="K446">
            <v>0.1</v>
          </cell>
          <cell r="L446">
            <v>1894</v>
          </cell>
        </row>
        <row r="447">
          <cell r="C447">
            <v>8010071448</v>
          </cell>
          <cell r="D447" t="str">
            <v>异径套(PPR 配件)印尼绿色 dn40x20 (1-1/4"x1/2") 联塑</v>
          </cell>
          <cell r="E447" t="str">
            <v>PPR Reducer dn40x20 (1-1/4"x1/2") Green(INA) - LESSO</v>
          </cell>
        </row>
        <row r="447">
          <cell r="G447">
            <v>2933</v>
          </cell>
          <cell r="H447">
            <v>2933</v>
          </cell>
          <cell r="I447">
            <v>0.12</v>
          </cell>
          <cell r="J447">
            <v>3333</v>
          </cell>
          <cell r="K447">
            <v>0.1</v>
          </cell>
          <cell r="L447">
            <v>3259</v>
          </cell>
        </row>
        <row r="448">
          <cell r="C448">
            <v>8010071449</v>
          </cell>
          <cell r="D448" t="str">
            <v>异径套(PPR 配件)印尼绿色 dn40x25 (1-1/4"x3/4") 联塑</v>
          </cell>
          <cell r="E448" t="str">
            <v>PPR Reducer dn40x25 (1-1/4"x3/4") Green(INA) - LESSO</v>
          </cell>
        </row>
        <row r="448">
          <cell r="G448">
            <v>3052</v>
          </cell>
          <cell r="H448">
            <v>3052</v>
          </cell>
          <cell r="I448">
            <v>0.12</v>
          </cell>
          <cell r="J448">
            <v>3469</v>
          </cell>
          <cell r="K448">
            <v>0.1</v>
          </cell>
          <cell r="L448">
            <v>3391</v>
          </cell>
        </row>
        <row r="449">
          <cell r="C449">
            <v>8010071450</v>
          </cell>
          <cell r="D449" t="str">
            <v>异径套(PPR 配件)印尼绿色 dn40x32 (1-1/4"x1") 联塑</v>
          </cell>
          <cell r="E449" t="str">
            <v>PPR Reducer dn40x32 (1-1/2"x1/2") Green(INA) - LESSO</v>
          </cell>
        </row>
        <row r="449">
          <cell r="G449">
            <v>3409</v>
          </cell>
          <cell r="H449">
            <v>3409</v>
          </cell>
          <cell r="I449">
            <v>0.12</v>
          </cell>
          <cell r="J449">
            <v>3874</v>
          </cell>
          <cell r="K449">
            <v>0.1</v>
          </cell>
          <cell r="L449">
            <v>3788</v>
          </cell>
        </row>
        <row r="450">
          <cell r="C450">
            <v>8010071451</v>
          </cell>
          <cell r="D450" t="str">
            <v>异径套(PPR 配件)印尼绿色 dn50x20 (1-1/2"x1/2") 联塑</v>
          </cell>
          <cell r="E450" t="str">
            <v>PPR Reducer dn50x20 Green(INA) - LESSO</v>
          </cell>
        </row>
        <row r="450">
          <cell r="G450">
            <v>4598</v>
          </cell>
          <cell r="H450">
            <v>4598</v>
          </cell>
          <cell r="I450">
            <v>0.12</v>
          </cell>
          <cell r="J450">
            <v>5225</v>
          </cell>
          <cell r="K450">
            <v>0.1</v>
          </cell>
          <cell r="L450">
            <v>5109</v>
          </cell>
        </row>
        <row r="451">
          <cell r="C451">
            <v>8010071452</v>
          </cell>
          <cell r="D451" t="str">
            <v>异径套(PPR 配件)印尼绿色 dn50x25 (1-1/2"x3/4") 联塑</v>
          </cell>
          <cell r="E451" t="str">
            <v>PPR Reducer dn50x25 (1-1/2"x3/4") Green(INA) - LESSO</v>
          </cell>
        </row>
        <row r="451">
          <cell r="G451">
            <v>5193</v>
          </cell>
          <cell r="H451">
            <v>5193</v>
          </cell>
          <cell r="I451">
            <v>0.12</v>
          </cell>
          <cell r="J451">
            <v>5902</v>
          </cell>
          <cell r="K451">
            <v>0.1</v>
          </cell>
          <cell r="L451">
            <v>5770</v>
          </cell>
        </row>
        <row r="452">
          <cell r="C452">
            <v>8010071453</v>
          </cell>
          <cell r="D452" t="str">
            <v>异径套(PPR 配件)印尼绿色 dn50x32 (1-1/2"x1") 联塑</v>
          </cell>
          <cell r="E452" t="str">
            <v>PPR Reducer dn50x32 (1-1/2"x1") Green(INA) - LESSO</v>
          </cell>
        </row>
        <row r="452">
          <cell r="G452">
            <v>5550</v>
          </cell>
          <cell r="H452">
            <v>5550</v>
          </cell>
          <cell r="I452">
            <v>0.12</v>
          </cell>
          <cell r="J452">
            <v>6307</v>
          </cell>
          <cell r="K452">
            <v>0.1</v>
          </cell>
          <cell r="L452">
            <v>6167</v>
          </cell>
        </row>
        <row r="453">
          <cell r="C453">
            <v>8010071454</v>
          </cell>
          <cell r="D453" t="str">
            <v>异径套(PPR 配件)印尼绿色 dn50x40 (1-1/2"x1-1/4") 联塑</v>
          </cell>
          <cell r="E453" t="str">
            <v>PPR Reducer dn50x40 (1-1/2"x1-1/4") Green(INA) - LESSO</v>
          </cell>
        </row>
        <row r="453">
          <cell r="G453">
            <v>6699</v>
          </cell>
          <cell r="H453">
            <v>6699</v>
          </cell>
          <cell r="I453">
            <v>0.12</v>
          </cell>
          <cell r="J453">
            <v>7613</v>
          </cell>
          <cell r="K453">
            <v>0.1</v>
          </cell>
          <cell r="L453">
            <v>7443</v>
          </cell>
        </row>
        <row r="454">
          <cell r="C454">
            <v>8010071455</v>
          </cell>
          <cell r="D454" t="str">
            <v>异径套(PPR 配件)印尼绿色 dn63x25 (2"x3/4") 联塑</v>
          </cell>
          <cell r="E454" t="str">
            <v>PPR Reducer dn63x25 (2"x3/4") Green(INA) - LESSO</v>
          </cell>
        </row>
        <row r="454">
          <cell r="G454">
            <v>8483</v>
          </cell>
          <cell r="H454">
            <v>8483</v>
          </cell>
          <cell r="I454">
            <v>0.12</v>
          </cell>
          <cell r="J454">
            <v>9640</v>
          </cell>
          <cell r="K454">
            <v>0.1</v>
          </cell>
          <cell r="L454">
            <v>9426</v>
          </cell>
        </row>
        <row r="455">
          <cell r="C455">
            <v>8010071456</v>
          </cell>
          <cell r="D455" t="str">
            <v>异径套(PPR 配件)印尼绿色 dn63x32 (2"x1") 联塑</v>
          </cell>
          <cell r="E455" t="str">
            <v>PPR Reducer dn63x32 (2"x1") Green(INA) - LESSO</v>
          </cell>
        </row>
        <row r="455">
          <cell r="G455">
            <v>8721</v>
          </cell>
          <cell r="H455">
            <v>8721</v>
          </cell>
          <cell r="I455">
            <v>0.12</v>
          </cell>
          <cell r="J455">
            <v>9911</v>
          </cell>
          <cell r="K455">
            <v>0.1</v>
          </cell>
          <cell r="L455">
            <v>9690</v>
          </cell>
        </row>
        <row r="456">
          <cell r="C456">
            <v>8010071457</v>
          </cell>
          <cell r="D456" t="str">
            <v>异径套(PPR 配件)印尼绿色 dn63x40 (2"x1-1/4") 联塑</v>
          </cell>
          <cell r="E456" t="str">
            <v>PPR Reducer dn63x40 (2"x1-1/4") Green(INA) - LESSO</v>
          </cell>
        </row>
        <row r="456">
          <cell r="G456">
            <v>8959</v>
          </cell>
          <cell r="H456">
            <v>8959</v>
          </cell>
          <cell r="I456">
            <v>0.12</v>
          </cell>
          <cell r="J456">
            <v>10181</v>
          </cell>
          <cell r="K456">
            <v>0.1</v>
          </cell>
          <cell r="L456">
            <v>9954</v>
          </cell>
        </row>
        <row r="457">
          <cell r="C457">
            <v>8010071458</v>
          </cell>
          <cell r="D457" t="str">
            <v>异径套(PPR 配件)印尼绿色 dn63x50 (2"x1-1/2") 联塑</v>
          </cell>
          <cell r="E457" t="str">
            <v>PPR Reducer dn63x50 (2"x1-1/2") Green(INA) - LESSO</v>
          </cell>
        </row>
        <row r="457">
          <cell r="G457">
            <v>9196</v>
          </cell>
          <cell r="H457">
            <v>9196</v>
          </cell>
          <cell r="I457">
            <v>0.12</v>
          </cell>
          <cell r="J457">
            <v>10450</v>
          </cell>
          <cell r="K457">
            <v>0.1</v>
          </cell>
          <cell r="L457">
            <v>10218</v>
          </cell>
        </row>
        <row r="458">
          <cell r="C458">
            <v>8010072361</v>
          </cell>
          <cell r="D458" t="str">
            <v>异径套(PPR 配件)印尼绿色 dn75x32 (2-1/2"x1") 联塑</v>
          </cell>
          <cell r="E458" t="str">
            <v>PPR REDUCER DN75x32 (2-1/2"x1") Green(INA) - LESSO</v>
          </cell>
        </row>
        <row r="458">
          <cell r="G458">
            <v>13081</v>
          </cell>
          <cell r="H458">
            <v>13081</v>
          </cell>
          <cell r="I458">
            <v>0.12</v>
          </cell>
          <cell r="J458">
            <v>14865</v>
          </cell>
          <cell r="K458">
            <v>0.1</v>
          </cell>
          <cell r="L458">
            <v>14534</v>
          </cell>
        </row>
        <row r="459">
          <cell r="C459">
            <v>8010071459</v>
          </cell>
          <cell r="D459" t="str">
            <v>异径套(PPR 配件)印尼绿色 dn75x40 (2-1/2"x1-1/4") 联塑</v>
          </cell>
          <cell r="E459" t="str">
            <v>PPR Reducer dn75x40 (2-1/2"x1-1/4") Green(INA) - LESSO</v>
          </cell>
        </row>
        <row r="459">
          <cell r="G459">
            <v>13636</v>
          </cell>
          <cell r="H459">
            <v>13636</v>
          </cell>
          <cell r="I459">
            <v>0.12</v>
          </cell>
          <cell r="J459">
            <v>15496</v>
          </cell>
          <cell r="K459">
            <v>0.1</v>
          </cell>
          <cell r="L459">
            <v>15151</v>
          </cell>
        </row>
        <row r="460">
          <cell r="C460">
            <v>8010071460</v>
          </cell>
          <cell r="D460" t="str">
            <v>异径套(PPR 配件)印尼绿色 dn75x50 (2-1/2"x1-1/2") 联塑</v>
          </cell>
          <cell r="E460" t="str">
            <v>PPR Reducer dn75x50 (2-1/2"x1-1/2") Green(INA) - LESSO</v>
          </cell>
        </row>
        <row r="460">
          <cell r="G460">
            <v>14112</v>
          </cell>
          <cell r="H460">
            <v>14112</v>
          </cell>
          <cell r="I460">
            <v>0.12</v>
          </cell>
          <cell r="J460">
            <v>16037</v>
          </cell>
          <cell r="K460">
            <v>0.1</v>
          </cell>
          <cell r="L460">
            <v>15680</v>
          </cell>
        </row>
        <row r="461">
          <cell r="C461">
            <v>8010071461</v>
          </cell>
          <cell r="D461" t="str">
            <v>异径套(PPR 配件)印尼绿色 dn75x63 (2-1/2"x2") 联塑</v>
          </cell>
          <cell r="E461" t="str">
            <v>PPR Reducer dn75x63 (2-1/2"x2") Green(INA) - LESSO</v>
          </cell>
        </row>
        <row r="461">
          <cell r="G461">
            <v>14350</v>
          </cell>
          <cell r="H461">
            <v>14350</v>
          </cell>
          <cell r="I461">
            <v>0.12</v>
          </cell>
          <cell r="J461">
            <v>16307</v>
          </cell>
          <cell r="K461">
            <v>0.1</v>
          </cell>
          <cell r="L461">
            <v>15944</v>
          </cell>
        </row>
        <row r="462">
          <cell r="C462">
            <v>8010071462</v>
          </cell>
          <cell r="D462" t="str">
            <v>异径套(PPR 配件)印尼绿色 dn90x40 (3"x1-1/4") 联塑</v>
          </cell>
          <cell r="E462" t="str">
            <v>PPR Reducer dn90x40 (3"x1-1/4") Green(INA) - LESSO</v>
          </cell>
        </row>
        <row r="462">
          <cell r="G462">
            <v>23070</v>
          </cell>
          <cell r="H462">
            <v>23070</v>
          </cell>
          <cell r="I462">
            <v>0.12</v>
          </cell>
          <cell r="J462">
            <v>26216</v>
          </cell>
          <cell r="K462">
            <v>0.1</v>
          </cell>
          <cell r="L462">
            <v>25633</v>
          </cell>
        </row>
        <row r="463">
          <cell r="C463">
            <v>8010071463</v>
          </cell>
          <cell r="D463" t="str">
            <v>异径套(PPR 配件)印尼绿色 dn90x50 (3"x1-1/2") 联塑</v>
          </cell>
          <cell r="E463" t="str">
            <v>PPR Reducer dn90x50 (3"x1-1/2") Green(INA) - LESSO</v>
          </cell>
        </row>
        <row r="463">
          <cell r="G463">
            <v>23308</v>
          </cell>
          <cell r="H463">
            <v>23308</v>
          </cell>
          <cell r="I463">
            <v>0.12</v>
          </cell>
          <cell r="J463">
            <v>26487</v>
          </cell>
          <cell r="K463">
            <v>0.1</v>
          </cell>
          <cell r="L463">
            <v>25898</v>
          </cell>
        </row>
        <row r="464">
          <cell r="C464">
            <v>8010071464</v>
          </cell>
          <cell r="D464" t="str">
            <v>异径套(PPR 配件)印尼绿色 dn90x63 (3"x2") 联塑</v>
          </cell>
          <cell r="E464" t="str">
            <v>PPR Reducer dn90x63 (3"x2") Green(INA) - LESSO</v>
          </cell>
        </row>
        <row r="464">
          <cell r="G464">
            <v>24259</v>
          </cell>
          <cell r="H464">
            <v>24259</v>
          </cell>
          <cell r="I464">
            <v>0.12</v>
          </cell>
          <cell r="J464">
            <v>27568</v>
          </cell>
          <cell r="K464">
            <v>0.1</v>
          </cell>
          <cell r="L464">
            <v>26954</v>
          </cell>
        </row>
        <row r="465">
          <cell r="C465">
            <v>8010071465</v>
          </cell>
          <cell r="D465" t="str">
            <v>异径套(PPR 配件)印尼绿色 dn90x75 (3"x2-1/2") 联塑</v>
          </cell>
          <cell r="E465" t="str">
            <v>PPR Reducer dn90x75 (3"x2-1/2") Green(INA) - LESSO</v>
          </cell>
        </row>
        <row r="465">
          <cell r="G465">
            <v>26004</v>
          </cell>
          <cell r="H465">
            <v>26004</v>
          </cell>
          <cell r="I465">
            <v>0.12</v>
          </cell>
          <cell r="J465">
            <v>29550</v>
          </cell>
          <cell r="K465">
            <v>0.1</v>
          </cell>
          <cell r="L465">
            <v>28893</v>
          </cell>
        </row>
        <row r="466">
          <cell r="C466">
            <v>8010071466</v>
          </cell>
          <cell r="D466" t="str">
            <v>异径套(PPR 配件)印尼绿色 dn110x50 (4"x1-1/2") 联塑</v>
          </cell>
          <cell r="E466" t="str">
            <v>PPR Reducer dn110x50 (4"x1-1/2") Green(INA) - LESSO</v>
          </cell>
        </row>
        <row r="466">
          <cell r="G466">
            <v>39085</v>
          </cell>
          <cell r="H466">
            <v>39085</v>
          </cell>
          <cell r="I466">
            <v>0.12</v>
          </cell>
          <cell r="J466">
            <v>44415</v>
          </cell>
          <cell r="K466">
            <v>0.1</v>
          </cell>
          <cell r="L466">
            <v>43428</v>
          </cell>
        </row>
        <row r="467">
          <cell r="C467">
            <v>8010071467</v>
          </cell>
          <cell r="D467" t="str">
            <v>异径套(PPR 配件)印尼绿色 dn110x63 (4"x2") 联塑</v>
          </cell>
          <cell r="E467" t="str">
            <v>PPR Reducer dn110x63 (4"x2") Green(INA) - LESSO</v>
          </cell>
        </row>
        <row r="467">
          <cell r="G467">
            <v>37658</v>
          </cell>
          <cell r="H467">
            <v>37658</v>
          </cell>
          <cell r="I467">
            <v>0.12</v>
          </cell>
          <cell r="J467">
            <v>42794</v>
          </cell>
          <cell r="K467">
            <v>0.1</v>
          </cell>
          <cell r="L467">
            <v>41842</v>
          </cell>
        </row>
        <row r="468">
          <cell r="C468">
            <v>8010071468</v>
          </cell>
          <cell r="D468" t="str">
            <v>异径套(PPR 配件)印尼绿色 dn110x75 (4"x2-1/2") 联塑</v>
          </cell>
          <cell r="E468" t="str">
            <v>PPR Reducer dn110x75 (4"x2-1/2") Green(INA) - LESSO</v>
          </cell>
        </row>
        <row r="468">
          <cell r="G468">
            <v>55892</v>
          </cell>
          <cell r="H468">
            <v>55892</v>
          </cell>
          <cell r="I468">
            <v>0.12</v>
          </cell>
          <cell r="J468">
            <v>63514</v>
          </cell>
          <cell r="K468">
            <v>0.1</v>
          </cell>
          <cell r="L468">
            <v>62102</v>
          </cell>
        </row>
        <row r="469">
          <cell r="C469">
            <v>8010071469</v>
          </cell>
          <cell r="D469" t="str">
            <v>异径套(PPR 配件)印尼绿色 dn110x90 (4"x3") 联塑</v>
          </cell>
          <cell r="E469" t="str">
            <v>PPR Reducer dn 110x90 (4"x3") Green(INA) - LESSO</v>
          </cell>
        </row>
        <row r="469">
          <cell r="G469">
            <v>42375</v>
          </cell>
          <cell r="H469">
            <v>42375</v>
          </cell>
          <cell r="I469">
            <v>0.12</v>
          </cell>
          <cell r="J469">
            <v>48154</v>
          </cell>
          <cell r="K469">
            <v>0.1</v>
          </cell>
          <cell r="L469">
            <v>47083</v>
          </cell>
        </row>
        <row r="470">
          <cell r="C470">
            <v>8010071470</v>
          </cell>
          <cell r="D470" t="str">
            <v>异径套(PPR 配件)印尼绿色 dn160x110 (6"x4") 联塑</v>
          </cell>
          <cell r="E470" t="str">
            <v>PPR Reducer dn160x110 (6"x4") Green(INA) - LESSO</v>
          </cell>
        </row>
        <row r="470">
          <cell r="G470">
            <v>131802</v>
          </cell>
          <cell r="H470">
            <v>131802</v>
          </cell>
          <cell r="I470">
            <v>0.12</v>
          </cell>
          <cell r="J470">
            <v>149775</v>
          </cell>
          <cell r="K470">
            <v>0.1</v>
          </cell>
          <cell r="L470">
            <v>146447</v>
          </cell>
        </row>
        <row r="471">
          <cell r="C471">
            <v>8010071331</v>
          </cell>
          <cell r="D471" t="str">
            <v>法兰套(PPR 配件)印尼绿色 dn40 (1-1/4") 联塑</v>
          </cell>
          <cell r="E471" t="str">
            <v>PPR Stub Flange dn40 (1-1/4") Green(INA) - LESSO</v>
          </cell>
        </row>
        <row r="471">
          <cell r="G471">
            <v>5906</v>
          </cell>
          <cell r="H471">
            <v>5906</v>
          </cell>
          <cell r="I471">
            <v>0.12</v>
          </cell>
          <cell r="J471">
            <v>6712</v>
          </cell>
          <cell r="K471">
            <v>0.1</v>
          </cell>
          <cell r="L471">
            <v>6562</v>
          </cell>
        </row>
        <row r="472">
          <cell r="C472">
            <v>8010071332</v>
          </cell>
          <cell r="D472" t="str">
            <v>法兰套(PPR 配件)印尼绿色 dn50 (1-1/2") 联塑</v>
          </cell>
          <cell r="E472" t="str">
            <v>PPR Stub Flange dn50 (1-1/2") Green(INA) - LESSO</v>
          </cell>
        </row>
        <row r="472">
          <cell r="G472">
            <v>8602</v>
          </cell>
          <cell r="H472">
            <v>8602</v>
          </cell>
          <cell r="I472">
            <v>0.12</v>
          </cell>
          <cell r="J472">
            <v>9775</v>
          </cell>
          <cell r="K472">
            <v>0.1</v>
          </cell>
          <cell r="L472">
            <v>9558</v>
          </cell>
        </row>
        <row r="473">
          <cell r="C473">
            <v>8010071333</v>
          </cell>
          <cell r="D473" t="str">
            <v>法兰套(PPR 配件)印尼绿色 dn63 (2") 联塑</v>
          </cell>
          <cell r="E473" t="str">
            <v>PPR Stub Flange dn63 (2") Green(INA) - LESSO</v>
          </cell>
        </row>
        <row r="473">
          <cell r="G473">
            <v>17441</v>
          </cell>
          <cell r="H473">
            <v>17441</v>
          </cell>
          <cell r="I473">
            <v>0.12</v>
          </cell>
          <cell r="J473">
            <v>19820</v>
          </cell>
          <cell r="K473">
            <v>0.1</v>
          </cell>
          <cell r="L473">
            <v>19379</v>
          </cell>
        </row>
        <row r="474">
          <cell r="C474">
            <v>8010071341</v>
          </cell>
          <cell r="D474" t="str">
            <v>法兰套(PPR 配件)印尼绿色 dn75 (2-1/2") 联塑</v>
          </cell>
          <cell r="E474" t="str">
            <v>PPR Stub Flange dn75 (2-1/2") Green(INA) - LESSO</v>
          </cell>
        </row>
        <row r="474">
          <cell r="G474">
            <v>19780</v>
          </cell>
          <cell r="H474">
            <v>19780</v>
          </cell>
          <cell r="I474">
            <v>0.12</v>
          </cell>
          <cell r="J474">
            <v>22478</v>
          </cell>
          <cell r="K474">
            <v>0.1</v>
          </cell>
          <cell r="L474">
            <v>21978</v>
          </cell>
        </row>
        <row r="475">
          <cell r="C475">
            <v>8010071334</v>
          </cell>
          <cell r="D475" t="str">
            <v>法兰套(PPR 配件)印尼绿色 dn90 (3") 联塑</v>
          </cell>
          <cell r="E475" t="str">
            <v>PPR Stub Flange dn90 (3") Green(INA) - LESSO</v>
          </cell>
        </row>
        <row r="475">
          <cell r="G475">
            <v>32980</v>
          </cell>
          <cell r="H475">
            <v>32980</v>
          </cell>
          <cell r="I475">
            <v>0.12</v>
          </cell>
          <cell r="J475">
            <v>37478</v>
          </cell>
          <cell r="K475">
            <v>0.1</v>
          </cell>
          <cell r="L475">
            <v>36644</v>
          </cell>
        </row>
        <row r="476">
          <cell r="C476">
            <v>8010071335</v>
          </cell>
          <cell r="D476" t="str">
            <v>法兰套(PPR 配件)印尼绿色 dn110 (4") 联塑</v>
          </cell>
          <cell r="E476" t="str">
            <v>PPR Stub Flange dn110 (4") Green(INA) - LESSO</v>
          </cell>
        </row>
        <row r="476">
          <cell r="G476">
            <v>52959</v>
          </cell>
          <cell r="H476">
            <v>52959</v>
          </cell>
          <cell r="I476">
            <v>0.12</v>
          </cell>
          <cell r="J476">
            <v>60181</v>
          </cell>
          <cell r="K476">
            <v>0.1</v>
          </cell>
          <cell r="L476">
            <v>58843</v>
          </cell>
        </row>
        <row r="477">
          <cell r="C477">
            <v>8010071336</v>
          </cell>
          <cell r="D477" t="str">
            <v>法兰套(PPR 配件)印尼绿色 dn160 (6") 联塑</v>
          </cell>
          <cell r="E477" t="str">
            <v>PPR Stub Flange dn160 (6") Green(INA) - LESSO</v>
          </cell>
        </row>
        <row r="477">
          <cell r="G477">
            <v>189477</v>
          </cell>
          <cell r="H477">
            <v>189477</v>
          </cell>
          <cell r="I477">
            <v>0.12</v>
          </cell>
          <cell r="J477">
            <v>215315</v>
          </cell>
          <cell r="K477">
            <v>0.1</v>
          </cell>
          <cell r="L477">
            <v>210530</v>
          </cell>
        </row>
        <row r="478">
          <cell r="C478" t="str">
            <v>DS70232</v>
          </cell>
          <cell r="D478" t="str">
            <v>dn110 法兰（钢托盘）- DS</v>
          </cell>
          <cell r="E478" t="str">
            <v>dn110 Flange (Steel Tray) - DS</v>
          </cell>
        </row>
        <row r="478">
          <cell r="G478">
            <v>113000</v>
          </cell>
          <cell r="H478">
            <v>113000</v>
          </cell>
          <cell r="I478">
            <v>0.2</v>
          </cell>
          <cell r="J478">
            <v>141250</v>
          </cell>
          <cell r="K478">
            <v>0.2</v>
          </cell>
          <cell r="L478">
            <v>141250</v>
          </cell>
        </row>
        <row r="479">
          <cell r="C479" t="str">
            <v>DS70233</v>
          </cell>
          <cell r="D479" t="str">
            <v>dn160 法兰（钢托盘）- DS</v>
          </cell>
          <cell r="E479" t="str">
            <v>dn160 Flange (Steel Tray) - DS</v>
          </cell>
        </row>
        <row r="479">
          <cell r="G479">
            <v>192500</v>
          </cell>
          <cell r="H479">
            <v>192500</v>
          </cell>
          <cell r="I479">
            <v>0.2</v>
          </cell>
          <cell r="J479">
            <v>240625</v>
          </cell>
          <cell r="K479">
            <v>0.2</v>
          </cell>
          <cell r="L479">
            <v>240625</v>
          </cell>
        </row>
        <row r="480">
          <cell r="C480" t="str">
            <v>DS70234</v>
          </cell>
          <cell r="D480" t="str">
            <v>dn40 法兰（钢托盘）- DS</v>
          </cell>
          <cell r="E480" t="str">
            <v>dn40 Flange (Steel Tray) - DS</v>
          </cell>
        </row>
        <row r="480">
          <cell r="G480">
            <v>33500</v>
          </cell>
          <cell r="H480">
            <v>33500</v>
          </cell>
          <cell r="I480">
            <v>0.2</v>
          </cell>
          <cell r="J480">
            <v>41875</v>
          </cell>
          <cell r="K480">
            <v>0.2</v>
          </cell>
          <cell r="L480">
            <v>41875</v>
          </cell>
        </row>
        <row r="481">
          <cell r="C481" t="str">
            <v>DS70235</v>
          </cell>
          <cell r="D481" t="str">
            <v>dn50 法兰（钢托盘）- DS</v>
          </cell>
          <cell r="E481" t="str">
            <v>dn50 Flange (Steel Tray) - DS</v>
          </cell>
        </row>
        <row r="481">
          <cell r="G481">
            <v>39500</v>
          </cell>
          <cell r="H481">
            <v>39500</v>
          </cell>
          <cell r="I481">
            <v>0.2</v>
          </cell>
          <cell r="J481">
            <v>49375</v>
          </cell>
          <cell r="K481">
            <v>0.2</v>
          </cell>
          <cell r="L481">
            <v>49375</v>
          </cell>
        </row>
        <row r="482">
          <cell r="C482" t="str">
            <v>DS70236</v>
          </cell>
          <cell r="D482" t="str">
            <v>dn63 法兰（钢托盘）- DS</v>
          </cell>
          <cell r="E482" t="str">
            <v>dn63 Flange (Steel Tray) - DS</v>
          </cell>
        </row>
        <row r="482">
          <cell r="G482">
            <v>50500</v>
          </cell>
          <cell r="H482">
            <v>50500</v>
          </cell>
          <cell r="I482">
            <v>0.2</v>
          </cell>
          <cell r="J482">
            <v>63125</v>
          </cell>
          <cell r="K482">
            <v>0.2</v>
          </cell>
          <cell r="L482">
            <v>63125</v>
          </cell>
        </row>
        <row r="483">
          <cell r="C483" t="str">
            <v>DS70237</v>
          </cell>
          <cell r="D483" t="str">
            <v>dn75 法兰（钢托盘）- DS</v>
          </cell>
          <cell r="E483" t="str">
            <v>dn75 Flange (Steel Tray) - DS</v>
          </cell>
        </row>
        <row r="483">
          <cell r="G483">
            <v>76500</v>
          </cell>
          <cell r="H483">
            <v>76500</v>
          </cell>
          <cell r="I483">
            <v>0.2</v>
          </cell>
          <cell r="J483">
            <v>95625</v>
          </cell>
          <cell r="K483">
            <v>0.2</v>
          </cell>
          <cell r="L483">
            <v>95625</v>
          </cell>
        </row>
        <row r="484">
          <cell r="C484" t="str">
            <v>DS70238</v>
          </cell>
          <cell r="D484" t="str">
            <v>dn90 法兰（钢托盘）- DS</v>
          </cell>
          <cell r="E484" t="str">
            <v>dn90 Flange (Steel Tray) - DS</v>
          </cell>
        </row>
        <row r="484">
          <cell r="G484">
            <v>95500</v>
          </cell>
          <cell r="H484">
            <v>95500</v>
          </cell>
          <cell r="I484">
            <v>0.2</v>
          </cell>
          <cell r="J484">
            <v>119375</v>
          </cell>
          <cell r="K484">
            <v>0.2</v>
          </cell>
          <cell r="L484">
            <v>119375</v>
          </cell>
        </row>
        <row r="485">
          <cell r="C485" t="str">
            <v>6900010080150</v>
          </cell>
          <cell r="D485" t="str">
            <v>4.8级镀锌（一套4个螺栓）</v>
          </cell>
          <cell r="E485" t="str">
            <v>4.8 hex bolt+nut  M16 X 80 MM (dn40,50,63,75) (Galvanis)</v>
          </cell>
        </row>
        <row r="485">
          <cell r="G485">
            <v>4050</v>
          </cell>
          <cell r="H485">
            <v>4050</v>
          </cell>
          <cell r="I485">
            <v>0.5</v>
          </cell>
          <cell r="J485">
            <v>8100</v>
          </cell>
          <cell r="K485">
            <v>0.5</v>
          </cell>
          <cell r="L485">
            <v>8100</v>
          </cell>
        </row>
        <row r="486">
          <cell r="C486" t="str">
            <v>6900010080217</v>
          </cell>
          <cell r="D486" t="str">
            <v>8.8级外六角螺栓</v>
          </cell>
          <cell r="E486" t="str">
            <v>8.8 hex bolt+nut  M16 X 80 MM (dn40,50,63,75) (Baja)</v>
          </cell>
        </row>
        <row r="486">
          <cell r="G486">
            <v>7985</v>
          </cell>
          <cell r="H486">
            <v>7985</v>
          </cell>
          <cell r="I486">
            <v>0.2</v>
          </cell>
          <cell r="J486">
            <v>9982</v>
          </cell>
          <cell r="K486">
            <v>0.2</v>
          </cell>
          <cell r="L486">
            <v>9981</v>
          </cell>
        </row>
        <row r="487">
          <cell r="C487" t="str">
            <v>6900010080151</v>
          </cell>
          <cell r="D487" t="str">
            <v>4.8级镀锌（一套8个螺栓）</v>
          </cell>
          <cell r="E487" t="str">
            <v>4.8 hex bolt+nut  M16 X 100 MM (dn90, dn110) (Galvanis)</v>
          </cell>
        </row>
        <row r="487">
          <cell r="G487">
            <v>4720</v>
          </cell>
          <cell r="H487">
            <v>4720</v>
          </cell>
          <cell r="I487">
            <v>0.5</v>
          </cell>
          <cell r="J487">
            <v>9440</v>
          </cell>
          <cell r="K487">
            <v>0.5</v>
          </cell>
          <cell r="L487">
            <v>9440</v>
          </cell>
        </row>
        <row r="488">
          <cell r="C488" t="str">
            <v>6900010080218</v>
          </cell>
          <cell r="D488" t="str">
            <v>8.8级外六角螺栓</v>
          </cell>
          <cell r="E488" t="str">
            <v>8.8 hex bolt+nut  M16 X 100 MM (dn90, dn110)</v>
          </cell>
        </row>
        <row r="488">
          <cell r="G488">
            <v>7930</v>
          </cell>
          <cell r="H488">
            <v>7930</v>
          </cell>
          <cell r="I488">
            <v>0.2</v>
          </cell>
          <cell r="J488">
            <v>9913</v>
          </cell>
          <cell r="K488">
            <v>0.2</v>
          </cell>
          <cell r="L488">
            <v>9913</v>
          </cell>
        </row>
        <row r="489">
          <cell r="C489" t="str">
            <v>6900010080230</v>
          </cell>
          <cell r="D489" t="str">
            <v>8.8级外六角螺栓</v>
          </cell>
          <cell r="E489" t="str">
            <v>8.8 hex bolt+nut  M20 X 150 MM (Baja) (dn160)</v>
          </cell>
        </row>
        <row r="489">
          <cell r="G489">
            <v>13590</v>
          </cell>
          <cell r="H489">
            <v>13590</v>
          </cell>
          <cell r="I489">
            <v>0.2</v>
          </cell>
          <cell r="J489">
            <v>16988</v>
          </cell>
          <cell r="K489">
            <v>0.2</v>
          </cell>
          <cell r="L489">
            <v>16988</v>
          </cell>
        </row>
        <row r="490">
          <cell r="D490" t="str">
            <v>dn40 法兰（PPR托盘）- DIZAYN</v>
          </cell>
          <cell r="E490" t="str">
            <v>dn40 Flange DISC PPR PN25</v>
          </cell>
          <cell r="F490" t="str">
            <v>需要外采，不能当天送货。报价是要把快递费用加上</v>
          </cell>
          <cell r="G490" t="e">
            <v>#N/A</v>
          </cell>
          <cell r="H490">
            <v>41275</v>
          </cell>
          <cell r="I490">
            <v>0.2</v>
          </cell>
          <cell r="J490">
            <v>51594</v>
          </cell>
          <cell r="K490">
            <v>0.2</v>
          </cell>
          <cell r="L490">
            <v>51594</v>
          </cell>
        </row>
        <row r="491">
          <cell r="D491" t="str">
            <v>dn50 法兰（PPR托盘）- DIZAYN</v>
          </cell>
          <cell r="E491" t="str">
            <v>dn50 Flange DISC PPR PN25</v>
          </cell>
        </row>
        <row r="491">
          <cell r="G491" t="e">
            <v>#N/A</v>
          </cell>
          <cell r="H491">
            <v>55000</v>
          </cell>
          <cell r="I491">
            <v>0.2</v>
          </cell>
          <cell r="J491">
            <v>68750</v>
          </cell>
          <cell r="K491">
            <v>0.2</v>
          </cell>
          <cell r="L491">
            <v>68750</v>
          </cell>
        </row>
        <row r="492">
          <cell r="D492" t="str">
            <v>dn63 法兰（PPR托盘）- DIZAYN</v>
          </cell>
          <cell r="E492" t="str">
            <v>dn63 Flange DISC PPR PN25</v>
          </cell>
        </row>
        <row r="492">
          <cell r="G492" t="e">
            <v>#N/A</v>
          </cell>
          <cell r="H492">
            <v>68775</v>
          </cell>
          <cell r="I492">
            <v>0.2</v>
          </cell>
          <cell r="J492">
            <v>85969</v>
          </cell>
          <cell r="K492">
            <v>0.2</v>
          </cell>
          <cell r="L492">
            <v>85969</v>
          </cell>
        </row>
        <row r="493">
          <cell r="D493" t="str">
            <v>dn75 法兰（PPR托盘）- DIZAYN</v>
          </cell>
          <cell r="E493" t="str">
            <v>dn75 Flange DISC PPR PN25</v>
          </cell>
        </row>
        <row r="493">
          <cell r="G493" t="e">
            <v>#N/A</v>
          </cell>
          <cell r="H493">
            <v>82500</v>
          </cell>
          <cell r="I493">
            <v>0.2</v>
          </cell>
          <cell r="J493">
            <v>103125</v>
          </cell>
          <cell r="K493">
            <v>0.2</v>
          </cell>
          <cell r="L493">
            <v>103125</v>
          </cell>
        </row>
        <row r="494">
          <cell r="D494" t="str">
            <v>dn90 法兰（PPR托盘）- DIZAYN</v>
          </cell>
          <cell r="E494" t="str">
            <v>dn90 Flange DISC PPR PN25</v>
          </cell>
        </row>
        <row r="494">
          <cell r="G494" t="e">
            <v>#N/A</v>
          </cell>
          <cell r="H494">
            <v>137500</v>
          </cell>
          <cell r="I494">
            <v>0.2</v>
          </cell>
          <cell r="J494">
            <v>171875</v>
          </cell>
          <cell r="K494">
            <v>0.2</v>
          </cell>
          <cell r="L494">
            <v>171875</v>
          </cell>
        </row>
        <row r="495">
          <cell r="D495" t="str">
            <v>dn110 法兰（PPR托盘）- DIZAYN</v>
          </cell>
          <cell r="E495" t="str">
            <v>dn110 Flange DISC PPR PN25</v>
          </cell>
        </row>
        <row r="495">
          <cell r="G495" t="e">
            <v>#N/A</v>
          </cell>
          <cell r="H495">
            <v>171925</v>
          </cell>
          <cell r="I495">
            <v>0.2</v>
          </cell>
          <cell r="J495">
            <v>214907</v>
          </cell>
          <cell r="K495">
            <v>0.2</v>
          </cell>
          <cell r="L495">
            <v>214906</v>
          </cell>
        </row>
        <row r="496">
          <cell r="D496" t="str">
            <v>dn125 法兰（PPR托盘）- DIZAYN</v>
          </cell>
          <cell r="E496" t="str">
            <v>dn125 Flange DISC PPR PN25</v>
          </cell>
        </row>
        <row r="496">
          <cell r="G496" t="e">
            <v>#N/A</v>
          </cell>
          <cell r="H496">
            <v>255150</v>
          </cell>
          <cell r="I496">
            <v>0.2</v>
          </cell>
          <cell r="J496">
            <v>318938</v>
          </cell>
          <cell r="K496">
            <v>0.2</v>
          </cell>
          <cell r="L496">
            <v>318938</v>
          </cell>
        </row>
        <row r="497">
          <cell r="D497" t="str">
            <v>dn160 法兰（PPR托盘）- DIZAYN</v>
          </cell>
          <cell r="E497" t="str">
            <v>dn160 Flange DISC PPR PN25</v>
          </cell>
        </row>
        <row r="497">
          <cell r="G497" t="e">
            <v>#N/A</v>
          </cell>
          <cell r="H497">
            <v>309425</v>
          </cell>
          <cell r="I497">
            <v>0.2</v>
          </cell>
          <cell r="J497">
            <v>386782</v>
          </cell>
          <cell r="K497">
            <v>0.2</v>
          </cell>
          <cell r="L497">
            <v>386781</v>
          </cell>
        </row>
        <row r="498">
          <cell r="C498">
            <v>8010070749</v>
          </cell>
          <cell r="D498" t="str">
            <v>法兰橡胶垫圈(PPR 配件)黑色 dn40 (1-1/4") 联塑</v>
          </cell>
          <cell r="E498" t="str">
            <v>PPR Rubber Gasket dn40 (1-1/4") Black - LESSO</v>
          </cell>
        </row>
        <row r="498">
          <cell r="G498">
            <v>1665</v>
          </cell>
          <cell r="H498">
            <v>1665</v>
          </cell>
          <cell r="I498">
            <v>0.2</v>
          </cell>
          <cell r="J498">
            <v>2082</v>
          </cell>
          <cell r="K498">
            <v>0.2</v>
          </cell>
          <cell r="L498">
            <v>2081</v>
          </cell>
        </row>
        <row r="499">
          <cell r="C499">
            <v>8010070750</v>
          </cell>
          <cell r="D499" t="str">
            <v>法兰橡胶垫圈(PPR 配件)黑色 dn50 (1-1/2") 联塑</v>
          </cell>
          <cell r="E499" t="str">
            <v>PPR Rubber Gasket dn50 (1-1/2") Black - LESSO</v>
          </cell>
        </row>
        <row r="499">
          <cell r="G499">
            <v>3132</v>
          </cell>
          <cell r="H499">
            <v>3132</v>
          </cell>
          <cell r="I499">
            <v>0.12</v>
          </cell>
          <cell r="J499">
            <v>3560</v>
          </cell>
          <cell r="K499">
            <v>0.2</v>
          </cell>
          <cell r="L499">
            <v>3915</v>
          </cell>
        </row>
        <row r="500">
          <cell r="C500">
            <v>8010070751</v>
          </cell>
          <cell r="D500" t="str">
            <v>法兰橡胶垫圈(PPR 配件)黑色 dn63 (2") 联塑</v>
          </cell>
          <cell r="E500" t="str">
            <v>PPR Rubber Gasket dn63 (2") Black - LESSO</v>
          </cell>
        </row>
        <row r="500">
          <cell r="G500">
            <v>3330</v>
          </cell>
          <cell r="H500">
            <v>3330</v>
          </cell>
          <cell r="I500">
            <v>0.12</v>
          </cell>
          <cell r="J500">
            <v>3785</v>
          </cell>
          <cell r="K500">
            <v>0.1</v>
          </cell>
          <cell r="L500">
            <v>3700</v>
          </cell>
        </row>
        <row r="501">
          <cell r="C501">
            <v>8010070752</v>
          </cell>
          <cell r="D501" t="str">
            <v>法兰橡胶垫圈(PPR 配件)黑色 dn75 (2-1/2") 联塑</v>
          </cell>
          <cell r="E501" t="str">
            <v>PPR Rubber Gasket dn75 (2-1/2") Black - LESSO</v>
          </cell>
        </row>
        <row r="501">
          <cell r="G501">
            <v>4955</v>
          </cell>
          <cell r="H501">
            <v>4955</v>
          </cell>
          <cell r="I501">
            <v>0.12</v>
          </cell>
          <cell r="J501">
            <v>5631</v>
          </cell>
          <cell r="K501">
            <v>0.1</v>
          </cell>
          <cell r="L501">
            <v>5506</v>
          </cell>
        </row>
        <row r="502">
          <cell r="C502">
            <v>8010070753</v>
          </cell>
          <cell r="D502" t="str">
            <v>法兰橡胶垫圈(PPR 配件)黑色 dn90 (3") 联塑</v>
          </cell>
          <cell r="E502" t="str">
            <v>PPR Rubber Gasket dn90 (3") Black - LESSO</v>
          </cell>
        </row>
        <row r="502">
          <cell r="G502">
            <v>5906</v>
          </cell>
          <cell r="H502">
            <v>5906</v>
          </cell>
          <cell r="I502">
            <v>0.12</v>
          </cell>
          <cell r="J502">
            <v>6712</v>
          </cell>
          <cell r="K502">
            <v>0.1</v>
          </cell>
          <cell r="L502">
            <v>6562</v>
          </cell>
        </row>
        <row r="503">
          <cell r="C503">
            <v>8010070747</v>
          </cell>
          <cell r="D503" t="str">
            <v>法兰橡胶垫圈(PPR 配件)黑色 dn110 (4") 联塑</v>
          </cell>
          <cell r="E503" t="str">
            <v>PPR Rubber Gasket dn110 (4") Black - LESSO</v>
          </cell>
        </row>
        <row r="503">
          <cell r="G503">
            <v>6699</v>
          </cell>
          <cell r="H503">
            <v>6699</v>
          </cell>
          <cell r="I503">
            <v>0.12</v>
          </cell>
          <cell r="J503">
            <v>7613</v>
          </cell>
          <cell r="K503">
            <v>0.1</v>
          </cell>
          <cell r="L503">
            <v>7443</v>
          </cell>
        </row>
        <row r="504">
          <cell r="C504">
            <v>8010070748</v>
          </cell>
          <cell r="D504" t="str">
            <v>法兰橡胶垫圈(PPR 配件)黑色 dn160 (6") 联塑</v>
          </cell>
          <cell r="E504" t="str">
            <v>PPR Rubber Gasket dn160 (6") Black - LESSO</v>
          </cell>
        </row>
        <row r="504">
          <cell r="G504">
            <v>11773</v>
          </cell>
          <cell r="H504">
            <v>11773</v>
          </cell>
          <cell r="I504">
            <v>0.12</v>
          </cell>
          <cell r="J504">
            <v>13379</v>
          </cell>
          <cell r="K504">
            <v>0.1</v>
          </cell>
          <cell r="L504">
            <v>13081</v>
          </cell>
        </row>
        <row r="505">
          <cell r="C505">
            <v>8010071443</v>
          </cell>
          <cell r="D505" t="str">
            <v>45°弯头(PPR 配件)印尼绿色 dn110 (4") 联塑</v>
          </cell>
          <cell r="E505" t="str">
            <v>PPR 45° Elbow dn110 (4") Green(INA) - LESSO</v>
          </cell>
        </row>
        <row r="505">
          <cell r="G505">
            <v>72977</v>
          </cell>
          <cell r="H505">
            <v>72977</v>
          </cell>
          <cell r="I505">
            <v>0.12</v>
          </cell>
          <cell r="J505">
            <v>82929</v>
          </cell>
          <cell r="K505">
            <v>0.1</v>
          </cell>
          <cell r="L505">
            <v>81086</v>
          </cell>
        </row>
        <row r="506">
          <cell r="C506">
            <v>8010072707</v>
          </cell>
          <cell r="D506" t="str">
            <v>45°弯头(PPR 配件)印尼绿色 dn16 联塑</v>
          </cell>
          <cell r="E506" t="str">
            <v>PPR 45° Elbow dn16 Green(INA) - LESSO</v>
          </cell>
        </row>
        <row r="506">
          <cell r="G506">
            <v>832</v>
          </cell>
          <cell r="H506">
            <v>832</v>
          </cell>
          <cell r="I506">
            <v>0.12</v>
          </cell>
          <cell r="J506">
            <v>946</v>
          </cell>
          <cell r="K506">
            <v>0.1</v>
          </cell>
          <cell r="L506">
            <v>924</v>
          </cell>
        </row>
        <row r="507">
          <cell r="C507">
            <v>8010071444</v>
          </cell>
          <cell r="D507" t="str">
            <v>45°弯头(PPR 配件)印尼绿色 dn160 (6") 联塑</v>
          </cell>
          <cell r="E507" t="str">
            <v>PPR 45° Elbow dn160 (6") Green(INA) - LESSO</v>
          </cell>
        </row>
        <row r="507">
          <cell r="G507">
            <v>268321</v>
          </cell>
          <cell r="H507">
            <v>268321</v>
          </cell>
          <cell r="I507">
            <v>0.12</v>
          </cell>
          <cell r="J507">
            <v>304911</v>
          </cell>
          <cell r="K507">
            <v>0.1</v>
          </cell>
          <cell r="L507">
            <v>298134</v>
          </cell>
        </row>
        <row r="508">
          <cell r="C508">
            <v>8010071435</v>
          </cell>
          <cell r="D508" t="str">
            <v>45°弯头(PPR 配件)印尼绿色 dn20 (1/2") 联塑</v>
          </cell>
          <cell r="E508" t="str">
            <v>PPR 45° Elbow dn20 (1/2") Green(INA) - LESSO</v>
          </cell>
        </row>
        <row r="508">
          <cell r="G508">
            <v>1070</v>
          </cell>
          <cell r="H508">
            <v>1070</v>
          </cell>
          <cell r="I508">
            <v>0.12</v>
          </cell>
          <cell r="J508">
            <v>1216</v>
          </cell>
          <cell r="K508">
            <v>0.1</v>
          </cell>
          <cell r="L508">
            <v>1189</v>
          </cell>
        </row>
        <row r="509">
          <cell r="C509">
            <v>8010071436</v>
          </cell>
          <cell r="D509" t="str">
            <v>45°弯头(PPR 配件)印尼绿色 dn25 (3/4") 联塑</v>
          </cell>
          <cell r="E509" t="str">
            <v>PPR 45° Elbow dn25 (3/4") Green(INA) - LESSO</v>
          </cell>
        </row>
        <row r="509">
          <cell r="G509">
            <v>1546</v>
          </cell>
          <cell r="H509">
            <v>1546</v>
          </cell>
          <cell r="I509">
            <v>0.12</v>
          </cell>
          <cell r="J509">
            <v>1757</v>
          </cell>
          <cell r="K509">
            <v>0.1</v>
          </cell>
          <cell r="L509">
            <v>1718</v>
          </cell>
        </row>
        <row r="510">
          <cell r="C510">
            <v>8010071437</v>
          </cell>
          <cell r="D510" t="str">
            <v>45°弯头(PPR 配件)印尼绿色 dn32 (1") 联塑</v>
          </cell>
          <cell r="E510" t="str">
            <v>PPR 45° Elbow dn32 (1") Green(INA) - LESSO</v>
          </cell>
        </row>
        <row r="510">
          <cell r="G510">
            <v>2894</v>
          </cell>
          <cell r="H510">
            <v>2894</v>
          </cell>
          <cell r="I510">
            <v>0.12</v>
          </cell>
          <cell r="J510">
            <v>3289</v>
          </cell>
          <cell r="K510">
            <v>0.1</v>
          </cell>
          <cell r="L510">
            <v>3216</v>
          </cell>
        </row>
        <row r="511">
          <cell r="C511">
            <v>8010071438</v>
          </cell>
          <cell r="D511" t="str">
            <v>45°弯头(PPR 配件)印尼绿色 dn40 (1-1/4") 联塑</v>
          </cell>
          <cell r="E511" t="str">
            <v>PPR 45° Elbow dn40 (1-1/4") Green(INA) - LESSO</v>
          </cell>
        </row>
        <row r="511">
          <cell r="G511">
            <v>5431</v>
          </cell>
          <cell r="H511">
            <v>5431</v>
          </cell>
          <cell r="I511">
            <v>0.12</v>
          </cell>
          <cell r="J511">
            <v>6172</v>
          </cell>
          <cell r="K511">
            <v>0.1</v>
          </cell>
          <cell r="L511">
            <v>6034</v>
          </cell>
        </row>
        <row r="512">
          <cell r="C512">
            <v>8010071439</v>
          </cell>
          <cell r="D512" t="str">
            <v>45°弯头(PPR 配件)印尼绿色 dn50 (1-1/2") 联塑</v>
          </cell>
          <cell r="E512" t="str">
            <v>PPR 45° Elbow dn50 (1-1/2") Green(INA) - LESSO</v>
          </cell>
        </row>
        <row r="512">
          <cell r="G512">
            <v>12447</v>
          </cell>
          <cell r="H512">
            <v>12447</v>
          </cell>
          <cell r="I512">
            <v>0.12</v>
          </cell>
          <cell r="J512">
            <v>14145</v>
          </cell>
          <cell r="K512">
            <v>0.1</v>
          </cell>
          <cell r="L512">
            <v>13830</v>
          </cell>
        </row>
        <row r="513">
          <cell r="C513">
            <v>8010071440</v>
          </cell>
          <cell r="D513" t="str">
            <v>45°弯头(PPR 配件)印尼绿色 dn63 (2") 联塑</v>
          </cell>
          <cell r="E513" t="str">
            <v>PPR 45° Elbow dn63 (2") Green(INA) - LESSO</v>
          </cell>
        </row>
        <row r="513">
          <cell r="G513">
            <v>14151</v>
          </cell>
          <cell r="H513">
            <v>14151</v>
          </cell>
          <cell r="I513">
            <v>0.12</v>
          </cell>
          <cell r="J513">
            <v>16081</v>
          </cell>
          <cell r="K513">
            <v>0.1</v>
          </cell>
          <cell r="L513">
            <v>15723</v>
          </cell>
        </row>
        <row r="514">
          <cell r="C514">
            <v>8010071441</v>
          </cell>
          <cell r="D514" t="str">
            <v>45°弯头(PPR 配件)印尼绿色 dn75 (2-1/2") 联塑</v>
          </cell>
          <cell r="E514" t="str">
            <v>PPR 45° Elbow dn75 (2-1/2") Green(INA) - LESSO</v>
          </cell>
        </row>
        <row r="514">
          <cell r="G514">
            <v>26836</v>
          </cell>
          <cell r="H514">
            <v>26836</v>
          </cell>
          <cell r="I514">
            <v>0.12</v>
          </cell>
          <cell r="J514">
            <v>30496</v>
          </cell>
          <cell r="K514">
            <v>0.1</v>
          </cell>
          <cell r="L514">
            <v>29818</v>
          </cell>
        </row>
        <row r="515">
          <cell r="C515">
            <v>8010071442</v>
          </cell>
          <cell r="D515" t="str">
            <v>45°弯头(PPR 配件)印尼绿色 dn90 (3") 联塑</v>
          </cell>
          <cell r="E515" t="str">
            <v>PPR 45° Elbow dn90 (3") Green(INA) - LESSO</v>
          </cell>
        </row>
        <row r="515">
          <cell r="G515">
            <v>60014</v>
          </cell>
          <cell r="H515">
            <v>60014</v>
          </cell>
          <cell r="I515">
            <v>0.12</v>
          </cell>
          <cell r="J515">
            <v>68198</v>
          </cell>
          <cell r="K515">
            <v>0.1</v>
          </cell>
          <cell r="L515">
            <v>66682</v>
          </cell>
        </row>
        <row r="516">
          <cell r="C516">
            <v>8010072469</v>
          </cell>
          <cell r="D516" t="str">
            <v>45°异径弯头(PPR 配件)印尼绿色 dn25x20 (3/4"x1/2") 联塑</v>
          </cell>
          <cell r="E516" t="str">
            <v>PPR 45° Reducing Elbow dn25x20 (3/4"x1/2") Green(INA) - LESSO</v>
          </cell>
        </row>
        <row r="516">
          <cell r="G516">
            <v>1506</v>
          </cell>
          <cell r="H516">
            <v>1506</v>
          </cell>
          <cell r="I516">
            <v>0.12</v>
          </cell>
          <cell r="J516">
            <v>1712</v>
          </cell>
          <cell r="K516">
            <v>0.1</v>
          </cell>
          <cell r="L516">
            <v>1673</v>
          </cell>
        </row>
        <row r="517">
          <cell r="C517">
            <v>8010072470</v>
          </cell>
          <cell r="D517" t="str">
            <v>45°异径弯头(PPR 配件)印尼绿色 dn32x20 (1"x1/2") 联塑</v>
          </cell>
          <cell r="E517" t="str">
            <v>PPR 45° Reducing Elbow dn32x20 (1"x1/2") Green(INA) - LESSO</v>
          </cell>
        </row>
        <row r="517">
          <cell r="G517">
            <v>1982</v>
          </cell>
          <cell r="H517">
            <v>1982</v>
          </cell>
          <cell r="I517">
            <v>0.12</v>
          </cell>
          <cell r="J517">
            <v>2253</v>
          </cell>
          <cell r="K517">
            <v>0.1</v>
          </cell>
          <cell r="L517">
            <v>2202</v>
          </cell>
        </row>
        <row r="518">
          <cell r="C518">
            <v>8010072471</v>
          </cell>
          <cell r="D518" t="str">
            <v>45°异径弯头(PPR 配件)印尼绿色 dn32x25 (1"x3/4") 联塑</v>
          </cell>
          <cell r="E518" t="str">
            <v>PPR 45° Reducing Elbow dn32x25 (1"x3/4") Green(INA) - LESSO</v>
          </cell>
        </row>
        <row r="518">
          <cell r="G518">
            <v>2497</v>
          </cell>
          <cell r="H518">
            <v>2497</v>
          </cell>
          <cell r="I518">
            <v>0.12</v>
          </cell>
          <cell r="J518">
            <v>2838</v>
          </cell>
          <cell r="K518">
            <v>0.1</v>
          </cell>
          <cell r="L518">
            <v>2774</v>
          </cell>
        </row>
        <row r="519">
          <cell r="C519">
            <v>8010072782</v>
          </cell>
          <cell r="D519" t="str">
            <v>45°异径弯头(PPR 配件)印尼绿色 dn40x20 (1-1/4"x1/2") 联塑</v>
          </cell>
          <cell r="E519" t="str">
            <v>PPR 45° Reducing Elbow dn40x20 (1-1/4"x1/2") Green(INA) - LESSO</v>
          </cell>
        </row>
        <row r="519">
          <cell r="G519">
            <v>3211</v>
          </cell>
          <cell r="H519">
            <v>3211</v>
          </cell>
          <cell r="I519">
            <v>0.12</v>
          </cell>
          <cell r="J519">
            <v>3649</v>
          </cell>
          <cell r="K519">
            <v>0.1</v>
          </cell>
          <cell r="L519">
            <v>3568</v>
          </cell>
        </row>
        <row r="520">
          <cell r="C520">
            <v>8010072783</v>
          </cell>
          <cell r="D520" t="str">
            <v>45°异径弯头(PPR 配件)印尼绿色 dn40x25 (1-1/4"x3/4") 联塑</v>
          </cell>
          <cell r="E520" t="str">
            <v>PPR 45° Reducing Elbow dn40x25 (1-1/4"x3/4") Green(INA) - LESSO</v>
          </cell>
        </row>
        <row r="520">
          <cell r="G520">
            <v>3449</v>
          </cell>
          <cell r="H520">
            <v>3449</v>
          </cell>
          <cell r="I520">
            <v>0.12</v>
          </cell>
          <cell r="J520">
            <v>3920</v>
          </cell>
          <cell r="K520">
            <v>0.1</v>
          </cell>
          <cell r="L520">
            <v>3832</v>
          </cell>
        </row>
        <row r="521">
          <cell r="C521">
            <v>8010072801</v>
          </cell>
          <cell r="D521" t="str">
            <v>45°异径弯头(PPR 配件)印尼绿色 dn40x32 (1-1/4"x1") 联塑</v>
          </cell>
          <cell r="E521" t="str">
            <v>PPR 45° Reducing Elbow dn40x32 (1-1/4"x1") Green(INA) - LESSO</v>
          </cell>
        </row>
        <row r="521">
          <cell r="G521">
            <v>3924</v>
          </cell>
          <cell r="H521">
            <v>3924</v>
          </cell>
          <cell r="I521">
            <v>0.12</v>
          </cell>
          <cell r="J521">
            <v>4460</v>
          </cell>
          <cell r="K521">
            <v>0.1</v>
          </cell>
          <cell r="L521">
            <v>4360</v>
          </cell>
        </row>
        <row r="522">
          <cell r="C522">
            <v>8010072802</v>
          </cell>
          <cell r="D522" t="str">
            <v>45°异径弯头(PPR 配件)印尼绿色 dn50x20 (1-1/2"x1/2") 联塑</v>
          </cell>
          <cell r="E522" t="str">
            <v>PPR 45° Reducing Elbow dn50x20 (1-1/2"x1/2") Green(INA) - LESSO</v>
          </cell>
        </row>
        <row r="522">
          <cell r="G522">
            <v>5431</v>
          </cell>
          <cell r="H522">
            <v>5431</v>
          </cell>
          <cell r="I522">
            <v>0.12</v>
          </cell>
          <cell r="J522">
            <v>6172</v>
          </cell>
          <cell r="K522">
            <v>0.1</v>
          </cell>
          <cell r="L522">
            <v>6034</v>
          </cell>
        </row>
        <row r="523">
          <cell r="C523">
            <v>8010072803</v>
          </cell>
          <cell r="D523" t="str">
            <v>45°异径弯头(PPR 配件)印尼绿色 dn50x25 (1-1/2"x3/4") 联塑</v>
          </cell>
          <cell r="E523" t="str">
            <v>PPR 45° Reducing Elbow dn50x25 (1-1/2"x3/4") Green(INA) - LESSO</v>
          </cell>
        </row>
        <row r="523">
          <cell r="G523">
            <v>5668</v>
          </cell>
          <cell r="H523">
            <v>5668</v>
          </cell>
          <cell r="I523">
            <v>0.12</v>
          </cell>
          <cell r="J523">
            <v>6441</v>
          </cell>
          <cell r="K523">
            <v>0.1</v>
          </cell>
          <cell r="L523">
            <v>6298</v>
          </cell>
        </row>
        <row r="524">
          <cell r="C524">
            <v>8010072784</v>
          </cell>
          <cell r="D524" t="str">
            <v>45°异径弯头(PPR 配件)印尼绿色 dn50x32 (1-1/2"x1") 联塑</v>
          </cell>
          <cell r="E524" t="str">
            <v>PPR 45° Reducing Elbow dn50x32 (1-1/2"x1") Green(INA) - LESSO</v>
          </cell>
        </row>
        <row r="524">
          <cell r="G524">
            <v>6184</v>
          </cell>
          <cell r="H524">
            <v>6184</v>
          </cell>
          <cell r="I524">
            <v>0.12</v>
          </cell>
          <cell r="J524">
            <v>7028</v>
          </cell>
          <cell r="K524">
            <v>0.1</v>
          </cell>
          <cell r="L524">
            <v>6871</v>
          </cell>
        </row>
        <row r="525">
          <cell r="C525">
            <v>8010072785</v>
          </cell>
          <cell r="D525" t="str">
            <v>45°异径弯头(PPR 配件)印尼绿色 dn50x40 (1-1/2"x1-1/4") 联塑</v>
          </cell>
          <cell r="E525" t="str">
            <v>PPR 45° Reducing Elbow dn50x40 (1-1/2"x1-1/4") Green(INA) - LESSO</v>
          </cell>
        </row>
        <row r="525">
          <cell r="G525">
            <v>6937</v>
          </cell>
          <cell r="H525">
            <v>6937</v>
          </cell>
          <cell r="I525">
            <v>0.12</v>
          </cell>
          <cell r="J525">
            <v>7883</v>
          </cell>
          <cell r="K525">
            <v>0.1</v>
          </cell>
          <cell r="L525">
            <v>7708</v>
          </cell>
        </row>
        <row r="526">
          <cell r="C526">
            <v>8010072804</v>
          </cell>
          <cell r="D526" t="str">
            <v>45°异径弯头(PPR 配件)印尼绿色 dn63x25 (2"x3/4") 联塑</v>
          </cell>
          <cell r="E526" t="str">
            <v>PPR 45° Reducing Elbow dn63x25 (2"x3/4") Green(INA) - LESSO</v>
          </cell>
        </row>
        <row r="526">
          <cell r="G526">
            <v>9870</v>
          </cell>
          <cell r="H526">
            <v>9870</v>
          </cell>
          <cell r="I526">
            <v>0.12</v>
          </cell>
          <cell r="J526">
            <v>11216</v>
          </cell>
          <cell r="K526">
            <v>0.1</v>
          </cell>
          <cell r="L526">
            <v>10967</v>
          </cell>
        </row>
        <row r="527">
          <cell r="C527">
            <v>8010072820</v>
          </cell>
          <cell r="D527" t="str">
            <v>45°异径弯头(PPR 配件)印尼绿色 dn63x32 (2"x1") 联塑</v>
          </cell>
          <cell r="E527" t="str">
            <v>PPR 45° Reducing Elbow dn63x32 (2"x1") Green(INA) - LESSO</v>
          </cell>
        </row>
        <row r="527">
          <cell r="G527">
            <v>10148</v>
          </cell>
          <cell r="H527">
            <v>10148</v>
          </cell>
          <cell r="I527">
            <v>0.12</v>
          </cell>
          <cell r="J527">
            <v>11532</v>
          </cell>
          <cell r="K527">
            <v>0.1</v>
          </cell>
          <cell r="L527">
            <v>11276</v>
          </cell>
        </row>
        <row r="528">
          <cell r="C528">
            <v>8010072805</v>
          </cell>
          <cell r="D528" t="str">
            <v>45°异径弯头(PPR 配件)印尼绿色 dn63x40 (2"x1-1/4") 联塑</v>
          </cell>
          <cell r="E528" t="str">
            <v>PPR 45° Reducing Elbow dn63x40 (2"x1-1/4") Green(INA) - LESSO</v>
          </cell>
        </row>
        <row r="528">
          <cell r="G528">
            <v>10861</v>
          </cell>
          <cell r="H528">
            <v>10861</v>
          </cell>
          <cell r="I528">
            <v>0.12</v>
          </cell>
          <cell r="J528">
            <v>12343</v>
          </cell>
          <cell r="K528">
            <v>0.1</v>
          </cell>
          <cell r="L528">
            <v>12068</v>
          </cell>
        </row>
        <row r="529">
          <cell r="C529">
            <v>8010072806</v>
          </cell>
          <cell r="D529" t="str">
            <v>45°异径弯头(PPR 配件)印尼绿色 dn63x50 (2"x1-1/2") 联塑</v>
          </cell>
          <cell r="E529" t="str">
            <v>PPR 45° Reducing Elbow dn63x50 (2"x1-1/2") Green(INA) - LESSO</v>
          </cell>
        </row>
        <row r="529">
          <cell r="G529">
            <v>12368</v>
          </cell>
          <cell r="H529">
            <v>12368</v>
          </cell>
          <cell r="I529">
            <v>0.12</v>
          </cell>
          <cell r="J529">
            <v>14055</v>
          </cell>
          <cell r="K529">
            <v>0.1</v>
          </cell>
          <cell r="L529">
            <v>13742</v>
          </cell>
        </row>
        <row r="530">
          <cell r="C530">
            <v>8010072809</v>
          </cell>
          <cell r="D530" t="str">
            <v>22.5°弯头(PPR 配件)印尼绿色 dn110 (4") 联塑</v>
          </cell>
          <cell r="E530" t="str">
            <v>PPR 22.5° Elbow dn110 (4") Green(INA) - LESSO</v>
          </cell>
        </row>
        <row r="530">
          <cell r="G530">
            <v>58825</v>
          </cell>
          <cell r="H530">
            <v>58825</v>
          </cell>
          <cell r="I530">
            <v>0.12</v>
          </cell>
          <cell r="J530">
            <v>66847</v>
          </cell>
          <cell r="K530">
            <v>0.1</v>
          </cell>
          <cell r="L530">
            <v>65361</v>
          </cell>
        </row>
        <row r="531">
          <cell r="C531">
            <v>8010072466</v>
          </cell>
          <cell r="D531" t="str">
            <v>22.5°弯头(PPR 配件)印尼绿色 dn20 (1/2") 联塑</v>
          </cell>
          <cell r="E531" t="str">
            <v>PPR 22.5° Elbow dn20 (1/2") Green(INA) - LESSO</v>
          </cell>
        </row>
        <row r="531">
          <cell r="G531">
            <v>991</v>
          </cell>
          <cell r="H531">
            <v>991</v>
          </cell>
          <cell r="I531">
            <v>0.12</v>
          </cell>
          <cell r="J531">
            <v>1127</v>
          </cell>
          <cell r="K531">
            <v>0.1</v>
          </cell>
          <cell r="L531">
            <v>1101</v>
          </cell>
        </row>
        <row r="532">
          <cell r="C532">
            <v>8010072467</v>
          </cell>
          <cell r="D532" t="str">
            <v>22.5°弯头(PPR 配件)印尼绿色 dn25 (3/4") 联塑</v>
          </cell>
          <cell r="E532" t="str">
            <v>PPR 22.5° Elbow dn25 (3/4") Green(INA) - LESSO</v>
          </cell>
        </row>
        <row r="532">
          <cell r="G532">
            <v>1506</v>
          </cell>
          <cell r="H532">
            <v>1506</v>
          </cell>
          <cell r="I532">
            <v>0.12</v>
          </cell>
          <cell r="J532">
            <v>1712</v>
          </cell>
          <cell r="K532">
            <v>0.1</v>
          </cell>
          <cell r="L532">
            <v>1673</v>
          </cell>
        </row>
        <row r="533">
          <cell r="C533">
            <v>8010072468</v>
          </cell>
          <cell r="D533" t="str">
            <v>22.5°弯头(PPR 配件)印尼绿色 dn32 (1") 联塑</v>
          </cell>
          <cell r="E533" t="str">
            <v>PPR 22.5° Elbow dn32 (1") Green(INA) - LESSO</v>
          </cell>
        </row>
        <row r="533">
          <cell r="G533">
            <v>2497</v>
          </cell>
          <cell r="H533">
            <v>2497</v>
          </cell>
          <cell r="I533">
            <v>0.12</v>
          </cell>
          <cell r="J533">
            <v>2838</v>
          </cell>
          <cell r="K533">
            <v>0.1</v>
          </cell>
          <cell r="L533">
            <v>2774</v>
          </cell>
        </row>
        <row r="534">
          <cell r="C534">
            <v>8010072787</v>
          </cell>
          <cell r="D534" t="str">
            <v>22.5°弯头(PPR 配件)印尼绿色 dn40 (1-1/4") 联塑</v>
          </cell>
          <cell r="E534" t="str">
            <v>PPR 22.5° Elbow dn40 (1-1/4") Green(INA) - LESSO</v>
          </cell>
        </row>
        <row r="534">
          <cell r="G534">
            <v>4202</v>
          </cell>
          <cell r="H534">
            <v>4202</v>
          </cell>
          <cell r="I534">
            <v>0.12</v>
          </cell>
          <cell r="J534">
            <v>4775</v>
          </cell>
          <cell r="K534">
            <v>0.1</v>
          </cell>
          <cell r="L534">
            <v>4669</v>
          </cell>
        </row>
        <row r="535">
          <cell r="C535">
            <v>8010072788</v>
          </cell>
          <cell r="D535" t="str">
            <v>22.5°弯头(PPR 配件)印尼绿色 dn50 (1-1/2") 联塑</v>
          </cell>
          <cell r="E535" t="str">
            <v>PPR 22.5° Elbow dn50 (1-1/2") Green(INA) - LESSO</v>
          </cell>
        </row>
        <row r="535">
          <cell r="G535">
            <v>7413</v>
          </cell>
          <cell r="H535">
            <v>7413</v>
          </cell>
          <cell r="I535">
            <v>0.12</v>
          </cell>
          <cell r="J535">
            <v>8424</v>
          </cell>
          <cell r="K535">
            <v>0.1</v>
          </cell>
          <cell r="L535">
            <v>8237</v>
          </cell>
        </row>
        <row r="536">
          <cell r="C536">
            <v>8010072808</v>
          </cell>
          <cell r="D536" t="str">
            <v>22.5°弯头(PPR 配件)印尼绿色 dn63 (2") 联塑</v>
          </cell>
          <cell r="E536" t="str">
            <v>PPR 22.5° Elbow dn63 (2") Green(INA) - LESSO</v>
          </cell>
        </row>
        <row r="536">
          <cell r="G536">
            <v>12843</v>
          </cell>
          <cell r="H536">
            <v>12843</v>
          </cell>
          <cell r="I536">
            <v>0.12</v>
          </cell>
          <cell r="J536">
            <v>14595</v>
          </cell>
          <cell r="K536">
            <v>0.1</v>
          </cell>
          <cell r="L536">
            <v>14270</v>
          </cell>
        </row>
        <row r="537">
          <cell r="C537">
            <v>8010072821</v>
          </cell>
          <cell r="D537" t="str">
            <v>22.5°弯头(PPR 配件)印尼绿色 dn75 (2-1/2") 联塑</v>
          </cell>
          <cell r="E537" t="str">
            <v>PPR 22.5° Elbow dn75 (2-1/2") Green(INA) - LESSO</v>
          </cell>
        </row>
        <row r="537">
          <cell r="G537">
            <v>19780</v>
          </cell>
          <cell r="H537">
            <v>19780</v>
          </cell>
          <cell r="I537">
            <v>0.12</v>
          </cell>
          <cell r="J537">
            <v>22478</v>
          </cell>
          <cell r="K537">
            <v>0.1</v>
          </cell>
          <cell r="L537">
            <v>21978</v>
          </cell>
        </row>
        <row r="538">
          <cell r="C538">
            <v>8010072822</v>
          </cell>
          <cell r="D538" t="str">
            <v>22.5°弯头(PPR 配件)印尼绿色 dn90 (3") 联塑</v>
          </cell>
          <cell r="E538" t="str">
            <v>PPR 22.5° Elbow dn90 (3") Green(INA) - LESSO</v>
          </cell>
        </row>
        <row r="538">
          <cell r="G538">
            <v>33377</v>
          </cell>
          <cell r="H538">
            <v>33377</v>
          </cell>
          <cell r="I538">
            <v>0.12</v>
          </cell>
          <cell r="J538">
            <v>37929</v>
          </cell>
          <cell r="K538">
            <v>0.1</v>
          </cell>
          <cell r="L538">
            <v>37086</v>
          </cell>
        </row>
        <row r="539">
          <cell r="C539">
            <v>8010072708</v>
          </cell>
          <cell r="D539" t="str">
            <v>90°弯头(PPR 配件)印尼绿色 dn16 联塑</v>
          </cell>
          <cell r="E539" t="str">
            <v>PPR 90° Elbow dn16 Green(INA) - LESSO</v>
          </cell>
        </row>
        <row r="539">
          <cell r="G539">
            <v>753</v>
          </cell>
          <cell r="H539">
            <v>753</v>
          </cell>
          <cell r="I539">
            <v>0.12</v>
          </cell>
          <cell r="J539">
            <v>856</v>
          </cell>
          <cell r="K539">
            <v>0.1</v>
          </cell>
          <cell r="L539">
            <v>837</v>
          </cell>
        </row>
        <row r="540">
          <cell r="C540">
            <v>8010071401</v>
          </cell>
          <cell r="D540" t="str">
            <v>90°弯头(PPR 配件)印尼绿色 dn20 (1/2") 联塑</v>
          </cell>
          <cell r="E540" t="str">
            <v>PPR 90° Elbow dn20 (1/2") Green(INA) - LESSO</v>
          </cell>
        </row>
        <row r="540">
          <cell r="G540">
            <v>1110</v>
          </cell>
          <cell r="H540">
            <v>1110</v>
          </cell>
          <cell r="I540">
            <v>0.12</v>
          </cell>
          <cell r="J540">
            <v>1262</v>
          </cell>
          <cell r="K540">
            <v>0.1</v>
          </cell>
          <cell r="L540">
            <v>1233</v>
          </cell>
        </row>
        <row r="541">
          <cell r="C541">
            <v>8010071402</v>
          </cell>
          <cell r="D541" t="str">
            <v>90°弯头(PPR 配件)印尼绿色 dn25 (3/4") 联塑</v>
          </cell>
          <cell r="E541" t="str">
            <v>PPR 90° Elbow dn25 (3/4") Green(INA) - LESSO</v>
          </cell>
        </row>
        <row r="541">
          <cell r="G541">
            <v>1541</v>
          </cell>
          <cell r="H541">
            <v>1541</v>
          </cell>
          <cell r="I541">
            <v>0.12</v>
          </cell>
          <cell r="J541">
            <v>1752</v>
          </cell>
          <cell r="K541">
            <v>0.1</v>
          </cell>
          <cell r="L541">
            <v>1712</v>
          </cell>
        </row>
        <row r="542">
          <cell r="C542">
            <v>8010071403</v>
          </cell>
          <cell r="D542" t="str">
            <v>90°弯头(PPR 配件)印尼绿色 dn32 (1") 联塑</v>
          </cell>
          <cell r="E542" t="str">
            <v>PPR 90° Elbow dn32 (1") Green(INA) - LESSO</v>
          </cell>
        </row>
        <row r="542">
          <cell r="G542">
            <v>3528</v>
          </cell>
          <cell r="H542">
            <v>3528</v>
          </cell>
          <cell r="I542">
            <v>0.12</v>
          </cell>
          <cell r="J542">
            <v>4010</v>
          </cell>
          <cell r="K542">
            <v>0.1</v>
          </cell>
          <cell r="L542">
            <v>3920</v>
          </cell>
        </row>
        <row r="543">
          <cell r="C543">
            <v>8010071404</v>
          </cell>
          <cell r="D543" t="str">
            <v>90°弯头(PPR 配件)印尼绿色 dn40 (1-1/4") 联塑</v>
          </cell>
          <cell r="E543" t="str">
            <v>PPR 90° Elbow dn40 (1-1/4") Green(INA) - LESSO</v>
          </cell>
        </row>
        <row r="543">
          <cell r="G543">
            <v>6025</v>
          </cell>
          <cell r="H543">
            <v>6025</v>
          </cell>
          <cell r="I543">
            <v>0.12</v>
          </cell>
          <cell r="J543">
            <v>6847</v>
          </cell>
          <cell r="K543">
            <v>0.1</v>
          </cell>
          <cell r="L543">
            <v>6694</v>
          </cell>
        </row>
        <row r="544">
          <cell r="C544">
            <v>8010071405</v>
          </cell>
          <cell r="D544" t="str">
            <v>90°弯头(PPR 配件)印尼绿色 dn50 (1-1/2") 联塑</v>
          </cell>
          <cell r="E544" t="str">
            <v>PPR 90° Elbow dn50 (1-1/2") Green(INA) - LESSO</v>
          </cell>
        </row>
        <row r="544">
          <cell r="G544">
            <v>10941</v>
          </cell>
          <cell r="H544">
            <v>10941</v>
          </cell>
          <cell r="I544">
            <v>0.12</v>
          </cell>
          <cell r="J544">
            <v>12433</v>
          </cell>
          <cell r="K544">
            <v>0.1</v>
          </cell>
          <cell r="L544">
            <v>12157</v>
          </cell>
        </row>
        <row r="545">
          <cell r="C545">
            <v>8010071406</v>
          </cell>
          <cell r="D545" t="str">
            <v>90°弯头(PPR 配件)印尼绿色 dn63 (2") 联塑</v>
          </cell>
          <cell r="E545" t="str">
            <v>PPR 90° Elbow dn63 (2") Green(INA) - LESSO</v>
          </cell>
        </row>
        <row r="545">
          <cell r="G545">
            <v>17083</v>
          </cell>
          <cell r="H545">
            <v>17083</v>
          </cell>
          <cell r="I545">
            <v>0.12</v>
          </cell>
          <cell r="J545">
            <v>19413</v>
          </cell>
          <cell r="K545">
            <v>0.1</v>
          </cell>
          <cell r="L545">
            <v>18981</v>
          </cell>
        </row>
        <row r="546">
          <cell r="C546">
            <v>8010071407</v>
          </cell>
          <cell r="D546" t="str">
            <v>90°弯头(PPR 配件)印尼绿色 dn75 (2-1/2") 联塑</v>
          </cell>
          <cell r="E546" t="str">
            <v>PPR 90° Elbow dn75 (2-1/2") Green(INA) - LESSO</v>
          </cell>
        </row>
        <row r="546">
          <cell r="G546">
            <v>26429</v>
          </cell>
          <cell r="H546">
            <v>26429</v>
          </cell>
          <cell r="I546">
            <v>0.12</v>
          </cell>
          <cell r="J546">
            <v>30033</v>
          </cell>
          <cell r="K546">
            <v>0.1</v>
          </cell>
          <cell r="L546">
            <v>29366</v>
          </cell>
        </row>
        <row r="547">
          <cell r="C547">
            <v>8010071408</v>
          </cell>
          <cell r="D547" t="str">
            <v>90°弯头(PPR 配件)印尼绿色 dn90 (3") 联塑</v>
          </cell>
          <cell r="E547" t="str">
            <v>PPR 90° Elbow dn90 (3") Green(INA) - LESSO</v>
          </cell>
        </row>
        <row r="547">
          <cell r="G547">
            <v>47688</v>
          </cell>
          <cell r="H547">
            <v>47688</v>
          </cell>
          <cell r="I547">
            <v>0.12</v>
          </cell>
          <cell r="J547">
            <v>54191</v>
          </cell>
          <cell r="K547">
            <v>0.1</v>
          </cell>
          <cell r="L547">
            <v>52987</v>
          </cell>
        </row>
        <row r="548">
          <cell r="C548">
            <v>8010071409</v>
          </cell>
          <cell r="D548" t="str">
            <v>90°弯头(PPR 配件)印尼绿色 dn110 (4") 联塑</v>
          </cell>
          <cell r="E548" t="str">
            <v>PPR 90° Elbow dn110 (4") Green(INA) - LESSO</v>
          </cell>
        </row>
        <row r="548">
          <cell r="G548">
            <v>104609</v>
          </cell>
          <cell r="H548">
            <v>104609</v>
          </cell>
          <cell r="I548">
            <v>0.12</v>
          </cell>
          <cell r="J548">
            <v>118874</v>
          </cell>
          <cell r="K548">
            <v>0.1</v>
          </cell>
          <cell r="L548">
            <v>116232</v>
          </cell>
        </row>
        <row r="549">
          <cell r="C549">
            <v>8010071410</v>
          </cell>
          <cell r="D549" t="str">
            <v>90°弯头(PPR 配件)印尼绿色 dn160 (6") 联塑</v>
          </cell>
          <cell r="E549" t="str">
            <v>PPR 90° Elbow dn160 (6") Green(INA) - LESSO</v>
          </cell>
        </row>
        <row r="549">
          <cell r="G549">
            <v>324807</v>
          </cell>
          <cell r="H549">
            <v>324807</v>
          </cell>
          <cell r="I549">
            <v>0.12</v>
          </cell>
          <cell r="J549">
            <v>369099</v>
          </cell>
          <cell r="K549">
            <v>0.1</v>
          </cell>
          <cell r="L549">
            <v>360897</v>
          </cell>
        </row>
        <row r="550">
          <cell r="C550">
            <v>8010072472</v>
          </cell>
          <cell r="D550" t="str">
            <v>90°异径弯头(PPR 配件)印尼绿色 dn25x20 (3/4"x1/2") 联塑</v>
          </cell>
          <cell r="E550" t="str">
            <v>PPR 90° Reducing Elbow dn25x20 (3/4"x1/2") Green(INA) - LESSO</v>
          </cell>
        </row>
        <row r="550">
          <cell r="G550">
            <v>1744</v>
          </cell>
          <cell r="H550">
            <v>1744</v>
          </cell>
          <cell r="I550">
            <v>0.12</v>
          </cell>
          <cell r="J550">
            <v>1982</v>
          </cell>
          <cell r="K550">
            <v>0.1</v>
          </cell>
          <cell r="L550">
            <v>1938</v>
          </cell>
        </row>
        <row r="551">
          <cell r="C551">
            <v>8010072473</v>
          </cell>
          <cell r="D551" t="str">
            <v>90°异径弯头(PPR 配件)印尼绿色 dn32x20 (1"x1/2") 联塑</v>
          </cell>
          <cell r="E551" t="str">
            <v>PPR 90° Reducing Elbow dn32x20 (1"x1/2") Green(INA) - LESSO</v>
          </cell>
        </row>
        <row r="551">
          <cell r="G551">
            <v>2458</v>
          </cell>
          <cell r="H551">
            <v>2458</v>
          </cell>
          <cell r="I551">
            <v>0.12</v>
          </cell>
          <cell r="J551">
            <v>2794</v>
          </cell>
          <cell r="K551">
            <v>0.1</v>
          </cell>
          <cell r="L551">
            <v>2731</v>
          </cell>
        </row>
        <row r="552">
          <cell r="C552">
            <v>8010072474</v>
          </cell>
          <cell r="D552" t="str">
            <v>90°异径弯头(PPR 配件)印尼绿色 dn32x25 (1"x3/4") 联塑</v>
          </cell>
          <cell r="E552" t="str">
            <v>PPR 90° Reducing Elbow dn32x25 (1"x3/4") Green(INA) - LESSO</v>
          </cell>
        </row>
        <row r="552">
          <cell r="G552">
            <v>2973</v>
          </cell>
          <cell r="H552">
            <v>2973</v>
          </cell>
          <cell r="I552">
            <v>0.12</v>
          </cell>
          <cell r="J552">
            <v>3379</v>
          </cell>
          <cell r="K552">
            <v>0.1</v>
          </cell>
          <cell r="L552">
            <v>3303</v>
          </cell>
        </row>
        <row r="553">
          <cell r="C553">
            <v>8010072713</v>
          </cell>
          <cell r="D553" t="str">
            <v>90°异径弯头(PPR 配件)印尼绿色 dn40x20 (1-1/4"x1/2") 联塑</v>
          </cell>
          <cell r="E553" t="str">
            <v>PPR 90° Reducing Elbow dn40x20 (1-1/4"x1/2") Green(INA) - LESSO</v>
          </cell>
        </row>
        <row r="553">
          <cell r="G553">
            <v>3726</v>
          </cell>
          <cell r="H553">
            <v>3726</v>
          </cell>
          <cell r="I553">
            <v>0.12</v>
          </cell>
          <cell r="J553">
            <v>4235</v>
          </cell>
          <cell r="K553">
            <v>0.1</v>
          </cell>
          <cell r="L553">
            <v>4140</v>
          </cell>
        </row>
        <row r="554">
          <cell r="C554">
            <v>8010072714</v>
          </cell>
          <cell r="D554" t="str">
            <v>90°异径弯头(PPR 配件)印尼绿色 dn40x25 (1-1/4"x3/4") 联塑</v>
          </cell>
          <cell r="E554" t="str">
            <v>PPR 90° Reducing Elbow dn40x25 (1-1/4"x3/4") Green(INA) - LESSO</v>
          </cell>
        </row>
        <row r="554">
          <cell r="G554">
            <v>4202</v>
          </cell>
          <cell r="H554">
            <v>4202</v>
          </cell>
          <cell r="I554">
            <v>0.12</v>
          </cell>
          <cell r="J554">
            <v>4775</v>
          </cell>
          <cell r="K554">
            <v>0.1</v>
          </cell>
          <cell r="L554">
            <v>4669</v>
          </cell>
        </row>
        <row r="555">
          <cell r="C555">
            <v>8010072701</v>
          </cell>
          <cell r="D555" t="str">
            <v>90°异径弯头(PPR 配件)印尼绿色 dn40x32 (1-1/4"x1") 联塑</v>
          </cell>
          <cell r="E555" t="str">
            <v>PPR 90° Reducing Elbow dn40x32 (1-1/4"x1") Green(INA) - LESSO</v>
          </cell>
        </row>
        <row r="555">
          <cell r="G555">
            <v>5193</v>
          </cell>
          <cell r="H555">
            <v>5193</v>
          </cell>
          <cell r="I555">
            <v>0.12</v>
          </cell>
          <cell r="J555">
            <v>5902</v>
          </cell>
          <cell r="K555">
            <v>0.1</v>
          </cell>
          <cell r="L555">
            <v>5770</v>
          </cell>
        </row>
        <row r="556">
          <cell r="C556">
            <v>8010072702</v>
          </cell>
          <cell r="D556" t="str">
            <v>90°异径弯头(PPR 配件)印尼绿色 dn50x20 (1-1/2"x1/2") 联塑</v>
          </cell>
          <cell r="E556" t="str">
            <v>PPR 90° Reducing Elbow dn50x20 (1-1/2"x1/2") Green(INA) - LESSO</v>
          </cell>
        </row>
        <row r="556">
          <cell r="G556">
            <v>5946</v>
          </cell>
          <cell r="H556">
            <v>5946</v>
          </cell>
          <cell r="I556">
            <v>0.12</v>
          </cell>
          <cell r="J556">
            <v>6757</v>
          </cell>
          <cell r="K556">
            <v>0.1</v>
          </cell>
          <cell r="L556">
            <v>6607</v>
          </cell>
        </row>
        <row r="557">
          <cell r="C557">
            <v>8010072703</v>
          </cell>
          <cell r="D557" t="str">
            <v>90°异径弯头(PPR 配件)印尼绿色 dn50x25 (1-1/2"x3/4") 联塑</v>
          </cell>
          <cell r="E557" t="str">
            <v>PPR 90° Reducing Elbow dn50x25 (1-1/2"x3/4") Green(INA) - LESSO</v>
          </cell>
        </row>
        <row r="557">
          <cell r="G557">
            <v>6422</v>
          </cell>
          <cell r="H557">
            <v>6422</v>
          </cell>
          <cell r="I557">
            <v>0.12</v>
          </cell>
          <cell r="J557">
            <v>7298</v>
          </cell>
          <cell r="K557">
            <v>0.1</v>
          </cell>
          <cell r="L557">
            <v>7136</v>
          </cell>
        </row>
        <row r="558">
          <cell r="C558">
            <v>8010072704</v>
          </cell>
          <cell r="D558" t="str">
            <v>90°异径弯头(PPR 配件)印尼绿色 dn50x32 (1-1/2"x1") 联塑</v>
          </cell>
          <cell r="E558" t="str">
            <v>PPR 90° Reducing Elbow dn50x32 (1-1/2"x1") Green(INA) - LESSO</v>
          </cell>
        </row>
        <row r="558">
          <cell r="G558">
            <v>7888</v>
          </cell>
          <cell r="H558">
            <v>7888</v>
          </cell>
          <cell r="I558">
            <v>0.12</v>
          </cell>
          <cell r="J558">
            <v>8964</v>
          </cell>
          <cell r="K558">
            <v>0.1</v>
          </cell>
          <cell r="L558">
            <v>8764</v>
          </cell>
        </row>
        <row r="559">
          <cell r="C559">
            <v>8010072705</v>
          </cell>
          <cell r="D559" t="str">
            <v>90°异径弯头(PPR 配件)印尼绿色 dn50x40 (1-1/2"x1-1/4") 联塑</v>
          </cell>
          <cell r="E559" t="str">
            <v>PPR 90° Reducing Elbow dn50x40 (1-1/2"x1-1/4") Green(INA) - LESSO</v>
          </cell>
        </row>
        <row r="559">
          <cell r="G559">
            <v>9395</v>
          </cell>
          <cell r="H559">
            <v>9395</v>
          </cell>
          <cell r="I559">
            <v>0.12</v>
          </cell>
          <cell r="J559">
            <v>10677</v>
          </cell>
          <cell r="K559">
            <v>0.1</v>
          </cell>
          <cell r="L559">
            <v>10439</v>
          </cell>
        </row>
        <row r="560">
          <cell r="C560">
            <v>8010072786</v>
          </cell>
          <cell r="D560" t="str">
            <v>90°异径弯头(PPR 配件)印尼绿色 dn63x25 (2"x3/4") 联塑</v>
          </cell>
          <cell r="E560" t="str">
            <v>PPR 90° Reducing Elbow dn63x25 (2"x3/4") Green(INA) - LESSO</v>
          </cell>
        </row>
        <row r="560">
          <cell r="G560">
            <v>10623</v>
          </cell>
          <cell r="H560">
            <v>10623</v>
          </cell>
          <cell r="I560">
            <v>0.12</v>
          </cell>
          <cell r="J560">
            <v>12072</v>
          </cell>
          <cell r="K560">
            <v>0.1</v>
          </cell>
          <cell r="L560">
            <v>11803</v>
          </cell>
        </row>
        <row r="561">
          <cell r="C561">
            <v>8010072829</v>
          </cell>
          <cell r="D561" t="str">
            <v>90°异径弯头(PPR 配件)印尼绿色 dn63x32 (2"x1") 联塑</v>
          </cell>
          <cell r="E561" t="str">
            <v>PPR 90° Reducing Elbow dn63x32 (2"x1") Green(INA) - LESSO</v>
          </cell>
        </row>
        <row r="561">
          <cell r="G561">
            <v>11377</v>
          </cell>
          <cell r="H561">
            <v>11377</v>
          </cell>
          <cell r="I561">
            <v>0.12</v>
          </cell>
          <cell r="J561">
            <v>12929</v>
          </cell>
          <cell r="K561">
            <v>0.1</v>
          </cell>
          <cell r="L561">
            <v>12641</v>
          </cell>
        </row>
        <row r="562">
          <cell r="C562">
            <v>8010072830</v>
          </cell>
          <cell r="D562" t="str">
            <v>90°异径弯头(PPR 配件)印尼绿色 dn63x40 (2"x1-1/4") 联塑</v>
          </cell>
          <cell r="E562" t="str">
            <v>PPR 90° Reducing Elbow dn63x40 (2"x1-1/4") Green(INA) - LESSO</v>
          </cell>
        </row>
        <row r="562">
          <cell r="G562">
            <v>12605</v>
          </cell>
          <cell r="H562">
            <v>12605</v>
          </cell>
          <cell r="I562">
            <v>0.12</v>
          </cell>
          <cell r="J562">
            <v>14324</v>
          </cell>
          <cell r="K562">
            <v>0.1</v>
          </cell>
          <cell r="L562">
            <v>14006</v>
          </cell>
        </row>
        <row r="563">
          <cell r="C563">
            <v>8010072807</v>
          </cell>
          <cell r="D563" t="str">
            <v>90°异径弯头(PPR 配件)印尼绿色 dn63x50 (2"x1-1/2") 联塑</v>
          </cell>
          <cell r="E563" t="str">
            <v>PPR 90° Reducing Elbow dn63x50 (2"x1-1/2") Green(INA) - LESSO</v>
          </cell>
        </row>
        <row r="563">
          <cell r="G563">
            <v>15341</v>
          </cell>
          <cell r="H563">
            <v>15341</v>
          </cell>
          <cell r="I563">
            <v>0.12</v>
          </cell>
          <cell r="J563">
            <v>17433</v>
          </cell>
          <cell r="K563">
            <v>0.1</v>
          </cell>
          <cell r="L563">
            <v>17046</v>
          </cell>
        </row>
        <row r="564">
          <cell r="C564">
            <v>8010071419</v>
          </cell>
          <cell r="D564" t="str">
            <v>90°等径三通(PPR 配件)印尼绿色 dn110 (4") 联塑</v>
          </cell>
          <cell r="E564" t="str">
            <v>PPR 90° Tee dn110 (4") Green(INA) - LESSO</v>
          </cell>
        </row>
        <row r="564">
          <cell r="G564">
            <v>120029</v>
          </cell>
          <cell r="H564">
            <v>120029</v>
          </cell>
          <cell r="I564">
            <v>0.12</v>
          </cell>
          <cell r="J564">
            <v>136397</v>
          </cell>
          <cell r="K564">
            <v>0.1</v>
          </cell>
          <cell r="L564">
            <v>133366</v>
          </cell>
        </row>
        <row r="565">
          <cell r="C565">
            <v>8010072709</v>
          </cell>
          <cell r="D565" t="str">
            <v>90°等径三通(PPR 配件)印尼绿色 dn16 联塑</v>
          </cell>
          <cell r="E565" t="str">
            <v>PPR 90° Tee dn16 Green(INA) - LESSO</v>
          </cell>
        </row>
        <row r="565">
          <cell r="G565">
            <v>753</v>
          </cell>
          <cell r="H565">
            <v>753</v>
          </cell>
          <cell r="I565">
            <v>0.12</v>
          </cell>
          <cell r="J565">
            <v>856</v>
          </cell>
          <cell r="K565">
            <v>0.1</v>
          </cell>
          <cell r="L565">
            <v>837</v>
          </cell>
        </row>
        <row r="566">
          <cell r="C566">
            <v>8010071420</v>
          </cell>
          <cell r="D566" t="str">
            <v>90°等径三通(PPR 配件)印尼绿色 dn160 (6") 联塑</v>
          </cell>
          <cell r="E566" t="str">
            <v>PPR 90° Tee dn160 (6") Green(INA) - LESSO</v>
          </cell>
        </row>
        <row r="566">
          <cell r="G566">
            <v>421290</v>
          </cell>
          <cell r="H566">
            <v>421290</v>
          </cell>
          <cell r="I566">
            <v>0.12</v>
          </cell>
          <cell r="J566">
            <v>478739</v>
          </cell>
          <cell r="K566">
            <v>0.1</v>
          </cell>
          <cell r="L566">
            <v>468100</v>
          </cell>
        </row>
        <row r="567">
          <cell r="C567">
            <v>8010071411</v>
          </cell>
          <cell r="D567" t="str">
            <v>90°等径三通(PPR 配件)印尼绿色 dn20 (1/2") 联塑</v>
          </cell>
          <cell r="E567" t="str">
            <v>PPR 90° Tee dn20 (1/2") Green(INA) - LESSO</v>
          </cell>
        </row>
        <row r="567">
          <cell r="G567">
            <v>1198</v>
          </cell>
          <cell r="H567">
            <v>1198</v>
          </cell>
          <cell r="I567">
            <v>0.12</v>
          </cell>
          <cell r="J567">
            <v>1362</v>
          </cell>
          <cell r="K567">
            <v>0.1</v>
          </cell>
          <cell r="L567">
            <v>1331</v>
          </cell>
        </row>
        <row r="568">
          <cell r="C568">
            <v>8010071412</v>
          </cell>
          <cell r="D568" t="str">
            <v>90°等径三通(PPR 配件)印尼绿色 dn25 (3/4") 联塑</v>
          </cell>
          <cell r="E568" t="str">
            <v>PPR 90° Tee dn25 (3/4") Green(INA) - LESSO</v>
          </cell>
        </row>
        <row r="568">
          <cell r="G568">
            <v>2220</v>
          </cell>
          <cell r="H568">
            <v>2220</v>
          </cell>
          <cell r="I568">
            <v>0.12</v>
          </cell>
          <cell r="J568">
            <v>2523</v>
          </cell>
          <cell r="K568">
            <v>0.1</v>
          </cell>
          <cell r="L568">
            <v>2467</v>
          </cell>
        </row>
        <row r="569">
          <cell r="C569">
            <v>8010071413</v>
          </cell>
          <cell r="D569" t="str">
            <v>90°等径三通(PPR 配件)印尼绿色 dn32 (1") 联塑</v>
          </cell>
          <cell r="E569" t="str">
            <v>PPR 90° Tee dn32 (1") Green(INA) - LESSO</v>
          </cell>
        </row>
        <row r="569">
          <cell r="G569">
            <v>4241</v>
          </cell>
          <cell r="H569">
            <v>4241</v>
          </cell>
          <cell r="I569">
            <v>0.12</v>
          </cell>
          <cell r="J569">
            <v>4820</v>
          </cell>
          <cell r="K569">
            <v>0.1</v>
          </cell>
          <cell r="L569">
            <v>4712</v>
          </cell>
        </row>
        <row r="570">
          <cell r="C570">
            <v>8010071414</v>
          </cell>
          <cell r="D570" t="str">
            <v>90°等径三通(PPR 配件)印尼绿色 dn40 (1-1/4") 联塑</v>
          </cell>
          <cell r="E570" t="str">
            <v>PPR 90° Tee dn40 (1-1/4") Green(INA) - LESSO</v>
          </cell>
        </row>
        <row r="570">
          <cell r="G570">
            <v>7294</v>
          </cell>
          <cell r="H570">
            <v>7294</v>
          </cell>
          <cell r="I570">
            <v>0.12</v>
          </cell>
          <cell r="J570">
            <v>8289</v>
          </cell>
          <cell r="K570">
            <v>0.1</v>
          </cell>
          <cell r="L570">
            <v>8104</v>
          </cell>
        </row>
        <row r="571">
          <cell r="C571">
            <v>8010071415</v>
          </cell>
          <cell r="D571" t="str">
            <v>90°等径三通(PPR 配件)印尼绿色 dn50 (1-1/2") 联塑</v>
          </cell>
          <cell r="E571" t="str">
            <v>PPR 90° Tee dn50 (1-1/2") Green(INA) - LESSO</v>
          </cell>
        </row>
        <row r="571">
          <cell r="G571">
            <v>13517</v>
          </cell>
          <cell r="H571">
            <v>13517</v>
          </cell>
          <cell r="I571">
            <v>0.12</v>
          </cell>
          <cell r="J571">
            <v>15361</v>
          </cell>
          <cell r="K571">
            <v>0.1</v>
          </cell>
          <cell r="L571">
            <v>15019</v>
          </cell>
        </row>
        <row r="572">
          <cell r="C572">
            <v>8010071416</v>
          </cell>
          <cell r="D572" t="str">
            <v>90°等径三通(PPR 配件)印尼绿色 dn63 (2") 联塑</v>
          </cell>
          <cell r="E572" t="str">
            <v>PPR 90° Tee dn63 (2") Green(INA) - LESSO</v>
          </cell>
        </row>
        <row r="572">
          <cell r="G572">
            <v>24061</v>
          </cell>
          <cell r="H572">
            <v>24061</v>
          </cell>
          <cell r="I572">
            <v>0.12</v>
          </cell>
          <cell r="J572">
            <v>27343</v>
          </cell>
          <cell r="K572">
            <v>0.1</v>
          </cell>
          <cell r="L572">
            <v>26734</v>
          </cell>
        </row>
        <row r="573">
          <cell r="C573">
            <v>8010071417</v>
          </cell>
          <cell r="D573" t="str">
            <v>90°等径三通(PPR 配件)印尼绿色 dn75 (2-1/2") 联塑</v>
          </cell>
          <cell r="E573" t="str">
            <v>PPR 90° Tee dn75 (2-1/2") Green(INA) - LESSO</v>
          </cell>
        </row>
        <row r="573">
          <cell r="G573">
            <v>37658</v>
          </cell>
          <cell r="H573">
            <v>37658</v>
          </cell>
          <cell r="I573">
            <v>0.12</v>
          </cell>
          <cell r="J573">
            <v>42794</v>
          </cell>
          <cell r="K573">
            <v>0.1</v>
          </cell>
          <cell r="L573">
            <v>41842</v>
          </cell>
        </row>
        <row r="574">
          <cell r="C574">
            <v>8010071418</v>
          </cell>
          <cell r="D574" t="str">
            <v>90°等径三通(PPR 配件)印尼绿色 dn90 (3") 联塑</v>
          </cell>
          <cell r="E574" t="str">
            <v>PPR 90° Tee dn90 (3") Green(INA) - LESSO</v>
          </cell>
        </row>
        <row r="574">
          <cell r="G574">
            <v>65921</v>
          </cell>
          <cell r="H574">
            <v>65921</v>
          </cell>
          <cell r="I574">
            <v>0.12</v>
          </cell>
          <cell r="J574">
            <v>74911</v>
          </cell>
          <cell r="K574">
            <v>0.1</v>
          </cell>
          <cell r="L574">
            <v>73246</v>
          </cell>
        </row>
        <row r="575">
          <cell r="C575">
            <v>8010072710</v>
          </cell>
          <cell r="D575" t="str">
            <v>90°异径三通(PPR 配件)印尼绿色 dn20x16 联塑</v>
          </cell>
          <cell r="E575" t="str">
            <v>PPR 90° Reducing Tee dn20x16 Green(INA) - LESSO</v>
          </cell>
        </row>
        <row r="575">
          <cell r="G575">
            <v>2497</v>
          </cell>
          <cell r="H575">
            <v>2497</v>
          </cell>
          <cell r="I575">
            <v>0.12</v>
          </cell>
          <cell r="J575">
            <v>2838</v>
          </cell>
          <cell r="K575">
            <v>0.1</v>
          </cell>
          <cell r="L575">
            <v>2774</v>
          </cell>
        </row>
        <row r="576">
          <cell r="C576">
            <v>8010072711</v>
          </cell>
          <cell r="D576" t="str">
            <v>90°异径三通(PPR 配件)印尼绿色 dn25x16 联塑</v>
          </cell>
          <cell r="E576" t="str">
            <v>PPR 90° Reducing Tee dn25x16 Green(INA) - LESSO</v>
          </cell>
        </row>
        <row r="576">
          <cell r="G576">
            <v>1744</v>
          </cell>
          <cell r="H576">
            <v>1744</v>
          </cell>
          <cell r="I576">
            <v>0.12</v>
          </cell>
          <cell r="J576">
            <v>1982</v>
          </cell>
          <cell r="K576">
            <v>0.1</v>
          </cell>
          <cell r="L576">
            <v>1938</v>
          </cell>
        </row>
        <row r="577">
          <cell r="C577">
            <v>8010071360</v>
          </cell>
          <cell r="D577" t="str">
            <v>90°异径三通(PPR 配件)印尼绿色 dn25x20 (3/4"x1/2") 联塑</v>
          </cell>
          <cell r="E577" t="str">
            <v>PPR 90° Reducing Tee dn25x20 (3/4"x1/2") Green(INA) - LESSO</v>
          </cell>
        </row>
        <row r="577">
          <cell r="G577">
            <v>1942</v>
          </cell>
          <cell r="H577">
            <v>1942</v>
          </cell>
          <cell r="I577">
            <v>0.12</v>
          </cell>
          <cell r="J577">
            <v>2207</v>
          </cell>
          <cell r="K577">
            <v>0.1</v>
          </cell>
          <cell r="L577">
            <v>2158</v>
          </cell>
        </row>
        <row r="578">
          <cell r="C578">
            <v>8010072712</v>
          </cell>
          <cell r="D578" t="str">
            <v>90°异径三通(PPR 配件)印尼绿色 dn32x16 联塑</v>
          </cell>
          <cell r="E578" t="str">
            <v>PPR 90° Reducing Tee dn32x16 Green(INA) - LESSO</v>
          </cell>
        </row>
        <row r="578">
          <cell r="G578">
            <v>2973</v>
          </cell>
          <cell r="H578">
            <v>2973</v>
          </cell>
          <cell r="I578">
            <v>0.12</v>
          </cell>
          <cell r="J578">
            <v>3379</v>
          </cell>
          <cell r="K578">
            <v>0.1</v>
          </cell>
          <cell r="L578">
            <v>3303</v>
          </cell>
        </row>
        <row r="579">
          <cell r="C579">
            <v>8010071361</v>
          </cell>
          <cell r="D579" t="str">
            <v>90°异径三通(PPR 配件)印尼绿色 dn32x20 (1"x1/2") 联塑</v>
          </cell>
          <cell r="E579" t="str">
            <v>PPR 90° Reducing Tee dn32x20 (1"x1/2") Green(INA) - LESSO</v>
          </cell>
        </row>
        <row r="579">
          <cell r="G579">
            <v>3171</v>
          </cell>
          <cell r="H579">
            <v>3171</v>
          </cell>
          <cell r="I579">
            <v>0.12</v>
          </cell>
          <cell r="J579">
            <v>3604</v>
          </cell>
          <cell r="K579">
            <v>0.1</v>
          </cell>
          <cell r="L579">
            <v>3523</v>
          </cell>
        </row>
        <row r="580">
          <cell r="C580">
            <v>8010071362</v>
          </cell>
          <cell r="D580" t="str">
            <v>90°异径三通(PPR 配件)印尼绿色 dn32x25 (1"x3/4") 联塑</v>
          </cell>
          <cell r="E580" t="str">
            <v>PPR 90° Reducing Tee dn32x25 (1"x3/4") Green(INA) - LESSO</v>
          </cell>
        </row>
        <row r="580">
          <cell r="G580">
            <v>3647</v>
          </cell>
          <cell r="H580">
            <v>3647</v>
          </cell>
          <cell r="I580">
            <v>0.12</v>
          </cell>
          <cell r="J580">
            <v>4145</v>
          </cell>
          <cell r="K580">
            <v>0.1</v>
          </cell>
          <cell r="L580">
            <v>4052</v>
          </cell>
        </row>
        <row r="581">
          <cell r="C581">
            <v>8010071363</v>
          </cell>
          <cell r="D581" t="str">
            <v>90°异径三通(PPR 配件)印尼绿色 dn40x20 (1-1/4"x1/2") 联塑</v>
          </cell>
          <cell r="E581" t="str">
            <v>PPR 90° Reducing Tee dn40x20 (1-1/4"x1/2") Green(INA) - LESSO</v>
          </cell>
        </row>
        <row r="581">
          <cell r="G581">
            <v>6342</v>
          </cell>
          <cell r="H581">
            <v>6342</v>
          </cell>
          <cell r="I581">
            <v>0.12</v>
          </cell>
          <cell r="J581">
            <v>7207</v>
          </cell>
          <cell r="K581">
            <v>0.1</v>
          </cell>
          <cell r="L581">
            <v>7047</v>
          </cell>
        </row>
        <row r="582">
          <cell r="C582">
            <v>8010071364</v>
          </cell>
          <cell r="D582" t="str">
            <v>90°异径三通(PPR 配件)印尼绿色 dn40x25 (1-1/4"x3/4") 联塑</v>
          </cell>
          <cell r="E582" t="str">
            <v>PPR 90° Reducing Tee dn40x25 (1-1/4"x3/4") Green(INA) - LESSO</v>
          </cell>
        </row>
        <row r="582">
          <cell r="G582">
            <v>7056</v>
          </cell>
          <cell r="H582">
            <v>7056</v>
          </cell>
          <cell r="I582">
            <v>0.12</v>
          </cell>
          <cell r="J582">
            <v>8019</v>
          </cell>
          <cell r="K582">
            <v>0.1</v>
          </cell>
          <cell r="L582">
            <v>7840</v>
          </cell>
        </row>
        <row r="583">
          <cell r="C583">
            <v>8010071365</v>
          </cell>
          <cell r="D583" t="str">
            <v>90°异径三通(PPR 配件)印尼绿色 dn40x32 (1-1/4"x1") 联塑</v>
          </cell>
          <cell r="E583" t="str">
            <v>PPR 90° Reducing Tee dn40x32 (1-1/4"x1") Green(INA) - LESSO</v>
          </cell>
        </row>
        <row r="583">
          <cell r="G583">
            <v>7650</v>
          </cell>
          <cell r="H583">
            <v>7650</v>
          </cell>
          <cell r="I583">
            <v>0.12</v>
          </cell>
          <cell r="J583">
            <v>8694</v>
          </cell>
          <cell r="K583">
            <v>0.1</v>
          </cell>
          <cell r="L583">
            <v>8500</v>
          </cell>
        </row>
        <row r="584">
          <cell r="C584">
            <v>8010071366</v>
          </cell>
          <cell r="D584" t="str">
            <v>90°异径三通(PPR 配件)印尼绿色 dn50x20 (1-1/2"x1/2") 联塑</v>
          </cell>
          <cell r="E584" t="str">
            <v>PPR 90° Reducing Tee dn50x20 (1-1/2"x1/2") Green(INA) - LESSO</v>
          </cell>
        </row>
        <row r="584">
          <cell r="G584">
            <v>10227</v>
          </cell>
          <cell r="H584">
            <v>10227</v>
          </cell>
          <cell r="I584">
            <v>0.12</v>
          </cell>
          <cell r="J584">
            <v>11622</v>
          </cell>
          <cell r="K584">
            <v>0.1</v>
          </cell>
          <cell r="L584">
            <v>11363</v>
          </cell>
        </row>
        <row r="585">
          <cell r="C585">
            <v>8010071367</v>
          </cell>
          <cell r="D585" t="str">
            <v>90°异径三通(PPR 配件)印尼绿色 dn50x25 (1-1/2"x3/4") 联塑</v>
          </cell>
          <cell r="E585" t="str">
            <v>PPR 90° Reducing Tee dn50x25 (1-1/2"x3/4") Green(INA) - LESSO</v>
          </cell>
        </row>
        <row r="585">
          <cell r="G585">
            <v>10386</v>
          </cell>
          <cell r="H585">
            <v>10386</v>
          </cell>
          <cell r="I585">
            <v>0.12</v>
          </cell>
          <cell r="J585">
            <v>11803</v>
          </cell>
          <cell r="K585">
            <v>0.1</v>
          </cell>
          <cell r="L585">
            <v>11540</v>
          </cell>
        </row>
        <row r="586">
          <cell r="C586">
            <v>8010071368</v>
          </cell>
          <cell r="D586" t="str">
            <v>90°异径三通(PPR 配件)印尼绿色 dn50x32 (1-1/2"x1") 联塑</v>
          </cell>
          <cell r="E586" t="str">
            <v>PPR 90° Reducing Tee dn50x32 (1-1/2"x1") Green(INA) - LESSO</v>
          </cell>
        </row>
        <row r="586">
          <cell r="G586">
            <v>10861</v>
          </cell>
          <cell r="H586">
            <v>10861</v>
          </cell>
          <cell r="I586">
            <v>0.12</v>
          </cell>
          <cell r="J586">
            <v>12343</v>
          </cell>
          <cell r="K586">
            <v>0.1</v>
          </cell>
          <cell r="L586">
            <v>12068</v>
          </cell>
        </row>
        <row r="587">
          <cell r="C587">
            <v>8010071369</v>
          </cell>
          <cell r="D587" t="str">
            <v>90°异径三通(PPR 配件)印尼绿色 dn50x40 (1-1/2"x1-1/4") 联塑</v>
          </cell>
          <cell r="E587" t="str">
            <v>PPR 90° Reducing Tee dn50x40 (1-1/2"x1-1/4") Green(INA) - LESSO</v>
          </cell>
        </row>
        <row r="587">
          <cell r="G587">
            <v>11178</v>
          </cell>
          <cell r="H587">
            <v>11178</v>
          </cell>
          <cell r="I587">
            <v>0.12</v>
          </cell>
          <cell r="J587">
            <v>12703</v>
          </cell>
          <cell r="K587">
            <v>0.1</v>
          </cell>
          <cell r="L587">
            <v>12420</v>
          </cell>
        </row>
        <row r="588">
          <cell r="C588">
            <v>8010071370</v>
          </cell>
          <cell r="D588" t="str">
            <v>90°异径三通(PPR 配件)印尼绿色 dn63x25 (2"x3/4") 联塑</v>
          </cell>
          <cell r="E588" t="str">
            <v>PPR 90° Reducing Tee dn63x25 (2"x3/4") Green(INA) - LESSO</v>
          </cell>
        </row>
        <row r="588">
          <cell r="G588">
            <v>14389</v>
          </cell>
          <cell r="H588">
            <v>14389</v>
          </cell>
          <cell r="I588">
            <v>0.12</v>
          </cell>
          <cell r="J588">
            <v>16352</v>
          </cell>
          <cell r="K588">
            <v>0.1</v>
          </cell>
          <cell r="L588">
            <v>15988</v>
          </cell>
        </row>
        <row r="589">
          <cell r="C589">
            <v>8010071371</v>
          </cell>
          <cell r="D589" t="str">
            <v>90°异径三通(PPR 配件)印尼绿色 dn63x32 (2"x1") 联塑</v>
          </cell>
          <cell r="E589" t="str">
            <v>PPR 90° Reducing Tee dn63x32 (2"x1") Green(INA) - LESSO</v>
          </cell>
        </row>
        <row r="589">
          <cell r="G589">
            <v>15301</v>
          </cell>
          <cell r="H589">
            <v>15301</v>
          </cell>
          <cell r="I589">
            <v>0.12</v>
          </cell>
          <cell r="J589">
            <v>17388</v>
          </cell>
          <cell r="K589">
            <v>0.1</v>
          </cell>
          <cell r="L589">
            <v>17001</v>
          </cell>
        </row>
        <row r="590">
          <cell r="C590">
            <v>8010071372</v>
          </cell>
          <cell r="D590" t="str">
            <v>90°异径三通(PPR 配件)印尼绿色 dn63x40 (2"x1-1/4") 联塑</v>
          </cell>
          <cell r="E590" t="str">
            <v>PPR 90° Reducing Tee dn63x40 (2"x1-1/4") Green(INA) - LESSO</v>
          </cell>
        </row>
        <row r="590">
          <cell r="G590">
            <v>17085</v>
          </cell>
          <cell r="H590">
            <v>17085</v>
          </cell>
          <cell r="I590">
            <v>0.12</v>
          </cell>
          <cell r="J590">
            <v>19415</v>
          </cell>
          <cell r="K590">
            <v>0.1</v>
          </cell>
          <cell r="L590">
            <v>18983</v>
          </cell>
        </row>
        <row r="591">
          <cell r="C591">
            <v>8010071373</v>
          </cell>
          <cell r="D591" t="str">
            <v>90°异径三通(PPR 配件)印尼绿色 dn63x50 (2"x1-1/2") 联塑</v>
          </cell>
          <cell r="E591" t="str">
            <v>PPR 90° Reducing Tee dn63x50 (2"x1-1/2") Green(INA) - LESSO</v>
          </cell>
        </row>
        <row r="591">
          <cell r="G591">
            <v>20018</v>
          </cell>
          <cell r="H591">
            <v>20018</v>
          </cell>
          <cell r="I591">
            <v>0.12</v>
          </cell>
          <cell r="J591">
            <v>22748</v>
          </cell>
          <cell r="K591">
            <v>0.1</v>
          </cell>
          <cell r="L591">
            <v>22242</v>
          </cell>
        </row>
        <row r="592">
          <cell r="C592">
            <v>8010072304</v>
          </cell>
          <cell r="D592" t="str">
            <v>90°异径三通(PPR 配件)印尼绿色 dn75x32 (2-1/2"x1") 联塑</v>
          </cell>
          <cell r="E592" t="str">
            <v>PPR 90° Reducing Tee dn75x32 (2-1/2"x1") Green(INA) - LESSO</v>
          </cell>
        </row>
        <row r="592">
          <cell r="G592">
            <v>23546</v>
          </cell>
          <cell r="H592">
            <v>23546</v>
          </cell>
          <cell r="I592">
            <v>0.12</v>
          </cell>
          <cell r="J592">
            <v>26757</v>
          </cell>
          <cell r="K592">
            <v>0.1</v>
          </cell>
          <cell r="L592">
            <v>26162</v>
          </cell>
        </row>
        <row r="593">
          <cell r="C593">
            <v>8010071374</v>
          </cell>
          <cell r="D593" t="str">
            <v>90°异径三通(PPR 配件)印尼绿色 dn75x40 (2-1/2"x1-/4") 联塑</v>
          </cell>
          <cell r="E593" t="str">
            <v>PPR 90° Reducing Tee dn75x40 (2-1/2"x1-/4") Green(INA) - LESSO</v>
          </cell>
        </row>
        <row r="593">
          <cell r="G593">
            <v>26598</v>
          </cell>
          <cell r="H593">
            <v>26598</v>
          </cell>
          <cell r="I593">
            <v>0.12</v>
          </cell>
          <cell r="J593">
            <v>30225</v>
          </cell>
          <cell r="K593">
            <v>0.1</v>
          </cell>
          <cell r="L593">
            <v>29553</v>
          </cell>
        </row>
        <row r="594">
          <cell r="C594">
            <v>8010071375</v>
          </cell>
          <cell r="D594" t="str">
            <v>90°异径三通(PPR 配件)印尼绿色 dn75x50 (2-1/2"x1-1/2") 联塑</v>
          </cell>
          <cell r="E594" t="str">
            <v>PPR 90° Reducing Tee dn75x50 (2-1/2"x1-1/2") Green(INA) - LESSO</v>
          </cell>
        </row>
        <row r="594">
          <cell r="G594">
            <v>27074</v>
          </cell>
          <cell r="H594">
            <v>27074</v>
          </cell>
          <cell r="I594">
            <v>0.12</v>
          </cell>
          <cell r="J594">
            <v>30766</v>
          </cell>
          <cell r="K594">
            <v>0.1</v>
          </cell>
          <cell r="L594">
            <v>30082</v>
          </cell>
        </row>
        <row r="595">
          <cell r="C595">
            <v>8010071376</v>
          </cell>
          <cell r="D595" t="str">
            <v>90°异径三通(PPR 配件)印尼绿色 dn75x63 (2-1/2"x2") 联塑</v>
          </cell>
          <cell r="E595" t="str">
            <v>PPR 90° Reducing Tee dn75x63 (2-1/2"x2") Green(INA) - LESSO</v>
          </cell>
        </row>
        <row r="595">
          <cell r="G595">
            <v>43088</v>
          </cell>
          <cell r="H595">
            <v>43088</v>
          </cell>
          <cell r="I595">
            <v>0.12</v>
          </cell>
          <cell r="J595">
            <v>48964</v>
          </cell>
          <cell r="K595">
            <v>0.1</v>
          </cell>
          <cell r="L595">
            <v>47876</v>
          </cell>
        </row>
        <row r="596">
          <cell r="C596">
            <v>8010071352</v>
          </cell>
          <cell r="D596" t="str">
            <v>90°异径三通(PPR 配件)印尼绿色 dn90x40 (3"X1-1/4") 联塑</v>
          </cell>
          <cell r="E596" t="str">
            <v>PPR 90° Reducing Tee dn90x40 (3"X1-1/4") Green(INA) - LESSO</v>
          </cell>
        </row>
        <row r="596">
          <cell r="G596">
            <v>41899</v>
          </cell>
          <cell r="H596">
            <v>41899</v>
          </cell>
          <cell r="I596">
            <v>0.12</v>
          </cell>
          <cell r="J596">
            <v>47613</v>
          </cell>
          <cell r="K596">
            <v>0.1</v>
          </cell>
          <cell r="L596">
            <v>46554</v>
          </cell>
        </row>
        <row r="597">
          <cell r="C597">
            <v>8010071353</v>
          </cell>
          <cell r="D597" t="str">
            <v>90°异径三通(PPR 配件)印尼绿色 dn90x50 (3"X1-1/2") 联塑</v>
          </cell>
          <cell r="E597" t="str">
            <v>PPR 90° Reducing Tee dn90x50 (3"X1-1/2") Green(INA) - LESSO</v>
          </cell>
        </row>
        <row r="597">
          <cell r="G597">
            <v>58270</v>
          </cell>
          <cell r="H597">
            <v>58270</v>
          </cell>
          <cell r="I597">
            <v>0.12</v>
          </cell>
          <cell r="J597">
            <v>66216</v>
          </cell>
          <cell r="K597">
            <v>0.1</v>
          </cell>
          <cell r="L597">
            <v>64744</v>
          </cell>
        </row>
        <row r="598">
          <cell r="C598">
            <v>8010071354</v>
          </cell>
          <cell r="D598" t="str">
            <v>90°异径三通(PPR 配件)印尼绿色 dn90x63 (3"X2") 联塑</v>
          </cell>
          <cell r="E598" t="str">
            <v>PPR 90° Reducing Tee dn90x63 (3"X2") Green(INA) - LESSO</v>
          </cell>
        </row>
        <row r="598">
          <cell r="G598">
            <v>66595</v>
          </cell>
          <cell r="H598">
            <v>66595</v>
          </cell>
          <cell r="I598">
            <v>0.12</v>
          </cell>
          <cell r="J598">
            <v>75677</v>
          </cell>
          <cell r="K598">
            <v>0.1</v>
          </cell>
          <cell r="L598">
            <v>73994</v>
          </cell>
        </row>
        <row r="599">
          <cell r="C599">
            <v>8010071355</v>
          </cell>
          <cell r="D599" t="str">
            <v>90°异径三通(PPR 配件)印尼绿色 dn90x75 (3"X2-1/2") 联塑</v>
          </cell>
          <cell r="E599" t="str">
            <v>PPR 90° Reducing Tee dn90x75 (3"X2-1/2") Green(INA) - LESSO</v>
          </cell>
        </row>
        <row r="599">
          <cell r="G599">
            <v>124270</v>
          </cell>
          <cell r="H599">
            <v>124270</v>
          </cell>
          <cell r="I599">
            <v>0.12</v>
          </cell>
          <cell r="J599">
            <v>141216</v>
          </cell>
          <cell r="K599">
            <v>0.1</v>
          </cell>
          <cell r="L599">
            <v>138078</v>
          </cell>
        </row>
        <row r="600">
          <cell r="C600">
            <v>8010071356</v>
          </cell>
          <cell r="D600" t="str">
            <v>90°异径三通(PPR 配件)印尼绿色 dn110x50 (4"X1-1/2") 联塑</v>
          </cell>
          <cell r="E600" t="str">
            <v>PPR 90° REDUCING TEE dn110x50 (4"X1-1/2") Green(INA) - LESSO</v>
          </cell>
        </row>
        <row r="600">
          <cell r="G600">
            <v>101081</v>
          </cell>
          <cell r="H600">
            <v>101081</v>
          </cell>
          <cell r="I600">
            <v>0.12</v>
          </cell>
          <cell r="J600">
            <v>114865</v>
          </cell>
          <cell r="K600">
            <v>0.1</v>
          </cell>
          <cell r="L600">
            <v>112312</v>
          </cell>
        </row>
        <row r="601">
          <cell r="C601">
            <v>8010071357</v>
          </cell>
          <cell r="D601" t="str">
            <v>90°异径三通(PPR 配件)印尼绿色 dn110x63 (4"X2") 联塑</v>
          </cell>
          <cell r="E601" t="str">
            <v>PPR 90° Reducing Tee dn110x63 (4"X2") Green(INA) - LESSO</v>
          </cell>
        </row>
        <row r="601">
          <cell r="G601">
            <v>111784</v>
          </cell>
          <cell r="H601">
            <v>111784</v>
          </cell>
          <cell r="I601">
            <v>0.12</v>
          </cell>
          <cell r="J601">
            <v>127028</v>
          </cell>
          <cell r="K601">
            <v>0.1</v>
          </cell>
          <cell r="L601">
            <v>124204</v>
          </cell>
        </row>
        <row r="602">
          <cell r="C602">
            <v>8010071358</v>
          </cell>
          <cell r="D602" t="str">
            <v>90°异径三通(PPR 配件)印尼绿色 dn110x75 (4"X2-1/2") 联塑</v>
          </cell>
          <cell r="E602" t="str">
            <v>PPR 90° Reducing Tee dn110x75 (4"X2-1/2") Green(INA) - LESSO</v>
          </cell>
        </row>
        <row r="602">
          <cell r="G602">
            <v>128274</v>
          </cell>
          <cell r="H602">
            <v>128274</v>
          </cell>
          <cell r="I602">
            <v>0.12</v>
          </cell>
          <cell r="J602">
            <v>145766</v>
          </cell>
          <cell r="K602">
            <v>0.1</v>
          </cell>
          <cell r="L602">
            <v>142527</v>
          </cell>
        </row>
        <row r="603">
          <cell r="C603">
            <v>8010071359</v>
          </cell>
          <cell r="D603" t="str">
            <v>90°异径三通(PPR 配件)印尼绿色 dn110x90 (4"X3") 联塑</v>
          </cell>
          <cell r="E603" t="str">
            <v>PPR 90° Reducing Tee dn110x90 (4"X3") Green(INA) - LESSO</v>
          </cell>
        </row>
        <row r="603">
          <cell r="G603">
            <v>151820</v>
          </cell>
          <cell r="H603">
            <v>151820</v>
          </cell>
          <cell r="I603">
            <v>0.12</v>
          </cell>
          <cell r="J603">
            <v>172523</v>
          </cell>
          <cell r="K603">
            <v>0.1</v>
          </cell>
          <cell r="L603">
            <v>168689</v>
          </cell>
        </row>
        <row r="604">
          <cell r="C604">
            <v>80576871</v>
          </cell>
          <cell r="D604" t="str">
            <v>90°异径三通(PPR 配件)印尼绿色 dn160x110 (6"X4") 联塑</v>
          </cell>
        </row>
        <row r="604">
          <cell r="G604">
            <v>652635</v>
          </cell>
          <cell r="H604">
            <v>652635</v>
          </cell>
          <cell r="I604">
            <v>0.12</v>
          </cell>
          <cell r="J604">
            <v>741631</v>
          </cell>
          <cell r="K604">
            <v>0.1</v>
          </cell>
          <cell r="L604">
            <v>725150</v>
          </cell>
        </row>
        <row r="605">
          <cell r="C605">
            <v>8010072475</v>
          </cell>
          <cell r="D605" t="str">
            <v>90°异径三通(PPR 配件)印尼绿色 dn20x25x20 (1/2"x3/4"x1/2") 联塑</v>
          </cell>
          <cell r="E605" t="str">
            <v>PPR Reducing Tee dn20x25x20 (1/2"x3/4"x1/2") Green(INA) - LESSO</v>
          </cell>
        </row>
        <row r="605">
          <cell r="G605">
            <v>1744</v>
          </cell>
          <cell r="H605">
            <v>1744</v>
          </cell>
          <cell r="I605">
            <v>0.12</v>
          </cell>
          <cell r="J605">
            <v>1982</v>
          </cell>
          <cell r="K605">
            <v>0.1</v>
          </cell>
          <cell r="L605">
            <v>1938</v>
          </cell>
        </row>
        <row r="606">
          <cell r="C606">
            <v>8010072476</v>
          </cell>
          <cell r="D606" t="str">
            <v>90°异径三通(PPR 配件)印尼绿色 dn25x20x20 (3/4"x1/2"x1/2") 联塑</v>
          </cell>
          <cell r="E606" t="str">
            <v>PPR Reducing Tee dn25x20x20 (3/4"x1/2"x1/2") Green(INA) - LESSO</v>
          </cell>
        </row>
        <row r="606">
          <cell r="G606">
            <v>1982</v>
          </cell>
          <cell r="H606">
            <v>1982</v>
          </cell>
          <cell r="I606">
            <v>0.12</v>
          </cell>
          <cell r="J606">
            <v>2253</v>
          </cell>
          <cell r="K606">
            <v>0.1</v>
          </cell>
          <cell r="L606">
            <v>2202</v>
          </cell>
        </row>
        <row r="607">
          <cell r="C607">
            <v>8010072754</v>
          </cell>
          <cell r="D607" t="str">
            <v>外螺纹直接头Ⅰ型(PPR 配件)印尼绿色 dn16x1/2" 联塑</v>
          </cell>
          <cell r="E607" t="str">
            <v>PPR Male Thread Adapter I dn16x1/2" Green(INA) - LESSO</v>
          </cell>
        </row>
        <row r="607">
          <cell r="G607">
            <v>34924</v>
          </cell>
          <cell r="H607">
            <v>34924</v>
          </cell>
          <cell r="I607">
            <v>0.12</v>
          </cell>
          <cell r="J607">
            <v>39687</v>
          </cell>
          <cell r="K607">
            <v>0.1</v>
          </cell>
          <cell r="L607">
            <v>38804</v>
          </cell>
        </row>
        <row r="608">
          <cell r="C608">
            <v>8010071491</v>
          </cell>
          <cell r="D608" t="str">
            <v>外螺纹直接头Ⅰ型(PPR 配件)印尼绿色 dn20x1/2" 联塑</v>
          </cell>
          <cell r="E608" t="str">
            <v>PPR Male Thread Adapter I dn20x1/2" Green(INA) - LESSO</v>
          </cell>
        </row>
        <row r="608">
          <cell r="G608">
            <v>11150</v>
          </cell>
          <cell r="H608">
            <v>11150</v>
          </cell>
          <cell r="I608">
            <v>0.12</v>
          </cell>
          <cell r="J608">
            <v>12671</v>
          </cell>
          <cell r="K608">
            <v>0.1</v>
          </cell>
          <cell r="L608">
            <v>12389</v>
          </cell>
        </row>
        <row r="609">
          <cell r="C609">
            <v>8010072350</v>
          </cell>
          <cell r="D609" t="str">
            <v>外螺纹直接头Ⅰ型(PPR 配件)印尼绿色 dn20x3/4" 联塑</v>
          </cell>
          <cell r="E609" t="str">
            <v>PPR Male Thread Adapter I dn20×3/4" Green(INA) - LESSO</v>
          </cell>
        </row>
        <row r="609">
          <cell r="G609">
            <v>14007</v>
          </cell>
          <cell r="H609">
            <v>14007</v>
          </cell>
          <cell r="I609">
            <v>0.12</v>
          </cell>
          <cell r="J609">
            <v>15918</v>
          </cell>
          <cell r="K609">
            <v>0.1</v>
          </cell>
          <cell r="L609">
            <v>15563</v>
          </cell>
        </row>
        <row r="610">
          <cell r="C610">
            <v>8010071492</v>
          </cell>
          <cell r="D610" t="str">
            <v>外螺纹直接头Ⅰ型(PPR 配件)印尼绿色 dn25x1/2" 联塑</v>
          </cell>
          <cell r="E610" t="str">
            <v>PPR Male Thread Adapter I dn25x1/2" Green(INA) - LESSO</v>
          </cell>
        </row>
        <row r="610">
          <cell r="G610">
            <v>11243</v>
          </cell>
          <cell r="H610">
            <v>11243</v>
          </cell>
          <cell r="I610">
            <v>0.12</v>
          </cell>
          <cell r="J610">
            <v>12777</v>
          </cell>
          <cell r="K610">
            <v>0.1</v>
          </cell>
          <cell r="L610">
            <v>12492</v>
          </cell>
        </row>
        <row r="611">
          <cell r="C611">
            <v>8010071493</v>
          </cell>
          <cell r="D611" t="str">
            <v>外螺纹直接头Ⅰ型(PPR 配件)印尼绿色 dn25x3/4" 联塑</v>
          </cell>
          <cell r="E611" t="str">
            <v>PPR Male Thread Adapter I dn25x3/4" Green(INA) - LESSO</v>
          </cell>
        </row>
        <row r="611">
          <cell r="G611">
            <v>14195</v>
          </cell>
          <cell r="H611">
            <v>14195</v>
          </cell>
          <cell r="I611">
            <v>0.12</v>
          </cell>
          <cell r="J611">
            <v>16131</v>
          </cell>
          <cell r="K611">
            <v>0.1</v>
          </cell>
          <cell r="L611">
            <v>15772</v>
          </cell>
        </row>
        <row r="612">
          <cell r="C612">
            <v>8010071494</v>
          </cell>
          <cell r="D612" t="str">
            <v>外螺纹直接头Ⅰ型(PPR 配件)印尼绿色 dn32x1/2" 联塑</v>
          </cell>
          <cell r="E612" t="str">
            <v>PPR Male Thread Adapter I dn32x1/2" Green(INA) - LESSO</v>
          </cell>
        </row>
        <row r="612">
          <cell r="G612">
            <v>12274</v>
          </cell>
          <cell r="H612">
            <v>12274</v>
          </cell>
          <cell r="I612">
            <v>0.12</v>
          </cell>
          <cell r="J612">
            <v>13948</v>
          </cell>
          <cell r="K612">
            <v>0.1</v>
          </cell>
          <cell r="L612">
            <v>13638</v>
          </cell>
        </row>
        <row r="613">
          <cell r="C613">
            <v>8010071732</v>
          </cell>
          <cell r="D613" t="str">
            <v>外螺纹直接头Ⅰ型(PPR 配件)印尼绿色 dn32x3/4" 联塑</v>
          </cell>
          <cell r="E613" t="str">
            <v>PPR Male Thread Adapter I dn32x3/4" Green(INA) - LESSO</v>
          </cell>
        </row>
        <row r="613">
          <cell r="G613">
            <v>14663</v>
          </cell>
          <cell r="H613">
            <v>14663</v>
          </cell>
          <cell r="I613">
            <v>0.12</v>
          </cell>
          <cell r="J613">
            <v>16663</v>
          </cell>
          <cell r="K613">
            <v>0.1</v>
          </cell>
          <cell r="L613">
            <v>16292</v>
          </cell>
        </row>
        <row r="614">
          <cell r="C614">
            <v>8010071616</v>
          </cell>
          <cell r="D614" t="str">
            <v>外螺纹直接头Ⅱ型(PPR 配件)印尼绿色 dn32x1" 联塑</v>
          </cell>
          <cell r="E614" t="str">
            <v>PPR Male Thread Adapter II dn32x1" Green(INA) - LESSO</v>
          </cell>
        </row>
        <row r="614">
          <cell r="G614">
            <v>50126</v>
          </cell>
          <cell r="H614">
            <v>50126</v>
          </cell>
          <cell r="I614">
            <v>0.12</v>
          </cell>
          <cell r="J614">
            <v>56962</v>
          </cell>
          <cell r="K614">
            <v>0.1</v>
          </cell>
          <cell r="L614">
            <v>55696</v>
          </cell>
        </row>
        <row r="615">
          <cell r="C615">
            <v>8010072351</v>
          </cell>
          <cell r="D615" t="str">
            <v>外螺纹直接头Ⅱ型(PPR 配件)印尼绿色 dn40x1" 联塑</v>
          </cell>
          <cell r="E615" t="str">
            <v>PPR Male Thread Adapter II dn40×1" Green(INA) - LESSO</v>
          </cell>
        </row>
        <row r="615">
          <cell r="G615">
            <v>50688</v>
          </cell>
          <cell r="H615">
            <v>50688</v>
          </cell>
          <cell r="I615">
            <v>0.12</v>
          </cell>
          <cell r="J615">
            <v>57600</v>
          </cell>
          <cell r="K615">
            <v>0.1</v>
          </cell>
          <cell r="L615">
            <v>56320</v>
          </cell>
        </row>
        <row r="616">
          <cell r="C616">
            <v>8010071495</v>
          </cell>
          <cell r="D616" t="str">
            <v>外螺纹直接头Ⅱ型(PPR 配件)印尼绿色 dn40x1-1/4" 联塑</v>
          </cell>
          <cell r="E616" t="str">
            <v>PPR Male Thread Adapter II dn40x1-1/4" Green(INA) - LESSO</v>
          </cell>
        </row>
        <row r="616">
          <cell r="G616">
            <v>90555</v>
          </cell>
          <cell r="H616">
            <v>90555</v>
          </cell>
          <cell r="I616">
            <v>0.12</v>
          </cell>
          <cell r="J616">
            <v>102904</v>
          </cell>
          <cell r="K616">
            <v>0.1</v>
          </cell>
          <cell r="L616">
            <v>100617</v>
          </cell>
        </row>
        <row r="617">
          <cell r="C617">
            <v>8010071496</v>
          </cell>
          <cell r="D617" t="str">
            <v>外螺纹直接头Ⅱ型(PPR 配件)印尼绿色 dn50x1-1/2" 联塑</v>
          </cell>
          <cell r="E617" t="str">
            <v>PPR Male Thread Adapter II dn50×1-1/2" Green(INA) - LESSO</v>
          </cell>
        </row>
        <row r="617">
          <cell r="G617">
            <v>111027</v>
          </cell>
          <cell r="H617">
            <v>111027</v>
          </cell>
          <cell r="I617">
            <v>0.12</v>
          </cell>
          <cell r="J617">
            <v>126168</v>
          </cell>
          <cell r="K617">
            <v>0.1</v>
          </cell>
          <cell r="L617">
            <v>123363</v>
          </cell>
        </row>
        <row r="618">
          <cell r="C618">
            <v>8010072755</v>
          </cell>
          <cell r="D618" t="str">
            <v>外螺纹直接头Ⅱ型(PPR 配件)印尼绿色 dn50x1-1/4" 联塑</v>
          </cell>
          <cell r="E618" t="str">
            <v>PPR Male Thread Adapter II dn50x1-1/4" Green(INA) - LESSO</v>
          </cell>
        </row>
        <row r="618">
          <cell r="G618">
            <v>91445</v>
          </cell>
          <cell r="H618">
            <v>91445</v>
          </cell>
          <cell r="I618">
            <v>0.12</v>
          </cell>
          <cell r="J618">
            <v>103915</v>
          </cell>
          <cell r="K618">
            <v>0.1</v>
          </cell>
          <cell r="L618">
            <v>101606</v>
          </cell>
        </row>
        <row r="619">
          <cell r="C619">
            <v>8010070745</v>
          </cell>
          <cell r="D619" t="str">
            <v>外螺纹直接头Ⅱ型(PPR 配件)绿色 dn50x1-1/4" 联塑</v>
          </cell>
          <cell r="E619" t="str">
            <v>PPR Male Thread Adapter II dn50x1-1/4" Green - LESSO</v>
          </cell>
        </row>
        <row r="619">
          <cell r="G619">
            <v>312890</v>
          </cell>
          <cell r="H619">
            <v>312890</v>
          </cell>
          <cell r="I619">
            <v>0.12</v>
          </cell>
          <cell r="J619">
            <v>355557</v>
          </cell>
          <cell r="K619">
            <v>0.1</v>
          </cell>
          <cell r="L619">
            <v>347656</v>
          </cell>
        </row>
        <row r="620">
          <cell r="C620">
            <v>8010071497</v>
          </cell>
          <cell r="D620" t="str">
            <v>外螺纹直接头Ⅱ型(PPR 配件)印尼绿色 dn63x2" 联塑</v>
          </cell>
          <cell r="E620" t="str">
            <v>PPR Male Thread Adapter II dn63x2" Green(INA) - LESSO</v>
          </cell>
        </row>
        <row r="620">
          <cell r="G620">
            <v>157359</v>
          </cell>
          <cell r="H620">
            <v>157359</v>
          </cell>
          <cell r="I620">
            <v>0.12</v>
          </cell>
          <cell r="J620">
            <v>178818</v>
          </cell>
          <cell r="K620">
            <v>0.1</v>
          </cell>
          <cell r="L620">
            <v>174843</v>
          </cell>
        </row>
        <row r="621">
          <cell r="C621">
            <v>8010072358</v>
          </cell>
          <cell r="D621" t="str">
            <v>外螺纹直接头Ⅱ型(PPR 配件)印尼绿色 dn75x2" 联塑</v>
          </cell>
          <cell r="E621" t="str">
            <v>PPR Male thread adapter II dn75x2" Green(INA) - LESSO</v>
          </cell>
        </row>
        <row r="621">
          <cell r="G621">
            <v>162652</v>
          </cell>
          <cell r="H621">
            <v>162652</v>
          </cell>
          <cell r="I621">
            <v>0.12</v>
          </cell>
          <cell r="J621">
            <v>184832</v>
          </cell>
          <cell r="K621">
            <v>0.1</v>
          </cell>
          <cell r="L621">
            <v>180724</v>
          </cell>
        </row>
        <row r="622">
          <cell r="C622">
            <v>8010072748</v>
          </cell>
          <cell r="D622" t="str">
            <v>内螺纹直接头Ⅰ型(PPR 配件)印尼绿色 dn16x1/2" 联塑</v>
          </cell>
          <cell r="E622" t="str">
            <v>PPR Female Thread Adapter I dn16x1/2" Green(INA) - LESSO</v>
          </cell>
        </row>
        <row r="622">
          <cell r="G622">
            <v>29514</v>
          </cell>
          <cell r="H622">
            <v>29514</v>
          </cell>
          <cell r="I622">
            <v>0.12</v>
          </cell>
          <cell r="J622">
            <v>33539</v>
          </cell>
          <cell r="K622">
            <v>0.1</v>
          </cell>
          <cell r="L622">
            <v>32793</v>
          </cell>
        </row>
        <row r="623">
          <cell r="C623">
            <v>8010071387</v>
          </cell>
          <cell r="D623" t="str">
            <v>内螺纹直接头Ⅰ型(PPR 配件)印尼绿色 dn20x1/2" 联塑</v>
          </cell>
          <cell r="E623" t="str">
            <v>PPR Female Thread Adapter I dn20x1/2" Green(INA) - LESSO</v>
          </cell>
        </row>
        <row r="623">
          <cell r="G623">
            <v>8058</v>
          </cell>
          <cell r="H623">
            <v>8058</v>
          </cell>
          <cell r="I623">
            <v>0.12</v>
          </cell>
          <cell r="J623">
            <v>9157</v>
          </cell>
          <cell r="K623">
            <v>0.1</v>
          </cell>
          <cell r="L623">
            <v>8953</v>
          </cell>
        </row>
        <row r="624">
          <cell r="C624">
            <v>8010072347</v>
          </cell>
          <cell r="D624" t="str">
            <v>内螺纹直接头Ⅰ型(PPR 配件)印尼绿色 dn20x3/4" 联塑</v>
          </cell>
          <cell r="E624" t="str">
            <v>PPR Female Thread Adapter I dn20x3/4" Green(INA) - LESSO</v>
          </cell>
        </row>
        <row r="624">
          <cell r="G624">
            <v>10447</v>
          </cell>
          <cell r="H624">
            <v>10447</v>
          </cell>
          <cell r="I624">
            <v>0.12</v>
          </cell>
          <cell r="J624">
            <v>11872</v>
          </cell>
          <cell r="K624">
            <v>0.1</v>
          </cell>
          <cell r="L624">
            <v>11608</v>
          </cell>
        </row>
        <row r="625">
          <cell r="C625">
            <v>8010071388</v>
          </cell>
          <cell r="D625" t="str">
            <v>内螺纹直接头Ⅰ型(PPR 配件)印尼绿色 dn25x1/2" 联塑</v>
          </cell>
          <cell r="E625" t="str">
            <v>PPR Female Thread Adapter I dn25x1/2" Green(INA) - LESSO</v>
          </cell>
        </row>
        <row r="625">
          <cell r="G625">
            <v>8058</v>
          </cell>
          <cell r="H625">
            <v>8058</v>
          </cell>
          <cell r="I625">
            <v>0.12</v>
          </cell>
          <cell r="J625">
            <v>9157</v>
          </cell>
          <cell r="K625">
            <v>0.1</v>
          </cell>
          <cell r="L625">
            <v>8953</v>
          </cell>
        </row>
        <row r="626">
          <cell r="C626">
            <v>8010071389</v>
          </cell>
          <cell r="D626" t="str">
            <v>内螺纹直接头Ⅰ型(PPR 配件)印尼绿色 dn25x3/4" 联塑</v>
          </cell>
          <cell r="E626" t="str">
            <v>PPR Female Thread Adapter I dn25x3/4" Green(INA) - LESSO</v>
          </cell>
        </row>
        <row r="626">
          <cell r="G626">
            <v>10728</v>
          </cell>
          <cell r="H626">
            <v>10728</v>
          </cell>
          <cell r="I626">
            <v>0.12</v>
          </cell>
          <cell r="J626">
            <v>12191</v>
          </cell>
          <cell r="K626">
            <v>0.1</v>
          </cell>
          <cell r="L626">
            <v>11920</v>
          </cell>
        </row>
        <row r="627">
          <cell r="C627">
            <v>8010072348</v>
          </cell>
          <cell r="D627" t="str">
            <v>内螺纹直接头Ⅰ型(PPR 配件)印尼绿色 dn32x1/2" 联塑</v>
          </cell>
          <cell r="E627" t="str">
            <v>PPR Female Thread Adapter I dn32x1/2" Green(INA) - LESSO</v>
          </cell>
        </row>
        <row r="627">
          <cell r="G627">
            <v>8245</v>
          </cell>
          <cell r="H627">
            <v>8245</v>
          </cell>
          <cell r="I627">
            <v>0.12</v>
          </cell>
          <cell r="J627">
            <v>9370</v>
          </cell>
          <cell r="K627">
            <v>0.1</v>
          </cell>
          <cell r="L627">
            <v>9161</v>
          </cell>
        </row>
        <row r="628">
          <cell r="C628">
            <v>8010071731</v>
          </cell>
          <cell r="D628" t="str">
            <v>内螺纹直接头Ⅰ型(PPR 配件)印尼绿色 dn32x3/4" 联塑</v>
          </cell>
          <cell r="E628" t="str">
            <v>PPR Female Thread Adapter I dn32x3/4" Green(INA) - LESSO</v>
          </cell>
        </row>
        <row r="628">
          <cell r="G628">
            <v>10868</v>
          </cell>
          <cell r="H628">
            <v>10868</v>
          </cell>
          <cell r="I628">
            <v>0.12</v>
          </cell>
          <cell r="J628">
            <v>12350</v>
          </cell>
          <cell r="K628">
            <v>0.1</v>
          </cell>
          <cell r="L628">
            <v>12076</v>
          </cell>
        </row>
        <row r="629">
          <cell r="C629">
            <v>8010072480</v>
          </cell>
          <cell r="D629" t="str">
            <v>内螺纹直接头Ⅱ型(PPR 配件)印尼绿色 dn20x1/2" 联塑</v>
          </cell>
          <cell r="E629" t="str">
            <v>PPR Female Thread Adapter II dn20x1/2" Green(INA) - LESSO</v>
          </cell>
        </row>
        <row r="629">
          <cell r="G629">
            <v>19629</v>
          </cell>
          <cell r="H629">
            <v>19629</v>
          </cell>
          <cell r="I629">
            <v>0.12</v>
          </cell>
          <cell r="J629">
            <v>22306</v>
          </cell>
          <cell r="K629">
            <v>0.1</v>
          </cell>
          <cell r="L629">
            <v>21810</v>
          </cell>
        </row>
        <row r="630">
          <cell r="C630">
            <v>8010072481</v>
          </cell>
          <cell r="D630" t="str">
            <v>内螺纹直接头Ⅱ型(PPR 配件)印尼绿色 dn20x3/4" 联塑</v>
          </cell>
          <cell r="E630" t="str">
            <v>PPR Female Thread Adapter II dn20x3/4" Green(INA) - LESSO</v>
          </cell>
        </row>
        <row r="630">
          <cell r="G630">
            <v>33402</v>
          </cell>
          <cell r="H630">
            <v>33402</v>
          </cell>
          <cell r="I630">
            <v>0.12</v>
          </cell>
          <cell r="J630">
            <v>37957</v>
          </cell>
          <cell r="K630">
            <v>0.1</v>
          </cell>
          <cell r="L630">
            <v>37113</v>
          </cell>
        </row>
        <row r="631">
          <cell r="C631">
            <v>8010072482</v>
          </cell>
          <cell r="D631" t="str">
            <v>内螺纹直接头Ⅱ型(PPR 配件)印尼绿色 dn25x3/4" 联塑</v>
          </cell>
          <cell r="E631" t="str">
            <v>PPR Female Thread Adapter II dn25x3/4" Green(INA) - LESSO</v>
          </cell>
        </row>
        <row r="631">
          <cell r="G631">
            <v>29045</v>
          </cell>
          <cell r="H631">
            <v>29045</v>
          </cell>
          <cell r="I631">
            <v>0.12</v>
          </cell>
          <cell r="J631">
            <v>33006</v>
          </cell>
          <cell r="K631">
            <v>0.1</v>
          </cell>
          <cell r="L631">
            <v>32272</v>
          </cell>
        </row>
        <row r="632">
          <cell r="C632">
            <v>8010071390</v>
          </cell>
          <cell r="D632" t="str">
            <v>内螺纹直接头Ⅱ型(PPR 配件)印尼绿色 dn32x1" 联塑</v>
          </cell>
          <cell r="E632" t="str">
            <v>PPR Female Thread Adapter II dn32x1" Green(INA) - LESSO</v>
          </cell>
        </row>
        <row r="632">
          <cell r="G632">
            <v>36353</v>
          </cell>
          <cell r="H632">
            <v>36353</v>
          </cell>
          <cell r="I632">
            <v>0.12</v>
          </cell>
          <cell r="J632">
            <v>41311</v>
          </cell>
          <cell r="K632">
            <v>0.1</v>
          </cell>
          <cell r="L632">
            <v>40392</v>
          </cell>
        </row>
        <row r="633">
          <cell r="C633">
            <v>8010072349</v>
          </cell>
          <cell r="D633" t="str">
            <v>内螺纹直接头Ⅱ型(PPR 配件)印尼绿色 dn40x1" 联塑</v>
          </cell>
          <cell r="E633" t="str">
            <v>PPR Female Thread Adapter II dn40×1" Green(INA) - LESSO</v>
          </cell>
        </row>
        <row r="633">
          <cell r="G633">
            <v>36634</v>
          </cell>
          <cell r="H633">
            <v>36634</v>
          </cell>
          <cell r="I633">
            <v>0.12</v>
          </cell>
          <cell r="J633">
            <v>41630</v>
          </cell>
          <cell r="K633">
            <v>0.1</v>
          </cell>
          <cell r="L633">
            <v>40704</v>
          </cell>
        </row>
        <row r="634">
          <cell r="C634">
            <v>8010071391</v>
          </cell>
          <cell r="D634" t="str">
            <v>内螺纹直接头Ⅱ型(PPR 配件)印尼绿色 dn40x1-1/4" 联塑</v>
          </cell>
          <cell r="E634" t="str">
            <v>PPR Female Thread Adapter II dn40×1-1/4" Green(INA) - LESSO</v>
          </cell>
        </row>
        <row r="634">
          <cell r="G634">
            <v>63009</v>
          </cell>
          <cell r="H634">
            <v>63009</v>
          </cell>
          <cell r="I634">
            <v>0.12</v>
          </cell>
          <cell r="J634">
            <v>71602</v>
          </cell>
          <cell r="K634">
            <v>0.1</v>
          </cell>
          <cell r="L634">
            <v>70010</v>
          </cell>
        </row>
        <row r="635">
          <cell r="C635">
            <v>8010071392</v>
          </cell>
          <cell r="D635" t="str">
            <v>内螺纹直接头Ⅱ型(PPR 配件)印尼绿色 dn50x1-1/2" 联塑</v>
          </cell>
          <cell r="E635" t="str">
            <v>PPR Female Thread Adapter II dn50×1-1/2" Green(INA) - LESSO</v>
          </cell>
        </row>
        <row r="635">
          <cell r="G635">
            <v>77953</v>
          </cell>
          <cell r="H635">
            <v>77953</v>
          </cell>
          <cell r="I635">
            <v>0.12</v>
          </cell>
          <cell r="J635">
            <v>88583</v>
          </cell>
          <cell r="K635">
            <v>0.1</v>
          </cell>
          <cell r="L635">
            <v>86614</v>
          </cell>
        </row>
        <row r="636">
          <cell r="C636">
            <v>8010072749</v>
          </cell>
          <cell r="D636" t="str">
            <v>内螺纹直接头Ⅱ型(PPR 配件)印尼绿色 dn50x1-1/4" 联塑</v>
          </cell>
          <cell r="E636" t="str">
            <v>PPR Female Thread Adapter II dn50x1-1/4" Green(INA) - LESSO</v>
          </cell>
        </row>
        <row r="636">
          <cell r="G636">
            <v>63899</v>
          </cell>
          <cell r="H636">
            <v>63899</v>
          </cell>
          <cell r="I636">
            <v>0.12</v>
          </cell>
          <cell r="J636">
            <v>72613</v>
          </cell>
          <cell r="K636">
            <v>0.1</v>
          </cell>
          <cell r="L636">
            <v>70999</v>
          </cell>
        </row>
        <row r="637">
          <cell r="C637">
            <v>8010071393</v>
          </cell>
          <cell r="D637" t="str">
            <v>内螺纹直接头Ⅱ型(PPR 配件)印尼绿色 dn63x2" 联塑</v>
          </cell>
          <cell r="E637" t="str">
            <v>PPR Female Thread Adapter II dn63x2" Green(INA) - LESSO</v>
          </cell>
        </row>
        <row r="637">
          <cell r="G637">
            <v>117492</v>
          </cell>
          <cell r="H637">
            <v>117492</v>
          </cell>
          <cell r="I637">
            <v>0.12</v>
          </cell>
          <cell r="J637">
            <v>133514</v>
          </cell>
          <cell r="K637">
            <v>0.1</v>
          </cell>
          <cell r="L637">
            <v>130547</v>
          </cell>
        </row>
        <row r="638">
          <cell r="C638">
            <v>8010072357</v>
          </cell>
          <cell r="D638" t="str">
            <v>内螺纹直接头Ⅱ型(PPR 配件)印尼绿色 dn75x2" 联塑</v>
          </cell>
          <cell r="E638" t="str">
            <v>PPR Female Thread Adapter II dn75×2" Green(INA) - LESSO</v>
          </cell>
        </row>
        <row r="638">
          <cell r="G638">
            <v>129813</v>
          </cell>
          <cell r="H638">
            <v>129813</v>
          </cell>
          <cell r="I638">
            <v>0.12</v>
          </cell>
          <cell r="J638">
            <v>147515</v>
          </cell>
          <cell r="K638">
            <v>0.1</v>
          </cell>
          <cell r="L638">
            <v>144237</v>
          </cell>
        </row>
        <row r="639">
          <cell r="C639">
            <v>8010072270</v>
          </cell>
          <cell r="D639" t="str">
            <v>内螺纹管接头(金属与塑胶)(PPR 配件)印尼绿色 dn20x1/2" 联塑</v>
          </cell>
          <cell r="E639" t="str">
            <v>PPR Female Thread Union(Metal &amp; Plastic) dn20x1/2" Green(INA) - LESSO</v>
          </cell>
        </row>
        <row r="639">
          <cell r="G639">
            <v>26234</v>
          </cell>
          <cell r="H639">
            <v>26234</v>
          </cell>
          <cell r="I639">
            <v>0.12</v>
          </cell>
          <cell r="J639">
            <v>29812</v>
          </cell>
          <cell r="K639">
            <v>0.1</v>
          </cell>
          <cell r="L639">
            <v>29149</v>
          </cell>
        </row>
        <row r="640">
          <cell r="C640">
            <v>8010072305</v>
          </cell>
          <cell r="D640" t="str">
            <v>内螺纹管接头(金属与塑胶)(PPR 配件)印尼绿色 dn25x1" 联塑</v>
          </cell>
          <cell r="E640" t="str">
            <v>PPR Female Thread Union (Metal &amp; Plastic) dn25x1" Green(INA) - LESSO</v>
          </cell>
        </row>
        <row r="640">
          <cell r="G640">
            <v>46613</v>
          </cell>
          <cell r="H640">
            <v>46613</v>
          </cell>
          <cell r="I640">
            <v>0.12</v>
          </cell>
          <cell r="J640">
            <v>52970</v>
          </cell>
          <cell r="K640">
            <v>0.1</v>
          </cell>
          <cell r="L640">
            <v>51792</v>
          </cell>
        </row>
        <row r="641">
          <cell r="C641">
            <v>8010072271</v>
          </cell>
          <cell r="D641" t="str">
            <v>内螺纹管接头(金属与塑胶)(PPR 配件)印尼绿色 dn25x3/4" 联塑</v>
          </cell>
          <cell r="E641" t="str">
            <v>PPR Female Thread Union (Metal &amp; Plastic) dn25x3/4" Green(INA) - LESSO</v>
          </cell>
        </row>
        <row r="641">
          <cell r="G641">
            <v>37524</v>
          </cell>
          <cell r="H641">
            <v>37524</v>
          </cell>
          <cell r="I641">
            <v>0.12</v>
          </cell>
          <cell r="J641">
            <v>42641</v>
          </cell>
          <cell r="K641">
            <v>0.1</v>
          </cell>
          <cell r="L641">
            <v>41693</v>
          </cell>
        </row>
        <row r="642">
          <cell r="C642">
            <v>8010072355</v>
          </cell>
          <cell r="D642" t="str">
            <v>内螺纹管接头(金属与塑胶)(PPR 配件)印尼绿色 dn32x1" 联塑</v>
          </cell>
          <cell r="E642" t="str">
            <v>PPR Female Thread Union (Metal &amp; Plastic) dn32x1" Green(INA) - LESSO</v>
          </cell>
        </row>
        <row r="642">
          <cell r="G642">
            <v>69755</v>
          </cell>
          <cell r="H642">
            <v>69755</v>
          </cell>
          <cell r="I642">
            <v>0.12</v>
          </cell>
          <cell r="J642">
            <v>79268</v>
          </cell>
          <cell r="K642">
            <v>0.1</v>
          </cell>
          <cell r="L642">
            <v>77506</v>
          </cell>
        </row>
        <row r="643">
          <cell r="C643">
            <v>8010072306</v>
          </cell>
          <cell r="D643" t="str">
            <v>内螺纹管接头(金属与塑胶)(PPR 配件)印尼绿色 dn32x3/4" 联塑</v>
          </cell>
          <cell r="E643" t="str">
            <v>PPR Female Thread Union (Metal &amp; Plastic) dn32x3/4" Green(INA) - LESSO</v>
          </cell>
        </row>
        <row r="643">
          <cell r="G643">
            <v>66523</v>
          </cell>
          <cell r="H643">
            <v>66523</v>
          </cell>
          <cell r="I643">
            <v>0.12</v>
          </cell>
          <cell r="J643">
            <v>75595</v>
          </cell>
          <cell r="K643">
            <v>0.1</v>
          </cell>
          <cell r="L643">
            <v>73914</v>
          </cell>
        </row>
        <row r="644">
          <cell r="C644">
            <v>8010073616</v>
          </cell>
          <cell r="D644" t="str">
            <v>内螺纹管接头(金属与塑胶)(PPR 配件)印尼绿色 dn63x2" 联塑</v>
          </cell>
          <cell r="E644" t="str">
            <v>PPR Female Thread Union (Metal × Plastic) dn63x2" Green(INA) - LESSO</v>
          </cell>
        </row>
        <row r="644">
          <cell r="G644">
            <v>172201</v>
          </cell>
          <cell r="H644">
            <v>172201</v>
          </cell>
          <cell r="I644">
            <v>0.12</v>
          </cell>
          <cell r="J644">
            <v>195683</v>
          </cell>
          <cell r="K644">
            <v>0.1</v>
          </cell>
          <cell r="L644">
            <v>191334</v>
          </cell>
        </row>
        <row r="645">
          <cell r="C645">
            <v>8010072272</v>
          </cell>
          <cell r="D645" t="str">
            <v>外螺纹管接头(金属与塑胶)(PPR 配件)印尼绿色 dn20x1/2" 联塑</v>
          </cell>
          <cell r="E645" t="str">
            <v>PPR Male Thread Union (Metal x Plastic) dn20x1/2" Green(INA) - LESSO</v>
          </cell>
        </row>
        <row r="645">
          <cell r="G645">
            <v>34573</v>
          </cell>
          <cell r="H645">
            <v>34573</v>
          </cell>
          <cell r="I645">
            <v>0.12</v>
          </cell>
          <cell r="J645">
            <v>39288</v>
          </cell>
          <cell r="K645">
            <v>0.1</v>
          </cell>
          <cell r="L645">
            <v>38414</v>
          </cell>
        </row>
        <row r="646">
          <cell r="C646">
            <v>8010072307</v>
          </cell>
          <cell r="D646" t="str">
            <v>外螺纹管接头(金属与塑胶)(PPR 配件)印尼绿色 dn25x1" 联塑</v>
          </cell>
          <cell r="E646" t="str">
            <v>PPR Male Thread Union (Metal x Plastic) dn25x1" Green(INA) - LESSO</v>
          </cell>
        </row>
        <row r="646">
          <cell r="G646">
            <v>65070</v>
          </cell>
          <cell r="H646">
            <v>65070</v>
          </cell>
          <cell r="I646">
            <v>0.12</v>
          </cell>
          <cell r="J646">
            <v>73944</v>
          </cell>
          <cell r="K646">
            <v>0.1</v>
          </cell>
          <cell r="L646">
            <v>72300</v>
          </cell>
        </row>
        <row r="647">
          <cell r="C647">
            <v>8010072273</v>
          </cell>
          <cell r="D647" t="str">
            <v>外螺纹管接头(金属与塑胶)(PPR 配件)印尼绿色 dn25x3/4" 联塑</v>
          </cell>
          <cell r="E647" t="str">
            <v>PPR Male Thread Union (Metal x Plastic) dn25x3/4" Green(INA) - LESSO</v>
          </cell>
        </row>
        <row r="647">
          <cell r="G647">
            <v>47456</v>
          </cell>
          <cell r="H647">
            <v>47456</v>
          </cell>
          <cell r="I647">
            <v>0.12</v>
          </cell>
          <cell r="J647">
            <v>53928</v>
          </cell>
          <cell r="K647">
            <v>0.1</v>
          </cell>
          <cell r="L647">
            <v>52729</v>
          </cell>
        </row>
        <row r="648">
          <cell r="C648">
            <v>8010072356</v>
          </cell>
          <cell r="D648" t="str">
            <v>外螺纹管接头(金属与塑胶)(PPR 配件)印尼绿色 dn32x1" 联塑</v>
          </cell>
          <cell r="E648" t="str">
            <v>PPR Male Thread Union (Metal x Plastic) dn32x1" Green(INA) - LESSO</v>
          </cell>
        </row>
        <row r="648">
          <cell r="G648">
            <v>76501</v>
          </cell>
          <cell r="H648">
            <v>76501</v>
          </cell>
          <cell r="I648">
            <v>0.12</v>
          </cell>
          <cell r="J648">
            <v>86933</v>
          </cell>
          <cell r="K648">
            <v>0.1</v>
          </cell>
          <cell r="L648">
            <v>85001</v>
          </cell>
        </row>
        <row r="649">
          <cell r="C649">
            <v>8010072308</v>
          </cell>
          <cell r="D649" t="str">
            <v>外螺纹管接头(金属与塑胶)(PPR 配件)印尼绿色 dn32x3/4" 联塑</v>
          </cell>
          <cell r="E649" t="str">
            <v>PPR Male Thread Union (Metal x Plastic) dn32x3/4" Green(INA) - LESSO</v>
          </cell>
        </row>
        <row r="649">
          <cell r="G649">
            <v>84980</v>
          </cell>
          <cell r="H649">
            <v>84980</v>
          </cell>
          <cell r="I649">
            <v>0.12</v>
          </cell>
          <cell r="J649">
            <v>96569</v>
          </cell>
          <cell r="K649">
            <v>0.1</v>
          </cell>
          <cell r="L649">
            <v>94422</v>
          </cell>
        </row>
        <row r="650">
          <cell r="C650">
            <v>8010072850</v>
          </cell>
          <cell r="D650" t="str">
            <v>外螺纹管接头(金属与塑胶)(PPR 配件)印尼绿色 dn40x1-1/4" 联塑</v>
          </cell>
          <cell r="E650" t="str">
            <v>PPR Male Thread Union (Metal × Plastic) dn40x1-1/4" Green(INA) - LESSO</v>
          </cell>
        </row>
        <row r="650">
          <cell r="G650">
            <v>108123</v>
          </cell>
          <cell r="H650">
            <v>108123</v>
          </cell>
          <cell r="I650">
            <v>0.12</v>
          </cell>
          <cell r="J650">
            <v>122868</v>
          </cell>
          <cell r="K650">
            <v>0.1</v>
          </cell>
          <cell r="L650">
            <v>120137</v>
          </cell>
        </row>
        <row r="651">
          <cell r="C651">
            <v>8010072852</v>
          </cell>
          <cell r="D651" t="str">
            <v>外螺纹管接头(金属与塑胶)(PPR 配件)印尼绿色 dn50x1-1/2" 联塑</v>
          </cell>
          <cell r="E651" t="str">
            <v>PPR Male Thread Union (Metal × Plastic) dn50x1-1/2" Green(INA) - LESSO</v>
          </cell>
        </row>
        <row r="651">
          <cell r="G651">
            <v>175535</v>
          </cell>
          <cell r="H651">
            <v>175535</v>
          </cell>
          <cell r="I651">
            <v>0.12</v>
          </cell>
          <cell r="J651">
            <v>199472</v>
          </cell>
          <cell r="K651">
            <v>0.1</v>
          </cell>
          <cell r="L651">
            <v>195039</v>
          </cell>
        </row>
        <row r="652">
          <cell r="C652">
            <v>8010072851</v>
          </cell>
          <cell r="D652" t="str">
            <v>外螺纹管接头(金属与塑胶)(PPR 配件)印尼绿色 dn63x2" 联塑</v>
          </cell>
          <cell r="E652" t="str">
            <v>PPR Male Thread Union (Metal × Plastic) dn63x2" Green(INA) - LESSO</v>
          </cell>
        </row>
        <row r="652">
          <cell r="G652">
            <v>379741</v>
          </cell>
          <cell r="H652">
            <v>379741</v>
          </cell>
          <cell r="I652">
            <v>0.12</v>
          </cell>
          <cell r="J652">
            <v>431524</v>
          </cell>
          <cell r="K652">
            <v>0.1</v>
          </cell>
          <cell r="L652">
            <v>421934</v>
          </cell>
        </row>
        <row r="653">
          <cell r="C653">
            <v>8010072837</v>
          </cell>
          <cell r="D653" t="str">
            <v>活接头Ⅰ(塑胶管与金属外螺纹连接)(PPR 配件)印尼绿色 dn50x1-1/2" 联塑</v>
          </cell>
          <cell r="E653" t="str">
            <v>PPR Flexible Joint I (SocxFipt with Metal) dn50x1-1/2" Green(INA) - LESSO</v>
          </cell>
        </row>
        <row r="653">
          <cell r="G653">
            <v>148832</v>
          </cell>
          <cell r="H653">
            <v>148832</v>
          </cell>
          <cell r="I653">
            <v>0.12</v>
          </cell>
          <cell r="J653">
            <v>169128</v>
          </cell>
          <cell r="K653">
            <v>0.1</v>
          </cell>
          <cell r="L653">
            <v>165369</v>
          </cell>
        </row>
        <row r="654">
          <cell r="C654">
            <v>8010072501</v>
          </cell>
          <cell r="D654" t="str">
            <v>活接头Ⅰ(塑胶管与金属外螺纹连接)(PPR 配件)印尼绿色 dn20x1/2" 联塑</v>
          </cell>
          <cell r="E654" t="str">
            <v>PPR Flexible Joint I (SocxFipt with Metal) dn20x1/2" Green(INA) - LESSO</v>
          </cell>
        </row>
        <row r="654">
          <cell r="G654">
            <v>22580</v>
          </cell>
          <cell r="H654">
            <v>22580</v>
          </cell>
          <cell r="I654">
            <v>0.12</v>
          </cell>
          <cell r="J654">
            <v>25660</v>
          </cell>
          <cell r="K654">
            <v>0.1</v>
          </cell>
          <cell r="L654">
            <v>25089</v>
          </cell>
        </row>
        <row r="655">
          <cell r="C655">
            <v>8010072502</v>
          </cell>
          <cell r="D655" t="str">
            <v>活接头Ⅰ(塑胶管与金属外螺纹连接)(PPR 配件)印尼绿色 dn20x3/4" 联塑</v>
          </cell>
          <cell r="E655" t="str">
            <v>PPR Flexible Joint I (SocxFipt with Metal) dn20x3/4" Green(INA) - LESSO</v>
          </cell>
        </row>
        <row r="655">
          <cell r="G655">
            <v>28436</v>
          </cell>
          <cell r="H655">
            <v>28436</v>
          </cell>
          <cell r="I655">
            <v>0.12</v>
          </cell>
          <cell r="J655">
            <v>32314</v>
          </cell>
          <cell r="K655">
            <v>0.1</v>
          </cell>
          <cell r="L655">
            <v>31596</v>
          </cell>
        </row>
        <row r="656">
          <cell r="C656">
            <v>8010072503</v>
          </cell>
          <cell r="D656" t="str">
            <v>活接头Ⅰ(塑胶管与金属外螺纹连接)(PPR 配件)印尼绿色 dn25x1/2" 联塑</v>
          </cell>
          <cell r="E656" t="str">
            <v>PPR Flexible Joint I (SocxFipt with Metal) dn25x1/2" Green(INA) - LESSO</v>
          </cell>
        </row>
        <row r="656">
          <cell r="G656">
            <v>22861</v>
          </cell>
          <cell r="H656">
            <v>22861</v>
          </cell>
          <cell r="I656">
            <v>0.12</v>
          </cell>
          <cell r="J656">
            <v>25979</v>
          </cell>
          <cell r="K656">
            <v>0.1</v>
          </cell>
          <cell r="L656">
            <v>25401</v>
          </cell>
        </row>
        <row r="657">
          <cell r="C657">
            <v>8010072504</v>
          </cell>
          <cell r="D657" t="str">
            <v>活接头Ⅰ(塑胶管与金属外螺纹连接)(PPR 配件)印尼绿色 dn25x3/4" 联塑</v>
          </cell>
          <cell r="E657" t="str">
            <v>PPR Flexible Joint I (SocxFipt with Metal) dn25x3/4" Green(INA) - LESSO</v>
          </cell>
        </row>
        <row r="657">
          <cell r="G657">
            <v>28717</v>
          </cell>
          <cell r="H657">
            <v>28717</v>
          </cell>
          <cell r="I657">
            <v>0.12</v>
          </cell>
          <cell r="J657">
            <v>32633</v>
          </cell>
          <cell r="K657">
            <v>0.1</v>
          </cell>
          <cell r="L657">
            <v>31908</v>
          </cell>
        </row>
        <row r="658">
          <cell r="C658">
            <v>8010072507</v>
          </cell>
          <cell r="D658" t="str">
            <v>活接头Ⅰ(塑胶管与金属外螺纹连接)(PPR 配件)印尼绿色 dn32x1" 联塑</v>
          </cell>
          <cell r="E658" t="str">
            <v>PPR Flexible Joint I (SocxFipt with Metal) dn32x1" Green(INA) - LESSO</v>
          </cell>
        </row>
        <row r="658">
          <cell r="G658">
            <v>46613</v>
          </cell>
          <cell r="H658">
            <v>46613</v>
          </cell>
          <cell r="I658">
            <v>0.12</v>
          </cell>
          <cell r="J658">
            <v>52970</v>
          </cell>
          <cell r="K658">
            <v>0.1</v>
          </cell>
          <cell r="L658">
            <v>51792</v>
          </cell>
        </row>
        <row r="659">
          <cell r="C659">
            <v>8010072505</v>
          </cell>
          <cell r="D659" t="str">
            <v>活接头Ⅰ(塑胶管与金属外螺纹连接)(PPR 配件)印尼绿色 dn32x1/2" 联塑</v>
          </cell>
          <cell r="E659" t="str">
            <v>PPR Flexible Joint I (SocxFipt with Metal) dn32x1/2" Green(INA) - LESSO</v>
          </cell>
        </row>
        <row r="659">
          <cell r="G659">
            <v>23142</v>
          </cell>
          <cell r="H659">
            <v>23142</v>
          </cell>
          <cell r="I659">
            <v>0.12</v>
          </cell>
          <cell r="J659">
            <v>26298</v>
          </cell>
          <cell r="K659">
            <v>0.1</v>
          </cell>
          <cell r="L659">
            <v>25713</v>
          </cell>
        </row>
        <row r="660">
          <cell r="C660">
            <v>8010072506</v>
          </cell>
          <cell r="D660" t="str">
            <v>活接头Ⅰ(塑胶管与金属外螺纹连接)(PPR 配件)印尼绿色 dn32x3/4" 联塑</v>
          </cell>
          <cell r="E660" t="str">
            <v>PPR Flexible Joint I (SocxFipt with Metal) dn32x3/4" Green(INA) - LESSO</v>
          </cell>
        </row>
        <row r="660">
          <cell r="G660">
            <v>29326</v>
          </cell>
          <cell r="H660">
            <v>29326</v>
          </cell>
          <cell r="I660">
            <v>0.12</v>
          </cell>
          <cell r="J660">
            <v>33325</v>
          </cell>
          <cell r="K660">
            <v>0.1</v>
          </cell>
          <cell r="L660">
            <v>32584</v>
          </cell>
        </row>
        <row r="661">
          <cell r="C661">
            <v>8010072831</v>
          </cell>
          <cell r="D661" t="str">
            <v>活接头Ⅰ(塑胶管与金属外螺纹连接)(PPR 配件)印尼绿色 dn40x1" 联塑</v>
          </cell>
          <cell r="E661" t="str">
            <v>PPR Flexible Joint I (SocxFipt with Metal) dn40x1" Green(INA) - LESSO</v>
          </cell>
        </row>
        <row r="661">
          <cell r="G661">
            <v>54811</v>
          </cell>
          <cell r="H661">
            <v>54811</v>
          </cell>
          <cell r="I661">
            <v>0.12</v>
          </cell>
          <cell r="J661">
            <v>62286</v>
          </cell>
          <cell r="K661">
            <v>0.1</v>
          </cell>
          <cell r="L661">
            <v>60901</v>
          </cell>
        </row>
        <row r="662">
          <cell r="C662">
            <v>8010072832</v>
          </cell>
          <cell r="D662" t="str">
            <v>活接头Ⅰ(塑胶管与金属外螺纹连接)(PPR 配件)印尼绿色 dn40x1-1/4" 联塑</v>
          </cell>
          <cell r="E662" t="str">
            <v>PPR Flexible Joint I (SocxFipt with Metal) dn40x1-1/4" Green(INA) - LESSO</v>
          </cell>
        </row>
        <row r="662">
          <cell r="G662">
            <v>92288</v>
          </cell>
          <cell r="H662">
            <v>92288</v>
          </cell>
          <cell r="I662">
            <v>0.12</v>
          </cell>
          <cell r="J662">
            <v>104873</v>
          </cell>
          <cell r="K662">
            <v>0.1</v>
          </cell>
          <cell r="L662">
            <v>102542</v>
          </cell>
        </row>
        <row r="663">
          <cell r="C663">
            <v>8010072823</v>
          </cell>
          <cell r="D663" t="str">
            <v>活接头Ⅰ(塑胶管与金属外螺纹连接)(PPR 配件)印尼绿色 dn40x3/4" 联塑</v>
          </cell>
          <cell r="E663" t="str">
            <v>PPR Flexible Joint I (SocxFipt with Metal) dn40x3/4" Green(INA) - LESSO</v>
          </cell>
        </row>
        <row r="663">
          <cell r="G663">
            <v>34901</v>
          </cell>
          <cell r="H663">
            <v>34901</v>
          </cell>
          <cell r="I663">
            <v>0.12</v>
          </cell>
          <cell r="J663">
            <v>39661</v>
          </cell>
          <cell r="K663">
            <v>0.1</v>
          </cell>
          <cell r="L663">
            <v>38779</v>
          </cell>
        </row>
        <row r="664">
          <cell r="C664">
            <v>8010072824</v>
          </cell>
          <cell r="D664" t="str">
            <v>活接头Ⅰ(塑胶管与金属外螺纹连接)(PPR 配件)印尼绿色 dn50x1" 联塑</v>
          </cell>
          <cell r="E664" t="str">
            <v>PPR Flexible Joint I (SocxFipt with Metal) dn50x1" Green(INA) - LESSO</v>
          </cell>
        </row>
        <row r="664">
          <cell r="G664">
            <v>56872</v>
          </cell>
          <cell r="H664">
            <v>56872</v>
          </cell>
          <cell r="I664">
            <v>0.12</v>
          </cell>
          <cell r="J664">
            <v>64628</v>
          </cell>
          <cell r="K664">
            <v>0.1</v>
          </cell>
          <cell r="L664">
            <v>63191</v>
          </cell>
        </row>
        <row r="665">
          <cell r="C665">
            <v>8010072825</v>
          </cell>
          <cell r="D665" t="str">
            <v>活接头Ⅰ(塑胶管与金属外螺纹连接)(PPR 配件)印尼绿色 dn50x1-1/4" 联塑</v>
          </cell>
          <cell r="E665" t="str">
            <v>PPR Flexible Joint I (SocxFipt with Metal) dn50x1-1/4" Green(INA) - LESSO</v>
          </cell>
        </row>
        <row r="665">
          <cell r="G665">
            <v>94677</v>
          </cell>
          <cell r="H665">
            <v>94677</v>
          </cell>
          <cell r="I665">
            <v>0.12</v>
          </cell>
          <cell r="J665">
            <v>107588</v>
          </cell>
          <cell r="K665">
            <v>0.1</v>
          </cell>
          <cell r="L665">
            <v>105197</v>
          </cell>
        </row>
        <row r="666">
          <cell r="C666">
            <v>8010071338</v>
          </cell>
          <cell r="D666" t="str">
            <v>活接头Ⅱ(塑胶管与塑胶管连接)(PPR 配件)印尼绿色 dn20 (1/2") 联塑</v>
          </cell>
          <cell r="E666" t="str">
            <v>PPR Union II (Plastic-to-Plastic | Soc × Soc) dn20 (1/2") Green(INA) - LESSO</v>
          </cell>
        </row>
        <row r="666">
          <cell r="G666">
            <v>1942</v>
          </cell>
          <cell r="H666">
            <v>1942</v>
          </cell>
          <cell r="I666">
            <v>0.12</v>
          </cell>
          <cell r="J666">
            <v>2207</v>
          </cell>
          <cell r="K666">
            <v>0.1</v>
          </cell>
          <cell r="L666">
            <v>2158</v>
          </cell>
        </row>
        <row r="667">
          <cell r="C667">
            <v>8010071339</v>
          </cell>
          <cell r="D667" t="str">
            <v>活接头Ⅱ(塑胶管与塑胶管连接)(PPR 配件)印尼绿色 dn25 (3/4") 联塑</v>
          </cell>
          <cell r="E667" t="str">
            <v>PPR Union II (Plastic-to-Plastic | Soc × Soc) dn25 (3/4") Green(INA) - LESSO</v>
          </cell>
        </row>
        <row r="667">
          <cell r="G667">
            <v>2656</v>
          </cell>
          <cell r="H667">
            <v>2656</v>
          </cell>
          <cell r="I667">
            <v>0.12</v>
          </cell>
          <cell r="J667">
            <v>3019</v>
          </cell>
          <cell r="K667">
            <v>0.1</v>
          </cell>
          <cell r="L667">
            <v>2951</v>
          </cell>
        </row>
        <row r="668">
          <cell r="C668">
            <v>8010071340</v>
          </cell>
          <cell r="D668" t="str">
            <v>活接头Ⅱ(塑胶管与塑胶管连接)(PPR 配件)印尼绿色 dn32 (1") 联塑</v>
          </cell>
          <cell r="E668" t="str">
            <v>PPR Union II (Plastic-to-Plastic | Soc × Soc) dn32 (1") Green(INA) - LESSO</v>
          </cell>
        </row>
        <row r="668">
          <cell r="G668">
            <v>5034</v>
          </cell>
          <cell r="H668">
            <v>5034</v>
          </cell>
          <cell r="I668">
            <v>0.12</v>
          </cell>
          <cell r="J668">
            <v>5721</v>
          </cell>
          <cell r="K668">
            <v>0.1</v>
          </cell>
          <cell r="L668">
            <v>5593</v>
          </cell>
        </row>
        <row r="669">
          <cell r="C669">
            <v>8010072743</v>
          </cell>
          <cell r="D669" t="str">
            <v>内螺纹弯头Ⅰ型(PPR 配件)印尼绿色 dn16x1/2" 联塑</v>
          </cell>
          <cell r="E669" t="str">
            <v>PPR Female Thread Elbow I dn16x1/2" Green(INA) - LESSO</v>
          </cell>
        </row>
        <row r="669">
          <cell r="G669">
            <v>30005</v>
          </cell>
          <cell r="H669">
            <v>30005</v>
          </cell>
          <cell r="I669">
            <v>0.12</v>
          </cell>
          <cell r="J669">
            <v>34097</v>
          </cell>
          <cell r="K669">
            <v>0.1</v>
          </cell>
          <cell r="L669">
            <v>33339</v>
          </cell>
        </row>
        <row r="670">
          <cell r="C670">
            <v>8010071733</v>
          </cell>
          <cell r="D670" t="str">
            <v>内螺纹弯头Ⅰ型(PPR 配件)印尼绿色 dn20x1/2" 联塑</v>
          </cell>
          <cell r="E670" t="str">
            <v>PPR Female Thread Elbow I dn20x1/2" Green(INA) - LESSO</v>
          </cell>
        </row>
        <row r="670">
          <cell r="G670">
            <v>7477</v>
          </cell>
          <cell r="H670">
            <v>7477</v>
          </cell>
          <cell r="I670">
            <v>0.12</v>
          </cell>
          <cell r="J670">
            <v>8497</v>
          </cell>
          <cell r="K670">
            <v>0.1</v>
          </cell>
          <cell r="L670">
            <v>8308</v>
          </cell>
        </row>
        <row r="671">
          <cell r="C671">
            <v>8010072354</v>
          </cell>
          <cell r="D671" t="str">
            <v>内螺纹弯头Ⅰ型(PPR 配件)印尼绿色 dn20x3/4" 联塑</v>
          </cell>
          <cell r="E671" t="str">
            <v>PPR Female Thread Elbow I dn20x3/4" Green(INA) - LESSO</v>
          </cell>
        </row>
        <row r="671">
          <cell r="G671">
            <v>11150</v>
          </cell>
          <cell r="H671">
            <v>11150</v>
          </cell>
          <cell r="I671">
            <v>0.12</v>
          </cell>
          <cell r="J671">
            <v>12671</v>
          </cell>
          <cell r="K671">
            <v>0.1</v>
          </cell>
          <cell r="L671">
            <v>12389</v>
          </cell>
        </row>
        <row r="672">
          <cell r="C672">
            <v>8010071394</v>
          </cell>
          <cell r="D672" t="str">
            <v>内螺纹弯头Ⅰ型(PPR 配件)印尼绿色 dn25x1/2" 联塑</v>
          </cell>
          <cell r="E672" t="str">
            <v>PPR Female Thread Elbow I dn25x1/2" Green(INA) - LESSO</v>
          </cell>
        </row>
        <row r="672">
          <cell r="G672">
            <v>8292</v>
          </cell>
          <cell r="H672">
            <v>8292</v>
          </cell>
          <cell r="I672">
            <v>0.12</v>
          </cell>
          <cell r="J672">
            <v>9423</v>
          </cell>
          <cell r="K672">
            <v>0.1</v>
          </cell>
          <cell r="L672">
            <v>9213</v>
          </cell>
        </row>
        <row r="673">
          <cell r="C673">
            <v>8010071395</v>
          </cell>
          <cell r="D673" t="str">
            <v>内螺纹弯头Ⅰ型(PPR 配件)印尼绿色 dn25x3/4" 联塑</v>
          </cell>
          <cell r="E673" t="str">
            <v>PPR Female Thread Elbow I dn25x3/4" Green(INA) - LESSO</v>
          </cell>
        </row>
        <row r="673">
          <cell r="G673">
            <v>11571</v>
          </cell>
          <cell r="H673">
            <v>11571</v>
          </cell>
          <cell r="I673">
            <v>0.12</v>
          </cell>
          <cell r="J673">
            <v>13149</v>
          </cell>
          <cell r="K673">
            <v>0.1</v>
          </cell>
          <cell r="L673">
            <v>12857</v>
          </cell>
        </row>
        <row r="674">
          <cell r="C674">
            <v>8010072485</v>
          </cell>
          <cell r="D674" t="str">
            <v>内螺纹弯头Ⅰ型(PPR 配件)印尼绿色 dn32x1/2" 联塑</v>
          </cell>
          <cell r="E674" t="str">
            <v>PPR Female Thread Elbow I dn32x1/2" Green(INA) - LESSO</v>
          </cell>
        </row>
        <row r="674">
          <cell r="G674">
            <v>8714</v>
          </cell>
          <cell r="H674">
            <v>8714</v>
          </cell>
          <cell r="I674">
            <v>0.12</v>
          </cell>
          <cell r="J674">
            <v>9903</v>
          </cell>
          <cell r="K674">
            <v>0.1</v>
          </cell>
          <cell r="L674">
            <v>9682</v>
          </cell>
        </row>
        <row r="675">
          <cell r="C675">
            <v>8010071734</v>
          </cell>
          <cell r="D675" t="str">
            <v>内螺纹弯头Ⅰ型(PPR 配件)印尼绿色 dn32x3/4" 联塑</v>
          </cell>
          <cell r="E675" t="str">
            <v>PPR Female Thread Elbow I dn32x3/4" Green(INA) - LESSO</v>
          </cell>
        </row>
        <row r="675">
          <cell r="G675">
            <v>11196</v>
          </cell>
          <cell r="H675">
            <v>11196</v>
          </cell>
          <cell r="I675">
            <v>0.12</v>
          </cell>
          <cell r="J675">
            <v>12723</v>
          </cell>
          <cell r="K675">
            <v>0.1</v>
          </cell>
          <cell r="L675">
            <v>12440</v>
          </cell>
        </row>
        <row r="676">
          <cell r="C676">
            <v>8010070552</v>
          </cell>
          <cell r="D676" t="str">
            <v>内螺纹弯头Ⅱ型(PPR 配件)绿色 dn20x1/2" 联塑</v>
          </cell>
          <cell r="E676" t="str">
            <v>PPR Female Thread Elbow II dn20x1/2" Green - LESSO</v>
          </cell>
        </row>
        <row r="676">
          <cell r="G676">
            <v>49845</v>
          </cell>
          <cell r="H676">
            <v>49845</v>
          </cell>
          <cell r="I676">
            <v>0.12</v>
          </cell>
          <cell r="J676">
            <v>56643</v>
          </cell>
          <cell r="K676">
            <v>0.1</v>
          </cell>
          <cell r="L676">
            <v>55383</v>
          </cell>
        </row>
        <row r="677">
          <cell r="C677">
            <v>8010071288</v>
          </cell>
          <cell r="D677" t="str">
            <v>内螺纹弯头Ⅱ型(PPR 配件)绿色 dn40x1-1/4" 联塑</v>
          </cell>
          <cell r="E677" t="str">
            <v>PPR Female Thread Elbow II dn40x1-1/4" Green - LESSO</v>
          </cell>
        </row>
        <row r="677">
          <cell r="G677">
            <v>225052</v>
          </cell>
          <cell r="H677">
            <v>225052</v>
          </cell>
          <cell r="I677">
            <v>0.12</v>
          </cell>
          <cell r="J677">
            <v>255741</v>
          </cell>
          <cell r="K677">
            <v>0.1</v>
          </cell>
          <cell r="L677">
            <v>250058</v>
          </cell>
        </row>
        <row r="678">
          <cell r="C678">
            <v>8010071230</v>
          </cell>
          <cell r="D678" t="str">
            <v>内螺纹弯头Ⅱ型(PPR 配件)绿色 dn50x1-1/2" 联塑</v>
          </cell>
          <cell r="E678" t="str">
            <v>PPR Female Thread Elbow II dn50x1-1/2" Green - LESSO</v>
          </cell>
        </row>
        <row r="678">
          <cell r="G678">
            <v>224865</v>
          </cell>
          <cell r="H678">
            <v>224865</v>
          </cell>
          <cell r="I678">
            <v>0.12</v>
          </cell>
          <cell r="J678">
            <v>255529</v>
          </cell>
          <cell r="K678">
            <v>0.1</v>
          </cell>
          <cell r="L678">
            <v>249850</v>
          </cell>
        </row>
        <row r="679">
          <cell r="C679">
            <v>8010072744</v>
          </cell>
          <cell r="D679" t="str">
            <v>内螺纹弯头Ⅱ型(PPR 配件)印尼绿色 dn20x1/2" 联塑</v>
          </cell>
          <cell r="E679" t="str">
            <v>PPR Female Thread Elbow II dn20x1/2" Green(INA) - LESSO</v>
          </cell>
        </row>
        <row r="679">
          <cell r="G679">
            <v>23142</v>
          </cell>
          <cell r="H679">
            <v>23142</v>
          </cell>
          <cell r="I679">
            <v>0.12</v>
          </cell>
          <cell r="J679">
            <v>26298</v>
          </cell>
          <cell r="K679">
            <v>0.1</v>
          </cell>
          <cell r="L679">
            <v>25713</v>
          </cell>
        </row>
        <row r="680">
          <cell r="C680">
            <v>8010071396</v>
          </cell>
          <cell r="D680" t="str">
            <v>内螺纹弯头Ⅱ型(PPR 配件)印尼绿色 dn32x1" 联塑</v>
          </cell>
          <cell r="E680" t="str">
            <v>PPR Female Thread Elbow II dn32x1" Green(INA) - LESSO</v>
          </cell>
        </row>
        <row r="680">
          <cell r="G680">
            <v>37805</v>
          </cell>
          <cell r="H680">
            <v>37805</v>
          </cell>
          <cell r="I680">
            <v>0.12</v>
          </cell>
          <cell r="J680">
            <v>42961</v>
          </cell>
          <cell r="K680">
            <v>0.1</v>
          </cell>
          <cell r="L680">
            <v>42006</v>
          </cell>
        </row>
        <row r="681">
          <cell r="C681">
            <v>8010072775</v>
          </cell>
          <cell r="D681" t="str">
            <v>内螺纹弯头Ⅱ型(PPR 配件)印尼绿色 dn40x1-1/4" 联塑</v>
          </cell>
          <cell r="E681" t="str">
            <v>PPR Female Thread Elbow II dn40x1-1/4" Green(INA) - LESSO</v>
          </cell>
        </row>
        <row r="681">
          <cell r="G681">
            <v>65632</v>
          </cell>
          <cell r="H681">
            <v>65632</v>
          </cell>
          <cell r="I681">
            <v>0.12</v>
          </cell>
          <cell r="J681">
            <v>74582</v>
          </cell>
          <cell r="K681">
            <v>0.1</v>
          </cell>
          <cell r="L681">
            <v>72924</v>
          </cell>
        </row>
        <row r="682">
          <cell r="C682">
            <v>8010072767</v>
          </cell>
          <cell r="D682" t="str">
            <v>内螺纹弯头Ⅱ型(PPR 配件)印尼绿色 dn50x1-1/2" 联塑</v>
          </cell>
          <cell r="E682" t="str">
            <v>PPR Female Thread Elbow II dn50x1-1/2" Green(INA) - LESSO</v>
          </cell>
        </row>
        <row r="682">
          <cell r="G682">
            <v>83528</v>
          </cell>
          <cell r="H682">
            <v>83528</v>
          </cell>
          <cell r="I682">
            <v>0.12</v>
          </cell>
          <cell r="J682">
            <v>94919</v>
          </cell>
          <cell r="K682">
            <v>0.1</v>
          </cell>
          <cell r="L682">
            <v>92809</v>
          </cell>
        </row>
        <row r="683">
          <cell r="C683">
            <v>8010072776</v>
          </cell>
          <cell r="D683" t="str">
            <v>内螺纹弯头Ⅱ型(PPR 配件)印尼绿色 dn63x2" 联塑</v>
          </cell>
          <cell r="E683" t="str">
            <v>PPR Female Thread Elbow II dn63x2" Green(INA) - LESSO</v>
          </cell>
        </row>
        <row r="683">
          <cell r="G683">
            <v>128360</v>
          </cell>
          <cell r="H683">
            <v>128360</v>
          </cell>
          <cell r="I683">
            <v>0.12</v>
          </cell>
          <cell r="J683">
            <v>145864</v>
          </cell>
          <cell r="K683">
            <v>0.1</v>
          </cell>
          <cell r="L683">
            <v>142622</v>
          </cell>
        </row>
        <row r="684">
          <cell r="C684">
            <v>8010071397</v>
          </cell>
          <cell r="D684" t="str">
            <v>外螺纹弯头Ⅰ型(PPR 配件)印尼绿色 dn20x1/2" 联塑</v>
          </cell>
          <cell r="E684" t="str">
            <v>PPR Male Thread Elbow I dn20x1/2" Green(INA) - LESSO</v>
          </cell>
        </row>
        <row r="684">
          <cell r="G684">
            <v>11852</v>
          </cell>
          <cell r="H684">
            <v>11852</v>
          </cell>
          <cell r="I684">
            <v>0.12</v>
          </cell>
          <cell r="J684">
            <v>13469</v>
          </cell>
          <cell r="K684">
            <v>0.1</v>
          </cell>
          <cell r="L684">
            <v>13169</v>
          </cell>
        </row>
        <row r="685">
          <cell r="C685">
            <v>8010072352</v>
          </cell>
          <cell r="D685" t="str">
            <v>外螺纹弯头Ⅰ型(PPR 配件)印尼绿色 dn20x3/4" 联塑</v>
          </cell>
          <cell r="E685" t="str">
            <v>PPR Male Thread Elbow I dn20x3/4" Green(INA) - LESSO</v>
          </cell>
        </row>
        <row r="685">
          <cell r="G685">
            <v>14476</v>
          </cell>
          <cell r="H685">
            <v>14476</v>
          </cell>
          <cell r="I685">
            <v>0.12</v>
          </cell>
          <cell r="J685">
            <v>16450</v>
          </cell>
          <cell r="K685">
            <v>0.1</v>
          </cell>
          <cell r="L685">
            <v>16084</v>
          </cell>
        </row>
        <row r="686">
          <cell r="C686">
            <v>8010071398</v>
          </cell>
          <cell r="D686" t="str">
            <v>外螺纹弯头Ⅰ型(PPR 配件)印尼绿色 dn25x1/2" 联塑</v>
          </cell>
          <cell r="E686" t="str">
            <v>PPR Male Thread Elbow I dn25x1/2" Green(INA) - LESSO</v>
          </cell>
        </row>
        <row r="686">
          <cell r="G686">
            <v>12180</v>
          </cell>
          <cell r="H686">
            <v>12180</v>
          </cell>
          <cell r="I686">
            <v>0.12</v>
          </cell>
          <cell r="J686">
            <v>13841</v>
          </cell>
          <cell r="K686">
            <v>0.1</v>
          </cell>
          <cell r="L686">
            <v>13533</v>
          </cell>
        </row>
        <row r="687">
          <cell r="C687">
            <v>8010071399</v>
          </cell>
          <cell r="D687" t="str">
            <v>外螺纹弯头Ⅰ型(PPR 配件)印尼绿色 dn25x3/4" 联塑</v>
          </cell>
          <cell r="E687" t="str">
            <v>PPR Male Thread Elbow I dn25x3/4" Green(INA) - LESSO</v>
          </cell>
        </row>
        <row r="687">
          <cell r="G687">
            <v>14944</v>
          </cell>
          <cell r="H687">
            <v>14944</v>
          </cell>
          <cell r="I687">
            <v>0.12</v>
          </cell>
          <cell r="J687">
            <v>16982</v>
          </cell>
          <cell r="K687">
            <v>0.1</v>
          </cell>
          <cell r="L687">
            <v>16604</v>
          </cell>
        </row>
        <row r="688">
          <cell r="C688">
            <v>8010072483</v>
          </cell>
          <cell r="D688" t="str">
            <v>外螺纹弯头Ⅰ型(PPR 配件)印尼绿色 dn32x1/2" 联塑</v>
          </cell>
          <cell r="E688" t="str">
            <v>PPR Male Thread Elbow I dn32x1/2" Green(INA) - LESSO</v>
          </cell>
        </row>
        <row r="688">
          <cell r="G688">
            <v>12836</v>
          </cell>
          <cell r="H688">
            <v>12836</v>
          </cell>
          <cell r="I688">
            <v>0.12</v>
          </cell>
          <cell r="J688">
            <v>14587</v>
          </cell>
          <cell r="K688">
            <v>0.1</v>
          </cell>
          <cell r="L688">
            <v>14262</v>
          </cell>
        </row>
        <row r="689">
          <cell r="C689">
            <v>8010071735</v>
          </cell>
          <cell r="D689" t="str">
            <v>外螺纹弯头Ⅰ型(PPR 配件)印尼绿色 dn32x3/4" 联塑</v>
          </cell>
          <cell r="E689" t="str">
            <v>PPR Male Thread Elbow I dn32x3/4" Green(INA) - LESSO</v>
          </cell>
        </row>
        <row r="689">
          <cell r="G689">
            <v>15834</v>
          </cell>
          <cell r="H689">
            <v>15834</v>
          </cell>
          <cell r="I689">
            <v>0.12</v>
          </cell>
          <cell r="J689">
            <v>17994</v>
          </cell>
          <cell r="K689">
            <v>0.1</v>
          </cell>
          <cell r="L689">
            <v>17593</v>
          </cell>
        </row>
        <row r="690">
          <cell r="C690">
            <v>8010071400</v>
          </cell>
          <cell r="D690" t="str">
            <v>外螺纹弯头Ⅱ型(PPR 配件)印尼绿色 dn32x1" 联塑</v>
          </cell>
          <cell r="E690" t="str">
            <v>PPR Male Thread Elbow II dn32x1" Green(INA) - LESSO</v>
          </cell>
        </row>
        <row r="690">
          <cell r="G690">
            <v>51578</v>
          </cell>
          <cell r="H690">
            <v>51578</v>
          </cell>
          <cell r="I690">
            <v>0.12</v>
          </cell>
          <cell r="J690">
            <v>58612</v>
          </cell>
          <cell r="K690">
            <v>0.1</v>
          </cell>
          <cell r="L690">
            <v>57309</v>
          </cell>
        </row>
        <row r="691">
          <cell r="C691">
            <v>8010071286</v>
          </cell>
          <cell r="D691" t="str">
            <v>外螺纹弯头Ⅱ型(PPR 配件)绿色 dn40x1-1/4" 联塑</v>
          </cell>
          <cell r="E691" t="str">
            <v>PPR Male Thread Elbow II dn40x1-1/4" Green - LESSO</v>
          </cell>
        </row>
        <row r="691">
          <cell r="G691">
            <v>341654</v>
          </cell>
          <cell r="H691">
            <v>341654</v>
          </cell>
          <cell r="I691">
            <v>0.12</v>
          </cell>
          <cell r="J691">
            <v>388244</v>
          </cell>
          <cell r="K691">
            <v>0.1</v>
          </cell>
          <cell r="L691">
            <v>379616</v>
          </cell>
        </row>
        <row r="692">
          <cell r="C692">
            <v>8010072768</v>
          </cell>
          <cell r="D692" t="str">
            <v>外螺纹弯头Ⅱ型(PPR 配件)印尼绿色 dn40x1-1/4" 联塑</v>
          </cell>
          <cell r="E692" t="str">
            <v>PPR Male Thread Elbow II dn40x1-1/4" Green(INA) - LESSO</v>
          </cell>
        </row>
        <row r="692">
          <cell r="G692">
            <v>108123</v>
          </cell>
          <cell r="H692">
            <v>108123</v>
          </cell>
          <cell r="I692">
            <v>0.12</v>
          </cell>
          <cell r="J692">
            <v>122868</v>
          </cell>
          <cell r="K692">
            <v>0.1</v>
          </cell>
          <cell r="L692">
            <v>120137</v>
          </cell>
        </row>
        <row r="693">
          <cell r="C693">
            <v>8010072781</v>
          </cell>
          <cell r="D693" t="str">
            <v>外螺纹弯头Ⅱ型(PPR 配件)印尼绿色 dn50x1-1/2" 联塑</v>
          </cell>
          <cell r="E693" t="str">
            <v>PPR Male Thread Elbow II dn50x1-1/2" Green(INA) - LESSO</v>
          </cell>
        </row>
        <row r="693">
          <cell r="G693">
            <v>134216</v>
          </cell>
          <cell r="H693">
            <v>134216</v>
          </cell>
          <cell r="I693">
            <v>0.12</v>
          </cell>
          <cell r="J693">
            <v>152519</v>
          </cell>
          <cell r="K693">
            <v>0.1</v>
          </cell>
          <cell r="L693">
            <v>149129</v>
          </cell>
        </row>
        <row r="694">
          <cell r="C694">
            <v>8010072769</v>
          </cell>
          <cell r="D694" t="str">
            <v>外螺纹弯头Ⅱ型(PPR 配件)印尼绿色 dn63x2" 联塑</v>
          </cell>
          <cell r="E694" t="str">
            <v>PPR Male Thread Elbow II dn63x2" Green(INA) - LESSO</v>
          </cell>
        </row>
        <row r="694">
          <cell r="G694">
            <v>193946</v>
          </cell>
          <cell r="H694">
            <v>193946</v>
          </cell>
          <cell r="I694">
            <v>0.12</v>
          </cell>
          <cell r="J694">
            <v>220394</v>
          </cell>
          <cell r="K694">
            <v>0.1</v>
          </cell>
          <cell r="L694">
            <v>215496</v>
          </cell>
        </row>
        <row r="695">
          <cell r="C695">
            <v>8010071874</v>
          </cell>
          <cell r="D695" t="str">
            <v>外螺纹弯头Ⅱ型(PPR 配件)绿色 dn63x2" 联塑</v>
          </cell>
          <cell r="E695" t="str">
            <v>PPR Male Thread Elbow II dn63x2" Green - LESSO</v>
          </cell>
        </row>
        <row r="695">
          <cell r="G695">
            <v>515550</v>
          </cell>
          <cell r="H695">
            <v>515550</v>
          </cell>
          <cell r="I695">
            <v>0.12</v>
          </cell>
          <cell r="J695">
            <v>585853</v>
          </cell>
          <cell r="K695">
            <v>0.1</v>
          </cell>
          <cell r="L695">
            <v>572833</v>
          </cell>
        </row>
        <row r="696">
          <cell r="C696">
            <v>8010072770</v>
          </cell>
          <cell r="D696" t="str">
            <v>外螺纹弯头Ⅱ型(PPR 配件)印尼绿色 dn75x2-1/2" 联塑</v>
          </cell>
          <cell r="E696" t="str">
            <v>PPR Male Thread Elbow II dn75x2-1/2" Green(INA) - LESSO</v>
          </cell>
        </row>
        <row r="696">
          <cell r="G696">
            <v>406068</v>
          </cell>
          <cell r="H696">
            <v>406068</v>
          </cell>
          <cell r="I696">
            <v>0.12</v>
          </cell>
          <cell r="J696">
            <v>461441</v>
          </cell>
          <cell r="K696">
            <v>0.1</v>
          </cell>
          <cell r="L696">
            <v>451187</v>
          </cell>
        </row>
        <row r="697">
          <cell r="C697">
            <v>8010072508</v>
          </cell>
          <cell r="D697" t="str">
            <v>活接弯头(塑胶管与金属外螺纹连接)(PPR 配件)印尼绿色 dn20x1/2" 联塑</v>
          </cell>
          <cell r="E697" t="str">
            <v>PPR Flexible Joint Elbow (SocxFipt with Metal) dn20x1/2" Green(INA) - LESSO</v>
          </cell>
        </row>
        <row r="697">
          <cell r="G697">
            <v>26094</v>
          </cell>
          <cell r="H697">
            <v>26094</v>
          </cell>
          <cell r="I697">
            <v>0.12</v>
          </cell>
          <cell r="J697">
            <v>29653</v>
          </cell>
          <cell r="K697">
            <v>0.1</v>
          </cell>
          <cell r="L697">
            <v>28993</v>
          </cell>
        </row>
        <row r="698">
          <cell r="C698">
            <v>8010072509</v>
          </cell>
          <cell r="D698" t="str">
            <v>活接弯头(塑胶管与金属外螺纹连接)(PPR 配件)印尼绿色 dn20x3/4" 联塑</v>
          </cell>
          <cell r="E698" t="str">
            <v>PPR Flexible Joint Elbow (SocxFipt with Metal) dn20x3/4" Green(INA) - LESSO</v>
          </cell>
        </row>
        <row r="698">
          <cell r="G698">
            <v>33402</v>
          </cell>
          <cell r="H698">
            <v>33402</v>
          </cell>
          <cell r="I698">
            <v>0.12</v>
          </cell>
          <cell r="J698">
            <v>37957</v>
          </cell>
          <cell r="K698">
            <v>0.1</v>
          </cell>
          <cell r="L698">
            <v>37113</v>
          </cell>
        </row>
        <row r="699">
          <cell r="C699">
            <v>8010072510</v>
          </cell>
          <cell r="D699" t="str">
            <v>活接弯头(塑胶管与金属外螺纹连接)(PPR 配件)印尼绿色 dn25x1/2" 联塑</v>
          </cell>
          <cell r="E699" t="str">
            <v>PPR Flexible Joint Elbow (SocxFipt with Metal) dn25x1/2" Green(INA) - LESSO</v>
          </cell>
        </row>
        <row r="699">
          <cell r="G699">
            <v>26656</v>
          </cell>
          <cell r="H699">
            <v>26656</v>
          </cell>
          <cell r="I699">
            <v>0.12</v>
          </cell>
          <cell r="J699">
            <v>30291</v>
          </cell>
          <cell r="K699">
            <v>0.1</v>
          </cell>
          <cell r="L699">
            <v>29618</v>
          </cell>
        </row>
        <row r="700">
          <cell r="C700">
            <v>8010072511</v>
          </cell>
          <cell r="D700" t="str">
            <v>活接弯头(塑胶管与金属外螺纹连接)(PPR 配件)印尼绿色 dn25x3/4" 联塑</v>
          </cell>
          <cell r="E700" t="str">
            <v>PPR Flexible Joint Elbow (SocxFipt with Metal) dn25x3/4" Green(INA) - LESSO</v>
          </cell>
        </row>
        <row r="700">
          <cell r="G700">
            <v>34011</v>
          </cell>
          <cell r="H700">
            <v>34011</v>
          </cell>
          <cell r="I700">
            <v>0.12</v>
          </cell>
          <cell r="J700">
            <v>38649</v>
          </cell>
          <cell r="K700">
            <v>0.1</v>
          </cell>
          <cell r="L700">
            <v>37790</v>
          </cell>
        </row>
        <row r="701">
          <cell r="C701">
            <v>8010072512</v>
          </cell>
          <cell r="D701" t="str">
            <v>活接弯头(塑胶管与金属外螺纹连接)(PPR 配件)印尼绿色 dn32x1/2" 联塑</v>
          </cell>
          <cell r="E701" t="str">
            <v>PPR Flexible Joint Elbow (SocxFipt with Metal) dn32x1/2" Green(INA) - LESSO</v>
          </cell>
        </row>
        <row r="701">
          <cell r="G701">
            <v>27265</v>
          </cell>
          <cell r="H701">
            <v>27265</v>
          </cell>
          <cell r="I701">
            <v>0.12</v>
          </cell>
          <cell r="J701">
            <v>30983</v>
          </cell>
          <cell r="K701">
            <v>0.1</v>
          </cell>
          <cell r="L701">
            <v>30294</v>
          </cell>
        </row>
        <row r="702">
          <cell r="C702">
            <v>8010072513</v>
          </cell>
          <cell r="D702" t="str">
            <v>活接弯头(塑胶管与金属外螺纹连接)(PPR 配件)印尼绿色 dn32x3/4" 联塑</v>
          </cell>
          <cell r="E702" t="str">
            <v>PPR Flexible Joint Elbow (SocxFipt with Metal) dn32x3/4" Green(INA) - LESSO</v>
          </cell>
        </row>
        <row r="702">
          <cell r="G702">
            <v>34901</v>
          </cell>
          <cell r="H702">
            <v>34901</v>
          </cell>
          <cell r="I702">
            <v>0.12</v>
          </cell>
          <cell r="J702">
            <v>39661</v>
          </cell>
          <cell r="K702">
            <v>0.1</v>
          </cell>
          <cell r="L702">
            <v>38779</v>
          </cell>
        </row>
        <row r="703">
          <cell r="C703">
            <v>8010072838</v>
          </cell>
          <cell r="D703" t="str">
            <v>活接弯头(塑胶管与金属外螺纹连接)(PPR 配件)印尼绿色 dn40x1" 联塑</v>
          </cell>
          <cell r="E703" t="str">
            <v>PPR Flexible Joint Elbow (SocxFipt with Metal) dn40x1" Green(INA) - LESSO</v>
          </cell>
        </row>
        <row r="703">
          <cell r="G703">
            <v>56263</v>
          </cell>
          <cell r="H703">
            <v>56263</v>
          </cell>
          <cell r="I703">
            <v>0.12</v>
          </cell>
          <cell r="J703">
            <v>63936</v>
          </cell>
          <cell r="K703">
            <v>0.1</v>
          </cell>
          <cell r="L703">
            <v>62514</v>
          </cell>
        </row>
        <row r="704">
          <cell r="C704">
            <v>8010072839</v>
          </cell>
          <cell r="D704" t="str">
            <v>活接弯头(塑胶管与金属外螺纹连接)(PPR 配件)印尼绿色 dn40x1-1/4" 联塑</v>
          </cell>
          <cell r="E704" t="str">
            <v>PPR Flexible Joint Elbow (SocxFipt with Metal) dn40x1-1/4" Green(INA) - LESSO</v>
          </cell>
        </row>
        <row r="704">
          <cell r="G704">
            <v>94959</v>
          </cell>
          <cell r="H704">
            <v>94959</v>
          </cell>
          <cell r="I704">
            <v>0.12</v>
          </cell>
          <cell r="J704">
            <v>107908</v>
          </cell>
          <cell r="K704">
            <v>0.1</v>
          </cell>
          <cell r="L704">
            <v>105510</v>
          </cell>
        </row>
        <row r="705">
          <cell r="C705">
            <v>8010072833</v>
          </cell>
          <cell r="D705" t="str">
            <v>活接弯头(塑胶管与金属外螺纹连接)(PPR 配件)印尼绿色 dn50x1" 联塑</v>
          </cell>
          <cell r="E705" t="str">
            <v>PPR Flexible Joint Elbow (SocxFipt with Metal) dn50x1" Green(INA) - LESSO</v>
          </cell>
        </row>
        <row r="705">
          <cell r="G705">
            <v>59495</v>
          </cell>
          <cell r="H705">
            <v>59495</v>
          </cell>
          <cell r="I705">
            <v>0.12</v>
          </cell>
          <cell r="J705">
            <v>67608</v>
          </cell>
          <cell r="K705">
            <v>0.1</v>
          </cell>
          <cell r="L705">
            <v>66106</v>
          </cell>
        </row>
        <row r="706">
          <cell r="C706">
            <v>8010072834</v>
          </cell>
          <cell r="D706" t="str">
            <v>活接弯头(塑胶管与金属外螺纹连接)(PPR 配件)印尼绿色 dn50x1-1/4" 联塑</v>
          </cell>
          <cell r="E706" t="str">
            <v>PPR Flexible Joint Elbow (SocxFipt with Metal) dn50x1-1/4" Green(INA) - LESSO</v>
          </cell>
        </row>
        <row r="706">
          <cell r="G706">
            <v>98472</v>
          </cell>
          <cell r="H706">
            <v>98472</v>
          </cell>
          <cell r="I706">
            <v>0.12</v>
          </cell>
          <cell r="J706">
            <v>111900</v>
          </cell>
          <cell r="K706">
            <v>0.1</v>
          </cell>
          <cell r="L706">
            <v>109413</v>
          </cell>
        </row>
        <row r="707">
          <cell r="C707">
            <v>8010072764</v>
          </cell>
          <cell r="D707" t="str">
            <v>活接三通(PPR 配件)印尼绿色 dn20x1/2" 联塑</v>
          </cell>
          <cell r="E707" t="str">
            <v>PPR Flexible Tee dn20x1/2" Green(INA) - LESSO</v>
          </cell>
        </row>
        <row r="707">
          <cell r="G707">
            <v>26656</v>
          </cell>
          <cell r="H707">
            <v>26656</v>
          </cell>
          <cell r="I707">
            <v>0.12</v>
          </cell>
          <cell r="J707">
            <v>30291</v>
          </cell>
          <cell r="K707">
            <v>0.1</v>
          </cell>
          <cell r="L707">
            <v>29618</v>
          </cell>
        </row>
        <row r="708">
          <cell r="C708">
            <v>8010072771</v>
          </cell>
          <cell r="D708" t="str">
            <v>活接三通(PPR 配件)印尼绿色 dn20x3/4" 联塑</v>
          </cell>
          <cell r="E708" t="str">
            <v>PPR Flexible Tee dn20x3/4" Green(INA) - LESSO</v>
          </cell>
        </row>
        <row r="708">
          <cell r="G708">
            <v>34011</v>
          </cell>
          <cell r="H708">
            <v>34011</v>
          </cell>
          <cell r="I708">
            <v>0.12</v>
          </cell>
          <cell r="J708">
            <v>38649</v>
          </cell>
          <cell r="K708">
            <v>0.1</v>
          </cell>
          <cell r="L708">
            <v>37790</v>
          </cell>
        </row>
        <row r="709">
          <cell r="C709">
            <v>8010072765</v>
          </cell>
          <cell r="D709" t="str">
            <v>活接三通(PPR 配件)印尼绿色 dn25x1/2" 联塑</v>
          </cell>
          <cell r="E709" t="str">
            <v>PPR Flexible Tee dn25x1/2" Green(INA) - LESSO</v>
          </cell>
        </row>
        <row r="709">
          <cell r="G709">
            <v>27265</v>
          </cell>
          <cell r="H709">
            <v>27265</v>
          </cell>
          <cell r="I709">
            <v>0.12</v>
          </cell>
          <cell r="J709">
            <v>30983</v>
          </cell>
          <cell r="K709">
            <v>0.1</v>
          </cell>
          <cell r="L709">
            <v>30294</v>
          </cell>
        </row>
        <row r="710">
          <cell r="C710">
            <v>8010072766</v>
          </cell>
          <cell r="D710" t="str">
            <v>活接三通(PPR 配件)印尼绿色 dn25x3/4" 联塑</v>
          </cell>
          <cell r="E710" t="str">
            <v>PPR Flexible Tee dn25x3/4" Green(INA) - LESSO</v>
          </cell>
        </row>
        <row r="710">
          <cell r="G710">
            <v>34573</v>
          </cell>
          <cell r="H710">
            <v>34573</v>
          </cell>
          <cell r="I710">
            <v>0.12</v>
          </cell>
          <cell r="J710">
            <v>39288</v>
          </cell>
          <cell r="K710">
            <v>0.1</v>
          </cell>
          <cell r="L710">
            <v>38414</v>
          </cell>
        </row>
        <row r="711">
          <cell r="C711">
            <v>8010072772</v>
          </cell>
          <cell r="D711" t="str">
            <v>活接三通(PPR 配件)印尼绿色 dn32x1" 联塑</v>
          </cell>
          <cell r="E711" t="str">
            <v>PPR Flexible Tee dn32x1" Green(INA) - LESSO</v>
          </cell>
        </row>
        <row r="711">
          <cell r="G711">
            <v>55654</v>
          </cell>
          <cell r="H711">
            <v>55654</v>
          </cell>
          <cell r="I711">
            <v>0.12</v>
          </cell>
          <cell r="J711">
            <v>63244</v>
          </cell>
          <cell r="K711">
            <v>0.1</v>
          </cell>
          <cell r="L711">
            <v>61838</v>
          </cell>
        </row>
        <row r="712">
          <cell r="C712">
            <v>8010071471</v>
          </cell>
          <cell r="D712" t="str">
            <v>内螺纹三通Ⅰ型(PPR 配件)印尼绿色 dn20x1/2" 联塑</v>
          </cell>
          <cell r="E712" t="str">
            <v>PPR Female Thread Tee I dn20x1/2" Green(INA) - LESSO</v>
          </cell>
        </row>
        <row r="712">
          <cell r="G712">
            <v>7777</v>
          </cell>
          <cell r="H712">
            <v>7777</v>
          </cell>
          <cell r="I712">
            <v>0.12</v>
          </cell>
          <cell r="J712">
            <v>8838</v>
          </cell>
          <cell r="K712">
            <v>0.1</v>
          </cell>
          <cell r="L712">
            <v>8641</v>
          </cell>
        </row>
        <row r="713">
          <cell r="C713">
            <v>8010072484</v>
          </cell>
          <cell r="D713" t="str">
            <v>内螺纹三通Ⅰ型(PPR 配件)印尼绿色 dn20x3/4" 联塑</v>
          </cell>
          <cell r="E713" t="str">
            <v>PPR Female Thread Tee I dn20x3/4" Green(INA) - LESSO</v>
          </cell>
        </row>
        <row r="713">
          <cell r="G713">
            <v>11431</v>
          </cell>
          <cell r="H713">
            <v>11431</v>
          </cell>
          <cell r="I713">
            <v>0.12</v>
          </cell>
          <cell r="J713">
            <v>12990</v>
          </cell>
          <cell r="K713">
            <v>0.1</v>
          </cell>
          <cell r="L713">
            <v>12701</v>
          </cell>
        </row>
        <row r="714">
          <cell r="C714">
            <v>8010071472</v>
          </cell>
          <cell r="D714" t="str">
            <v>内螺纹三通Ⅰ型(PPR 配件)印尼绿色 dn25x1/2" 联塑</v>
          </cell>
          <cell r="E714" t="str">
            <v>PPR Female Thread Tee I dn25x1/2" Green(INA) - LESSO</v>
          </cell>
        </row>
        <row r="714">
          <cell r="G714">
            <v>8667</v>
          </cell>
          <cell r="H714">
            <v>8667</v>
          </cell>
          <cell r="I714">
            <v>0.12</v>
          </cell>
          <cell r="J714">
            <v>9849</v>
          </cell>
          <cell r="K714">
            <v>0.1</v>
          </cell>
          <cell r="L714">
            <v>9630</v>
          </cell>
        </row>
        <row r="715">
          <cell r="C715">
            <v>8010071473</v>
          </cell>
          <cell r="D715" t="str">
            <v>内螺纹三通Ⅰ型(PPR 配件)印尼绿色 dn25x3/4" 联塑</v>
          </cell>
          <cell r="E715" t="str">
            <v>PPR Female Thread Tee I dn25x3/4" Green(INA) - LESSO</v>
          </cell>
        </row>
        <row r="715">
          <cell r="G715">
            <v>10587</v>
          </cell>
          <cell r="H715">
            <v>10587</v>
          </cell>
          <cell r="I715">
            <v>0.12</v>
          </cell>
          <cell r="J715">
            <v>12031</v>
          </cell>
          <cell r="K715">
            <v>0.1</v>
          </cell>
          <cell r="L715">
            <v>11763</v>
          </cell>
        </row>
        <row r="716">
          <cell r="C716">
            <v>8010071474</v>
          </cell>
          <cell r="D716" t="str">
            <v>内螺纹三通Ⅰ型(PPR 配件)印尼绿色 dn32x1/2" 联塑</v>
          </cell>
          <cell r="E716" t="str">
            <v>PPR Female Thread Tee I dn32x1/2" Green(INA) - LESSO</v>
          </cell>
        </row>
        <row r="716">
          <cell r="G716">
            <v>9416</v>
          </cell>
          <cell r="H716">
            <v>9416</v>
          </cell>
          <cell r="I716">
            <v>0.12</v>
          </cell>
          <cell r="J716">
            <v>10700</v>
          </cell>
          <cell r="K716">
            <v>0.1</v>
          </cell>
          <cell r="L716">
            <v>10462</v>
          </cell>
        </row>
        <row r="717">
          <cell r="C717">
            <v>8010071475</v>
          </cell>
          <cell r="D717" t="str">
            <v>内螺纹三通Ⅰ型(PPR 配件)印尼绿色 dn32x3/4" 联塑</v>
          </cell>
          <cell r="E717" t="str">
            <v>PPR Female Thread Tee I dn32x3/4" Green(INA) - LESSO</v>
          </cell>
        </row>
        <row r="717">
          <cell r="G717">
            <v>11899</v>
          </cell>
          <cell r="H717">
            <v>11899</v>
          </cell>
          <cell r="I717">
            <v>0.12</v>
          </cell>
          <cell r="J717">
            <v>13522</v>
          </cell>
          <cell r="K717">
            <v>0.1</v>
          </cell>
          <cell r="L717">
            <v>13221</v>
          </cell>
        </row>
        <row r="718">
          <cell r="C718">
            <v>8010070525</v>
          </cell>
          <cell r="D718" t="str">
            <v>内螺纹三通Ⅱ型(PPR 配件)绿色 dn20x1/2" 联塑</v>
          </cell>
          <cell r="E718" t="str">
            <v>PPR Female Thread Tee II dn20x1/2" Green - LESSO</v>
          </cell>
        </row>
        <row r="718">
          <cell r="G718">
            <v>51906</v>
          </cell>
          <cell r="H718">
            <v>51906</v>
          </cell>
          <cell r="I718">
            <v>0.12</v>
          </cell>
          <cell r="J718">
            <v>58985</v>
          </cell>
          <cell r="K718">
            <v>0.1</v>
          </cell>
          <cell r="L718">
            <v>57673</v>
          </cell>
        </row>
        <row r="719">
          <cell r="C719">
            <v>8010071289</v>
          </cell>
          <cell r="D719" t="str">
            <v>内螺纹三通Ⅱ型(PPR 配件)绿色 dn40x1-1/4" 联塑</v>
          </cell>
          <cell r="E719" t="str">
            <v>PPR Female Thread Tee II dn40x1-1/4" Green - LESSO</v>
          </cell>
        </row>
        <row r="719">
          <cell r="G719">
            <v>278270</v>
          </cell>
          <cell r="H719">
            <v>278270</v>
          </cell>
          <cell r="I719">
            <v>0.12</v>
          </cell>
          <cell r="J719">
            <v>316216</v>
          </cell>
          <cell r="K719">
            <v>0.1</v>
          </cell>
          <cell r="L719">
            <v>309189</v>
          </cell>
        </row>
        <row r="720">
          <cell r="C720">
            <v>8010072742</v>
          </cell>
          <cell r="D720" t="str">
            <v>内螺纹三通Ⅱ型(PPR 配件)印尼绿色 dn20x1/2" 联塑</v>
          </cell>
          <cell r="E720" t="str">
            <v>PPR Female Thread Tee II dn20x1/2" Green(INA) - LESSO</v>
          </cell>
        </row>
        <row r="720">
          <cell r="G720">
            <v>23423</v>
          </cell>
          <cell r="H720">
            <v>23423</v>
          </cell>
          <cell r="I720">
            <v>0.12</v>
          </cell>
          <cell r="J720">
            <v>26618</v>
          </cell>
          <cell r="K720">
            <v>0.1</v>
          </cell>
          <cell r="L720">
            <v>26026</v>
          </cell>
        </row>
        <row r="721">
          <cell r="C721">
            <v>8010071476</v>
          </cell>
          <cell r="D721" t="str">
            <v>内螺纹三通Ⅱ型(PPR 配件)印尼绿色 dn32x1" 联塑</v>
          </cell>
          <cell r="E721" t="str">
            <v>PPR Female Thread Tee II dn32x1" Green(INA) - LESSO</v>
          </cell>
        </row>
        <row r="721">
          <cell r="G721">
            <v>38086</v>
          </cell>
          <cell r="H721">
            <v>38086</v>
          </cell>
          <cell r="I721">
            <v>0.12</v>
          </cell>
          <cell r="J721">
            <v>43280</v>
          </cell>
          <cell r="K721">
            <v>0.1</v>
          </cell>
          <cell r="L721">
            <v>42318</v>
          </cell>
        </row>
        <row r="722">
          <cell r="C722">
            <v>8010072773</v>
          </cell>
          <cell r="D722" t="str">
            <v>内螺纹三通Ⅱ型(PPR 配件)印尼绿色 dn40x1-1/4" 联塑</v>
          </cell>
          <cell r="E722" t="str">
            <v>PPR Female Thread Tee II dn40x1-1/4" Green(INA) - LESSO</v>
          </cell>
        </row>
        <row r="722">
          <cell r="G722">
            <v>67694</v>
          </cell>
          <cell r="H722">
            <v>67694</v>
          </cell>
          <cell r="I722">
            <v>0.12</v>
          </cell>
          <cell r="J722">
            <v>76925</v>
          </cell>
          <cell r="K722">
            <v>0.1</v>
          </cell>
          <cell r="L722">
            <v>75216</v>
          </cell>
        </row>
        <row r="723">
          <cell r="C723">
            <v>8010072774</v>
          </cell>
          <cell r="D723" t="str">
            <v>内螺纹三通Ⅱ型(PPR 配件)印尼绿色 dn50x1-1/2" 联塑</v>
          </cell>
          <cell r="E723" t="str">
            <v>PPR Female Thread Tee II dn50x1-1/2" Green(INA) - LESSO</v>
          </cell>
        </row>
        <row r="723">
          <cell r="G723">
            <v>102829</v>
          </cell>
          <cell r="H723">
            <v>102829</v>
          </cell>
          <cell r="I723">
            <v>0.12</v>
          </cell>
          <cell r="J723">
            <v>116852</v>
          </cell>
          <cell r="K723">
            <v>0.1</v>
          </cell>
          <cell r="L723">
            <v>114254</v>
          </cell>
        </row>
        <row r="724">
          <cell r="C724">
            <v>8010073712</v>
          </cell>
          <cell r="D724" t="str">
            <v>内螺纹三通Ⅱ型(PPR 配件)印尼绿色 dn63x2" 联塑</v>
          </cell>
          <cell r="E724" t="str">
            <v>PPR Female Thread Tee II dn63x2" Green(INA) - LESSO</v>
          </cell>
        </row>
        <row r="724">
          <cell r="G724">
            <v>174926</v>
          </cell>
          <cell r="H724">
            <v>174926</v>
          </cell>
          <cell r="I724">
            <v>0.12</v>
          </cell>
          <cell r="J724">
            <v>198780</v>
          </cell>
          <cell r="K724">
            <v>0.1</v>
          </cell>
          <cell r="L724">
            <v>194362</v>
          </cell>
        </row>
        <row r="725">
          <cell r="C725">
            <v>8010071477</v>
          </cell>
          <cell r="D725" t="str">
            <v>外螺纹三通Ⅰ型(PPR 配件)印尼绿色 dn20x1/2" 联塑</v>
          </cell>
          <cell r="E725" t="str">
            <v>PPR Male Thread Tee I dn20x1/2" Green(INA) - LESSO</v>
          </cell>
        </row>
        <row r="725">
          <cell r="G725">
            <v>11899</v>
          </cell>
          <cell r="H725">
            <v>11899</v>
          </cell>
          <cell r="I725">
            <v>0.12</v>
          </cell>
          <cell r="J725">
            <v>13522</v>
          </cell>
          <cell r="K725">
            <v>0.1</v>
          </cell>
          <cell r="L725">
            <v>13221</v>
          </cell>
        </row>
        <row r="726">
          <cell r="C726">
            <v>8010071478</v>
          </cell>
          <cell r="D726" t="str">
            <v>外螺纹三通Ⅰ型(PPR 配件)印尼绿色 dn20x3/4" 联塑</v>
          </cell>
          <cell r="E726" t="str">
            <v>PPR Male Thread Tee I dn20x3/4" Green(INA) - LESSO</v>
          </cell>
        </row>
        <row r="726">
          <cell r="G726">
            <v>16724</v>
          </cell>
          <cell r="H726">
            <v>16724</v>
          </cell>
          <cell r="I726">
            <v>0.12</v>
          </cell>
          <cell r="J726">
            <v>19005</v>
          </cell>
          <cell r="K726">
            <v>0.1</v>
          </cell>
          <cell r="L726">
            <v>18582</v>
          </cell>
        </row>
        <row r="727">
          <cell r="C727">
            <v>8010071479</v>
          </cell>
          <cell r="D727" t="str">
            <v>外螺纹三通Ⅰ型(PPR 配件)印尼绿色 dn25x1/2" 联塑</v>
          </cell>
          <cell r="E727" t="str">
            <v>PPR Male Thread Tee I dn25x1/2" Green(INA) - LESSO</v>
          </cell>
        </row>
        <row r="727">
          <cell r="G727">
            <v>14569</v>
          </cell>
          <cell r="H727">
            <v>14569</v>
          </cell>
          <cell r="I727">
            <v>0.12</v>
          </cell>
          <cell r="J727">
            <v>16556</v>
          </cell>
          <cell r="K727">
            <v>0.1</v>
          </cell>
          <cell r="L727">
            <v>16188</v>
          </cell>
        </row>
        <row r="728">
          <cell r="C728">
            <v>8010071480</v>
          </cell>
          <cell r="D728" t="str">
            <v>外螺纹三通Ⅰ型(PPR 配件)印尼绿色 dn25x3/4" 联塑</v>
          </cell>
          <cell r="E728" t="str">
            <v>PPR Male Thread Tee I dn25x3/4" Green(INA) - LESSO</v>
          </cell>
        </row>
        <row r="728">
          <cell r="G728">
            <v>17614</v>
          </cell>
          <cell r="H728">
            <v>17614</v>
          </cell>
          <cell r="I728">
            <v>0.12</v>
          </cell>
          <cell r="J728">
            <v>20016</v>
          </cell>
          <cell r="K728">
            <v>0.1</v>
          </cell>
          <cell r="L728">
            <v>19571</v>
          </cell>
        </row>
        <row r="729">
          <cell r="C729">
            <v>8010071481</v>
          </cell>
          <cell r="D729" t="str">
            <v>外螺纹三通Ⅰ型(PPR 配件)印尼绿色 dn32x1/2" 联塑</v>
          </cell>
          <cell r="E729" t="str">
            <v>PPR Male Thread Tee I dn32x1/2" Green(INA) - LESSO</v>
          </cell>
        </row>
        <row r="729">
          <cell r="G729">
            <v>14382</v>
          </cell>
          <cell r="H729">
            <v>14382</v>
          </cell>
          <cell r="I729">
            <v>0.12</v>
          </cell>
          <cell r="J729">
            <v>16344</v>
          </cell>
          <cell r="K729">
            <v>0.1</v>
          </cell>
          <cell r="L729">
            <v>15980</v>
          </cell>
        </row>
        <row r="730">
          <cell r="C730">
            <v>8010071482</v>
          </cell>
          <cell r="D730" t="str">
            <v>外螺纹三通Ⅰ型(PPR 配件)印尼绿色 dn32x3/4" 联塑</v>
          </cell>
          <cell r="E730" t="str">
            <v>PPR Male Thread Tee I dn32x3/4" Green(INA) - LESSO</v>
          </cell>
        </row>
        <row r="730">
          <cell r="G730">
            <v>16724</v>
          </cell>
          <cell r="H730">
            <v>16724</v>
          </cell>
          <cell r="I730">
            <v>0.12</v>
          </cell>
          <cell r="J730">
            <v>19005</v>
          </cell>
          <cell r="K730">
            <v>0.1</v>
          </cell>
          <cell r="L730">
            <v>18582</v>
          </cell>
        </row>
        <row r="731">
          <cell r="C731">
            <v>8010072835</v>
          </cell>
          <cell r="D731" t="str">
            <v>外螺纹三通Ⅱ型(PPR 配件)印尼绿色 dn25x1" 联塑</v>
          </cell>
          <cell r="E731" t="str">
            <v>PPR Male Thread Tee II dn25x1" Green(INA) - LESSO</v>
          </cell>
        </row>
        <row r="731">
          <cell r="G731">
            <v>59777</v>
          </cell>
          <cell r="H731">
            <v>59777</v>
          </cell>
          <cell r="I731">
            <v>0.12</v>
          </cell>
          <cell r="J731">
            <v>67929</v>
          </cell>
          <cell r="K731">
            <v>0.1</v>
          </cell>
          <cell r="L731">
            <v>66419</v>
          </cell>
        </row>
        <row r="732">
          <cell r="C732">
            <v>8010071483</v>
          </cell>
          <cell r="D732" t="str">
            <v>外螺纹三通Ⅱ型(PPR 配件)印尼绿色 dn32x1" 联塑</v>
          </cell>
          <cell r="E732" t="str">
            <v>PPR Male Thread Tee II dn32x1" Green(INA) - LESSO</v>
          </cell>
        </row>
        <row r="732">
          <cell r="G732">
            <v>60058</v>
          </cell>
          <cell r="H732">
            <v>60058</v>
          </cell>
          <cell r="I732">
            <v>0.12</v>
          </cell>
          <cell r="J732">
            <v>68248</v>
          </cell>
          <cell r="K732">
            <v>0.1</v>
          </cell>
          <cell r="L732">
            <v>66731</v>
          </cell>
        </row>
        <row r="733">
          <cell r="C733">
            <v>8010072840</v>
          </cell>
          <cell r="D733" t="str">
            <v>外螺纹三通Ⅱ型(PPR 配件)印尼绿色 dn40x1" 联塑</v>
          </cell>
          <cell r="E733" t="str">
            <v>PPR Male Thread Tee II dn40x1" Green(INA) - LESSO</v>
          </cell>
        </row>
        <row r="733">
          <cell r="G733">
            <v>63009</v>
          </cell>
          <cell r="H733">
            <v>63009</v>
          </cell>
          <cell r="I733">
            <v>0.12</v>
          </cell>
          <cell r="J733">
            <v>71602</v>
          </cell>
          <cell r="K733">
            <v>0.1</v>
          </cell>
          <cell r="L733">
            <v>70010</v>
          </cell>
        </row>
        <row r="734">
          <cell r="C734">
            <v>8010072777</v>
          </cell>
          <cell r="D734" t="str">
            <v>外螺纹三通Ⅱ型(PPR 配件)印尼绿色 dn40x1-1/4" 联塑</v>
          </cell>
          <cell r="E734" t="str">
            <v>PPR Male Thread Tee II dn40x1-1/4" Green(INA) - LESSO</v>
          </cell>
        </row>
        <row r="734">
          <cell r="G734">
            <v>109903</v>
          </cell>
          <cell r="H734">
            <v>109903</v>
          </cell>
          <cell r="I734">
            <v>0.12</v>
          </cell>
          <cell r="J734">
            <v>124890</v>
          </cell>
          <cell r="K734">
            <v>0.1</v>
          </cell>
          <cell r="L734">
            <v>122114</v>
          </cell>
        </row>
        <row r="735">
          <cell r="C735">
            <v>8010071287</v>
          </cell>
          <cell r="D735" t="str">
            <v>外螺纹三通Ⅱ型(PPR 配件)绿色 dn40x1-1/4" 联塑</v>
          </cell>
          <cell r="E735" t="str">
            <v>PPR Male Thread Tee II dn40x1-1/4" Green - LESSO</v>
          </cell>
        </row>
        <row r="735">
          <cell r="G735">
            <v>340108</v>
          </cell>
          <cell r="H735">
            <v>340108</v>
          </cell>
          <cell r="I735">
            <v>0.12</v>
          </cell>
          <cell r="J735">
            <v>386487</v>
          </cell>
          <cell r="K735">
            <v>0.1</v>
          </cell>
          <cell r="L735">
            <v>377898</v>
          </cell>
        </row>
        <row r="736">
          <cell r="C736">
            <v>8010071875</v>
          </cell>
          <cell r="D736" t="str">
            <v>外螺纹三通Ⅱ型(PPR 配件)绿色 dn50x1-1/2" 联塑</v>
          </cell>
          <cell r="E736" t="str">
            <v>PPR Male Thread Tee II dn50x1-1/2" Green - LESSO</v>
          </cell>
        </row>
        <row r="736">
          <cell r="G736">
            <v>422933</v>
          </cell>
          <cell r="H736">
            <v>422933</v>
          </cell>
          <cell r="I736">
            <v>0.12</v>
          </cell>
          <cell r="J736">
            <v>480606</v>
          </cell>
          <cell r="K736">
            <v>0.1</v>
          </cell>
          <cell r="L736">
            <v>469926</v>
          </cell>
        </row>
        <row r="737">
          <cell r="C737">
            <v>8010072841</v>
          </cell>
          <cell r="D737" t="str">
            <v>外螺纹三通Ⅱ型(PPR 配件)印尼绿色 dn50x1" 联塑</v>
          </cell>
          <cell r="E737" t="str">
            <v>PPR Male Thread Tee II dn50x1" Green(INA) - LESSO</v>
          </cell>
        </row>
        <row r="737">
          <cell r="G737">
            <v>61557</v>
          </cell>
          <cell r="H737">
            <v>61557</v>
          </cell>
          <cell r="I737">
            <v>0.12</v>
          </cell>
          <cell r="J737">
            <v>69952</v>
          </cell>
          <cell r="K737">
            <v>0.1</v>
          </cell>
          <cell r="L737">
            <v>68397</v>
          </cell>
        </row>
        <row r="738">
          <cell r="C738">
            <v>8010072778</v>
          </cell>
          <cell r="D738" t="str">
            <v>外螺纹三通Ⅱ型(PPR 配件)印尼绿色 dn50x1-1/2" 联塑</v>
          </cell>
          <cell r="E738" t="str">
            <v>PPR Male Thread Tee II dn50x1-1/2" Green(INA) - LESSO</v>
          </cell>
        </row>
        <row r="738">
          <cell r="G738">
            <v>139182</v>
          </cell>
          <cell r="H738">
            <v>139182</v>
          </cell>
          <cell r="I738">
            <v>0.12</v>
          </cell>
          <cell r="J738">
            <v>158162</v>
          </cell>
          <cell r="K738">
            <v>0.1</v>
          </cell>
          <cell r="L738">
            <v>154647</v>
          </cell>
        </row>
        <row r="739">
          <cell r="C739">
            <v>8010072779</v>
          </cell>
          <cell r="D739" t="str">
            <v>外螺纹三通Ⅱ型(PPR 配件)印尼绿色 dn63x2" 联塑</v>
          </cell>
          <cell r="E739" t="str">
            <v>PPR Male Thread Tee II dn63x2" Green(INA) - LESSO</v>
          </cell>
        </row>
        <row r="739">
          <cell r="G739">
            <v>198677</v>
          </cell>
          <cell r="H739">
            <v>198677</v>
          </cell>
          <cell r="I739">
            <v>0.12</v>
          </cell>
          <cell r="J739">
            <v>225770</v>
          </cell>
          <cell r="K739">
            <v>0.1</v>
          </cell>
          <cell r="L739">
            <v>220752</v>
          </cell>
        </row>
        <row r="740">
          <cell r="C740">
            <v>8010072780</v>
          </cell>
          <cell r="D740" t="str">
            <v>外螺纹三通Ⅱ型(PPR 配件)印尼绿色 dn75x2-1/2" 联塑</v>
          </cell>
          <cell r="E740" t="str">
            <v>PPR Male Thread Tee II dn75x2-1/2" Green(INA) - LESSO</v>
          </cell>
        </row>
        <row r="740">
          <cell r="G740">
            <v>417827</v>
          </cell>
          <cell r="H740">
            <v>417827</v>
          </cell>
          <cell r="I740">
            <v>0.12</v>
          </cell>
          <cell r="J740">
            <v>474804</v>
          </cell>
          <cell r="K740">
            <v>0.1</v>
          </cell>
          <cell r="L740">
            <v>464252</v>
          </cell>
        </row>
        <row r="741">
          <cell r="C741">
            <v>8010072477</v>
          </cell>
          <cell r="D741" t="str">
            <v>正四通(PPR 配件)印尼绿色 dn20 (1/2") 联塑</v>
          </cell>
          <cell r="E741" t="str">
            <v>PPR Cross dn20 (1/2") Green(INA) - LESSO</v>
          </cell>
        </row>
        <row r="741">
          <cell r="G741">
            <v>2061</v>
          </cell>
          <cell r="H741">
            <v>2061</v>
          </cell>
          <cell r="I741">
            <v>0.12</v>
          </cell>
          <cell r="J741">
            <v>2343</v>
          </cell>
          <cell r="K741">
            <v>0.1</v>
          </cell>
          <cell r="L741">
            <v>2290</v>
          </cell>
        </row>
        <row r="742">
          <cell r="C742">
            <v>8010072478</v>
          </cell>
          <cell r="D742" t="str">
            <v>正四通(PPR 配件)印尼绿色 dn25 (3/4") 联塑</v>
          </cell>
          <cell r="E742" t="str">
            <v>PPR Cross dn25 (3/4") Green(INA) - LESSO</v>
          </cell>
        </row>
        <row r="742">
          <cell r="G742">
            <v>3290</v>
          </cell>
          <cell r="H742">
            <v>3290</v>
          </cell>
          <cell r="I742">
            <v>0.12</v>
          </cell>
          <cell r="J742">
            <v>3739</v>
          </cell>
          <cell r="K742">
            <v>0.1</v>
          </cell>
          <cell r="L742">
            <v>3656</v>
          </cell>
        </row>
        <row r="743">
          <cell r="C743">
            <v>8010072479</v>
          </cell>
          <cell r="D743" t="str">
            <v>正四通(PPR 配件)印尼绿色 dn32 (1") 联塑</v>
          </cell>
          <cell r="E743" t="str">
            <v>PPR Cross dn32 (1") Green(INA) - LESSO</v>
          </cell>
        </row>
        <row r="743">
          <cell r="G743">
            <v>6342</v>
          </cell>
          <cell r="H743">
            <v>6342</v>
          </cell>
          <cell r="I743">
            <v>0.12</v>
          </cell>
          <cell r="J743">
            <v>7207</v>
          </cell>
          <cell r="K743">
            <v>0.1</v>
          </cell>
          <cell r="L743">
            <v>7047</v>
          </cell>
        </row>
        <row r="744">
          <cell r="C744">
            <v>8010072686</v>
          </cell>
          <cell r="D744" t="str">
            <v>正四通(PPR 配件)印尼绿色 dn40 (1-1/4") 联塑</v>
          </cell>
          <cell r="E744" t="str">
            <v>PPR Cross dn40 (1-1/4") Green(INA) - LESSO</v>
          </cell>
        </row>
        <row r="744">
          <cell r="G744">
            <v>9395</v>
          </cell>
          <cell r="H744">
            <v>9395</v>
          </cell>
          <cell r="I744">
            <v>0.12</v>
          </cell>
          <cell r="J744">
            <v>10677</v>
          </cell>
          <cell r="K744">
            <v>0.1</v>
          </cell>
          <cell r="L744">
            <v>10439</v>
          </cell>
        </row>
        <row r="745">
          <cell r="C745">
            <v>8010072687</v>
          </cell>
          <cell r="D745" t="str">
            <v>正四通(PPR 配件)印尼绿色 dn50 (1-1/2") 联塑</v>
          </cell>
          <cell r="E745" t="str">
            <v>PPR Cross dn50 (1-1/2") Green(INA) - LESSO</v>
          </cell>
        </row>
        <row r="745">
          <cell r="G745">
            <v>16569</v>
          </cell>
          <cell r="H745">
            <v>16569</v>
          </cell>
          <cell r="I745">
            <v>0.12</v>
          </cell>
          <cell r="J745">
            <v>18829</v>
          </cell>
          <cell r="K745">
            <v>0.1</v>
          </cell>
          <cell r="L745">
            <v>18410</v>
          </cell>
        </row>
        <row r="746">
          <cell r="C746">
            <v>8010072514</v>
          </cell>
          <cell r="D746" t="str">
            <v>活接球阀(PPR 配件)印尼绿色 dn20 (1/2") 联塑</v>
          </cell>
          <cell r="E746" t="str">
            <v>PPR Ball Valve dn20 (1/2") Green(INA) - LESSO</v>
          </cell>
        </row>
        <row r="746">
          <cell r="G746">
            <v>77532</v>
          </cell>
          <cell r="H746">
            <v>77532</v>
          </cell>
          <cell r="I746">
            <v>0.12</v>
          </cell>
          <cell r="J746">
            <v>88105</v>
          </cell>
          <cell r="K746">
            <v>0.1</v>
          </cell>
          <cell r="L746">
            <v>86147</v>
          </cell>
        </row>
        <row r="747">
          <cell r="C747">
            <v>8010072515</v>
          </cell>
          <cell r="D747" t="str">
            <v>活接球阀(PPR 配件)印尼绿色 dn25 (3/4") 联塑</v>
          </cell>
          <cell r="E747" t="str">
            <v>PPR Ball Valve dn25 (3/4") Green(INA) - LESSO</v>
          </cell>
        </row>
        <row r="747">
          <cell r="G747">
            <v>134216</v>
          </cell>
          <cell r="H747">
            <v>134216</v>
          </cell>
          <cell r="I747">
            <v>0.12</v>
          </cell>
          <cell r="J747">
            <v>152519</v>
          </cell>
          <cell r="K747">
            <v>0.1</v>
          </cell>
          <cell r="L747">
            <v>149129</v>
          </cell>
        </row>
        <row r="748">
          <cell r="C748">
            <v>8010072516</v>
          </cell>
          <cell r="D748" t="str">
            <v>活接球阀(PPR 配件)印尼绿色 dn32 (1") 联塑</v>
          </cell>
          <cell r="E748" t="str">
            <v>PPR Ball Valve dn32 (1") Green(INA) - LESSO</v>
          </cell>
        </row>
        <row r="748">
          <cell r="G748">
            <v>209077</v>
          </cell>
          <cell r="H748">
            <v>209077</v>
          </cell>
          <cell r="I748">
            <v>0.12</v>
          </cell>
          <cell r="J748">
            <v>237588</v>
          </cell>
          <cell r="K748">
            <v>0.1</v>
          </cell>
          <cell r="L748">
            <v>232308</v>
          </cell>
        </row>
        <row r="749">
          <cell r="C749">
            <v>8010071342</v>
          </cell>
          <cell r="D749" t="str">
            <v>双活接球阀(承口连接)Ⅱ型(PPR 配件)印尼绿色 dn20 (1/2") 联塑</v>
          </cell>
          <cell r="E749" t="str">
            <v>PPR Ture Union Ball Valve (Socket Type) II (SocxSoc) dn20 (1/2") Green(INA) - LESSO</v>
          </cell>
        </row>
        <row r="749">
          <cell r="G749">
            <v>71769</v>
          </cell>
          <cell r="H749">
            <v>71769</v>
          </cell>
          <cell r="I749">
            <v>0.12</v>
          </cell>
          <cell r="J749">
            <v>81556</v>
          </cell>
          <cell r="K749">
            <v>0.1</v>
          </cell>
          <cell r="L749">
            <v>79743</v>
          </cell>
        </row>
        <row r="750">
          <cell r="C750">
            <v>8010071343</v>
          </cell>
          <cell r="D750" t="str">
            <v>双活接球阀(承口连接)Ⅱ型(PPR 配件)印尼绿色 dn25 (3/4") 联塑</v>
          </cell>
          <cell r="E750" t="str">
            <v>PPR TURE Union Ball Valve (Socket Type) II (SocxSoc) dn25 (3/4") Green(INA) - LESSO</v>
          </cell>
        </row>
        <row r="750">
          <cell r="G750">
            <v>97301</v>
          </cell>
          <cell r="H750">
            <v>97301</v>
          </cell>
          <cell r="I750">
            <v>0.12</v>
          </cell>
          <cell r="J750">
            <v>110570</v>
          </cell>
          <cell r="K750">
            <v>0.1</v>
          </cell>
          <cell r="L750">
            <v>108112</v>
          </cell>
        </row>
        <row r="751">
          <cell r="C751">
            <v>8010071344</v>
          </cell>
          <cell r="D751" t="str">
            <v>双活接球阀(承口连接)Ⅱ型(PPR 配件)印尼绿色 dn32 (1") 联塑</v>
          </cell>
          <cell r="E751" t="str">
            <v>PPR Ture Union Ball Valve (Socket Type) II (SocxSoc) dn32 (1") Green(INA) - LESSO</v>
          </cell>
        </row>
        <row r="751">
          <cell r="G751">
            <v>178768</v>
          </cell>
          <cell r="H751">
            <v>178768</v>
          </cell>
          <cell r="I751">
            <v>0.12</v>
          </cell>
          <cell r="J751">
            <v>203146</v>
          </cell>
          <cell r="K751">
            <v>0.1</v>
          </cell>
          <cell r="L751">
            <v>198631</v>
          </cell>
        </row>
        <row r="752">
          <cell r="C752">
            <v>8010072739</v>
          </cell>
          <cell r="D752" t="str">
            <v>双活接球阀(承口连接)Ⅱ型(PPR 配件)印尼绿色 dn40 (1-1/4") 联塑</v>
          </cell>
          <cell r="E752" t="str">
            <v>PPR Ture Union Ball Valve (Socket Type) II dn40 (1-1/4") Green(INA) - LESSO</v>
          </cell>
        </row>
        <row r="752">
          <cell r="G752">
            <v>335798</v>
          </cell>
          <cell r="H752">
            <v>335798</v>
          </cell>
          <cell r="I752">
            <v>0.12</v>
          </cell>
          <cell r="J752">
            <v>381589</v>
          </cell>
          <cell r="K752">
            <v>0.1</v>
          </cell>
          <cell r="L752">
            <v>373109</v>
          </cell>
        </row>
        <row r="753">
          <cell r="C753">
            <v>8010072740</v>
          </cell>
          <cell r="D753" t="str">
            <v>双活接球阀(承口连接)Ⅱ型(PPR 配件)印尼绿色 dn50 (1-1/2") 联塑</v>
          </cell>
          <cell r="E753" t="str">
            <v>PPR Ture Union Ball Valve (Socket Type) II dn50 (1-1/2") Green(INA) - LESSO</v>
          </cell>
        </row>
        <row r="753">
          <cell r="G753">
            <v>487254</v>
          </cell>
          <cell r="H753">
            <v>487254</v>
          </cell>
          <cell r="I753">
            <v>0.12</v>
          </cell>
          <cell r="J753">
            <v>553698</v>
          </cell>
          <cell r="K753">
            <v>0.1</v>
          </cell>
          <cell r="L753">
            <v>541393</v>
          </cell>
        </row>
        <row r="754">
          <cell r="C754">
            <v>8010072741</v>
          </cell>
          <cell r="D754" t="str">
            <v>双活接球阀(承口连接)Ⅱ型(PPR 配件)印尼绿色 dn63 (2") 联塑</v>
          </cell>
          <cell r="E754" t="str">
            <v>PPR Ture Union Ball Valve (Socket Type) II dn63 (2") Green(INA) - LESSO</v>
          </cell>
        </row>
        <row r="754">
          <cell r="G754">
            <v>718443</v>
          </cell>
          <cell r="H754">
            <v>718443</v>
          </cell>
          <cell r="I754">
            <v>0.12</v>
          </cell>
          <cell r="J754">
            <v>816413</v>
          </cell>
          <cell r="K754">
            <v>0.1</v>
          </cell>
          <cell r="L754">
            <v>798270</v>
          </cell>
        </row>
        <row r="755">
          <cell r="D755" t="str">
            <v>全PPR球阀20  DIZYN</v>
          </cell>
          <cell r="E755" t="str">
            <v>PPR Brass Ball Valve 20  DIZYN</v>
          </cell>
          <cell r="F755" t="str">
            <v>需要外采，不能当天送货。报价是要把快递费用加上</v>
          </cell>
          <cell r="G755" t="e">
            <v>#N/A</v>
          </cell>
          <cell r="H755">
            <v>95700</v>
          </cell>
        </row>
        <row r="756">
          <cell r="D756" t="str">
            <v>全PPR球阀25  DIZYN</v>
          </cell>
          <cell r="E756" t="str">
            <v>PPR Brass Ball Valve 25  DIZYN</v>
          </cell>
        </row>
        <row r="756">
          <cell r="G756" t="e">
            <v>#N/A</v>
          </cell>
          <cell r="H756">
            <v>124100</v>
          </cell>
        </row>
        <row r="757">
          <cell r="D757" t="str">
            <v>全PPR球阀32  DIZYN</v>
          </cell>
          <cell r="E757" t="str">
            <v>PPR Brass Ball Valve 32  DIZYN</v>
          </cell>
        </row>
        <row r="757">
          <cell r="G757" t="e">
            <v>#N/A</v>
          </cell>
          <cell r="H757">
            <v>164150</v>
          </cell>
        </row>
        <row r="758">
          <cell r="D758" t="str">
            <v>全PPR球阀40  DIZYN</v>
          </cell>
          <cell r="E758" t="str">
            <v>PPR Brass Ball Valve 40  DIZYN</v>
          </cell>
        </row>
        <row r="758">
          <cell r="G758" t="e">
            <v>#N/A</v>
          </cell>
          <cell r="H758">
            <v>227700</v>
          </cell>
        </row>
        <row r="759">
          <cell r="D759" t="str">
            <v>全PPR球阀50  DIZYN</v>
          </cell>
          <cell r="E759" t="str">
            <v>PPR Brass Ball Valve 50  DIZYN</v>
          </cell>
        </row>
        <row r="759">
          <cell r="G759" t="e">
            <v>#N/A</v>
          </cell>
          <cell r="H759">
            <v>611000</v>
          </cell>
        </row>
        <row r="760">
          <cell r="D760" t="str">
            <v>全PPR球阀63  DIZYN</v>
          </cell>
          <cell r="E760" t="str">
            <v>PPR Brass Ball Valve 63  DIZYN</v>
          </cell>
        </row>
        <row r="760">
          <cell r="G760" t="e">
            <v>#N/A</v>
          </cell>
          <cell r="H760">
            <v>748700</v>
          </cell>
        </row>
        <row r="761">
          <cell r="D761" t="str">
            <v>全PPR球阀90  DIZYN</v>
          </cell>
          <cell r="E761" t="str">
            <v>PPR Brass Ball Valve 90  DIZYN</v>
          </cell>
        </row>
        <row r="761">
          <cell r="G761" t="e">
            <v>#N/A</v>
          </cell>
          <cell r="H761">
            <v>4467500</v>
          </cell>
        </row>
        <row r="762">
          <cell r="C762">
            <v>8010072730</v>
          </cell>
          <cell r="D762" t="str">
            <v>外螺纹单活接球阀Ⅱ型(PPR 配件)印尼绿色 dn20x1/2" 联塑</v>
          </cell>
          <cell r="E762" t="str">
            <v>PPR Male Thread Union Ball Valve II dn20x1/2" Green(INA) - LESSO</v>
          </cell>
        </row>
        <row r="762">
          <cell r="G762">
            <v>67132</v>
          </cell>
          <cell r="H762">
            <v>67132</v>
          </cell>
          <cell r="I762">
            <v>0.12</v>
          </cell>
          <cell r="J762">
            <v>76287</v>
          </cell>
          <cell r="K762">
            <v>0.1</v>
          </cell>
          <cell r="L762">
            <v>74591</v>
          </cell>
        </row>
        <row r="763">
          <cell r="C763">
            <v>8010072731</v>
          </cell>
          <cell r="D763" t="str">
            <v>外螺纹单活接球阀Ⅱ型(PPR 配件)印尼绿色 dn25x3/4" 联塑</v>
          </cell>
          <cell r="E763" t="str">
            <v>PPR Male Thread Union Ball Valve II dn25x3/4" Green(INA) - LESSO</v>
          </cell>
        </row>
        <row r="763">
          <cell r="G763">
            <v>97582</v>
          </cell>
          <cell r="H763">
            <v>97582</v>
          </cell>
          <cell r="I763">
            <v>0.12</v>
          </cell>
          <cell r="J763">
            <v>110889</v>
          </cell>
          <cell r="K763">
            <v>0.1</v>
          </cell>
          <cell r="L763">
            <v>108424</v>
          </cell>
        </row>
        <row r="764">
          <cell r="C764">
            <v>8010072732</v>
          </cell>
          <cell r="D764" t="str">
            <v>外螺纹单活接球阀Ⅱ型(PPR 配件)印尼绿色 dn32x1" 联塑</v>
          </cell>
          <cell r="E764" t="str">
            <v>PPR Male Thread Union Ball Valve II dn32x1" Green(INA) - LESSO</v>
          </cell>
        </row>
        <row r="764">
          <cell r="G764">
            <v>170241</v>
          </cell>
          <cell r="H764">
            <v>170241</v>
          </cell>
          <cell r="I764">
            <v>0.12</v>
          </cell>
          <cell r="J764">
            <v>193456</v>
          </cell>
          <cell r="K764">
            <v>0.1</v>
          </cell>
          <cell r="L764">
            <v>189157</v>
          </cell>
        </row>
        <row r="765">
          <cell r="C765">
            <v>8010072760</v>
          </cell>
          <cell r="D765" t="str">
            <v>外螺纹单活接球阀Ⅱ型(PPR 配件)印尼绿色 dn50x1-1/2" 联塑</v>
          </cell>
          <cell r="E765" t="str">
            <v>PPR Male Thread Union Ball Valve II dn50x1-1/2" Green(INA) - LESSO</v>
          </cell>
        </row>
        <row r="765">
          <cell r="G765">
            <v>443874</v>
          </cell>
          <cell r="H765">
            <v>443874</v>
          </cell>
          <cell r="I765">
            <v>0.12</v>
          </cell>
          <cell r="J765">
            <v>504403</v>
          </cell>
          <cell r="K765">
            <v>0.1</v>
          </cell>
          <cell r="L765">
            <v>493193</v>
          </cell>
        </row>
        <row r="766">
          <cell r="C766">
            <v>8010072762</v>
          </cell>
          <cell r="D766" t="str">
            <v>外螺纹单活接球阀Ⅱ型(PPR 配件)印尼绿色 dn63x2" 联塑</v>
          </cell>
          <cell r="E766" t="str">
            <v>PPR Male Thread Union Ball Valve II dn63x2" Green(INA) - LESSO</v>
          </cell>
        </row>
        <row r="766">
          <cell r="G766">
            <v>672440</v>
          </cell>
          <cell r="H766">
            <v>672440</v>
          </cell>
          <cell r="I766">
            <v>0.12</v>
          </cell>
          <cell r="J766">
            <v>764137</v>
          </cell>
          <cell r="K766">
            <v>0.1</v>
          </cell>
          <cell r="L766">
            <v>747156</v>
          </cell>
        </row>
        <row r="767">
          <cell r="C767">
            <v>8010072736</v>
          </cell>
          <cell r="D767" t="str">
            <v>内螺纹单活接球阀Ⅱ型(PPR 配件)印尼绿色 dn20x1/2" 联塑</v>
          </cell>
          <cell r="E767" t="str">
            <v>PPR Female Thread Union Ball Valve II dn20x1/2" Green(INA) - LESSO</v>
          </cell>
        </row>
        <row r="767">
          <cell r="G767">
            <v>65351</v>
          </cell>
          <cell r="H767">
            <v>65351</v>
          </cell>
          <cell r="I767">
            <v>0.12</v>
          </cell>
          <cell r="J767">
            <v>74263</v>
          </cell>
          <cell r="K767">
            <v>0.1</v>
          </cell>
          <cell r="L767">
            <v>72612</v>
          </cell>
        </row>
        <row r="768">
          <cell r="C768">
            <v>8010072737</v>
          </cell>
          <cell r="D768" t="str">
            <v>内螺纹单活接球阀Ⅱ型(PPR 配件)印尼绿色 dn25x3/4" 联塑</v>
          </cell>
          <cell r="E768" t="str">
            <v>PPR Female Thread Union Ball Valve II dn25x3/4" Green(INA) - LESSO</v>
          </cell>
        </row>
        <row r="768">
          <cell r="G768">
            <v>91445</v>
          </cell>
          <cell r="H768">
            <v>91445</v>
          </cell>
          <cell r="I768">
            <v>0.12</v>
          </cell>
          <cell r="J768">
            <v>103915</v>
          </cell>
          <cell r="K768">
            <v>0.1</v>
          </cell>
          <cell r="L768">
            <v>101606</v>
          </cell>
        </row>
        <row r="769">
          <cell r="C769">
            <v>8010072738</v>
          </cell>
          <cell r="D769" t="str">
            <v>内螺纹单活接球阀Ⅱ型(PPR 配件)印尼绿色 dn32x1" 联塑</v>
          </cell>
          <cell r="E769" t="str">
            <v>PPR Female Thread Union Ball Valve II dn32x1" Green(INA) - LESSO</v>
          </cell>
        </row>
        <row r="769">
          <cell r="G769">
            <v>152393</v>
          </cell>
          <cell r="H769">
            <v>152393</v>
          </cell>
          <cell r="I769">
            <v>0.12</v>
          </cell>
          <cell r="J769">
            <v>173174</v>
          </cell>
          <cell r="K769">
            <v>0.1</v>
          </cell>
          <cell r="L769">
            <v>169326</v>
          </cell>
        </row>
        <row r="770">
          <cell r="C770">
            <v>8010072761</v>
          </cell>
          <cell r="D770" t="str">
            <v>内螺纹单活接球阀Ⅱ型(PPR 配件)印尼绿色 dn50x1-1/2" 联塑</v>
          </cell>
          <cell r="E770" t="str">
            <v>PPR Female Thread Union Ball Valve II dn50x1-1/2" Green(INA) - LESSO</v>
          </cell>
        </row>
        <row r="770">
          <cell r="G770">
            <v>406396</v>
          </cell>
          <cell r="H770">
            <v>406396</v>
          </cell>
          <cell r="I770">
            <v>0.12</v>
          </cell>
          <cell r="J770">
            <v>461814</v>
          </cell>
          <cell r="K770">
            <v>0.1</v>
          </cell>
          <cell r="L770">
            <v>451551</v>
          </cell>
        </row>
        <row r="771">
          <cell r="C771">
            <v>8010072763</v>
          </cell>
          <cell r="D771" t="str">
            <v>内螺纹单活接球阀Ⅱ型(PPR 配件)印尼绿色 dn63x2" 联塑</v>
          </cell>
          <cell r="E771" t="str">
            <v>PPR Female Thread Union Ball Valve II dn63x2" Green(INA) - LESSO</v>
          </cell>
        </row>
        <row r="771">
          <cell r="G771">
            <v>578652</v>
          </cell>
          <cell r="H771">
            <v>578652</v>
          </cell>
          <cell r="I771">
            <v>0.12</v>
          </cell>
          <cell r="J771">
            <v>657560</v>
          </cell>
          <cell r="K771">
            <v>0.1</v>
          </cell>
          <cell r="L771">
            <v>642947</v>
          </cell>
        </row>
        <row r="772">
          <cell r="C772">
            <v>8010071345</v>
          </cell>
          <cell r="D772" t="str">
            <v>截止阀(PPR 配件)印尼绿色 dn20 (1/2") 联塑</v>
          </cell>
          <cell r="E772" t="str">
            <v>PPR Stop Valve dn20 (1/2") Green(INA) - LESSO</v>
          </cell>
        </row>
        <row r="772">
          <cell r="G772">
            <v>34714</v>
          </cell>
          <cell r="H772">
            <v>34714</v>
          </cell>
          <cell r="I772">
            <v>0.12</v>
          </cell>
          <cell r="J772">
            <v>39448</v>
          </cell>
          <cell r="K772">
            <v>0.1</v>
          </cell>
          <cell r="L772">
            <v>38571</v>
          </cell>
        </row>
        <row r="773">
          <cell r="C773">
            <v>8010071346</v>
          </cell>
          <cell r="D773" t="str">
            <v>截止阀(PPR 配件)印尼绿色 dn25 (3/4") 联塑</v>
          </cell>
          <cell r="E773" t="str">
            <v>PPR Stop Valve dn25 (3/4") Green(INA) - LESSO</v>
          </cell>
        </row>
        <row r="773">
          <cell r="G773">
            <v>47503</v>
          </cell>
          <cell r="H773">
            <v>47503</v>
          </cell>
          <cell r="I773">
            <v>0.12</v>
          </cell>
          <cell r="J773">
            <v>53981</v>
          </cell>
          <cell r="K773">
            <v>0.1</v>
          </cell>
          <cell r="L773">
            <v>52781</v>
          </cell>
        </row>
        <row r="774">
          <cell r="C774">
            <v>8010071347</v>
          </cell>
          <cell r="D774" t="str">
            <v>截止阀(PPR 配件)印尼绿色 dn32 (1") 联塑</v>
          </cell>
          <cell r="E774" t="str">
            <v>PPR Stop Valve dn32 (1") Green(INA) - LESSO</v>
          </cell>
        </row>
        <row r="774">
          <cell r="G774">
            <v>81186</v>
          </cell>
          <cell r="H774">
            <v>81186</v>
          </cell>
          <cell r="I774">
            <v>0.12</v>
          </cell>
          <cell r="J774">
            <v>92257</v>
          </cell>
          <cell r="K774">
            <v>0.1</v>
          </cell>
          <cell r="L774">
            <v>90207</v>
          </cell>
        </row>
        <row r="775">
          <cell r="C775">
            <v>8010071348</v>
          </cell>
          <cell r="D775" t="str">
            <v>截止阀(PPR 配件)印尼绿色 dn40 (1-1/4") 联塑</v>
          </cell>
          <cell r="E775" t="str">
            <v>PPR Stop Valve dn40 (1-1/4") Green(INA) - LESSO</v>
          </cell>
        </row>
        <row r="775">
          <cell r="G775">
            <v>81186</v>
          </cell>
          <cell r="H775">
            <v>81186</v>
          </cell>
          <cell r="I775">
            <v>0.12</v>
          </cell>
          <cell r="J775">
            <v>92257</v>
          </cell>
          <cell r="K775">
            <v>0.1</v>
          </cell>
          <cell r="L775">
            <v>90207</v>
          </cell>
        </row>
        <row r="776">
          <cell r="C776">
            <v>8010071349</v>
          </cell>
          <cell r="D776" t="str">
            <v>截止阀(PPR 配件)印尼绿色 dn50 (1-1/2") 联塑</v>
          </cell>
          <cell r="E776" t="str">
            <v>PPR Stop Valve dn50 (1-1/2") Green(INA) - LESSO</v>
          </cell>
        </row>
        <row r="776">
          <cell r="G776">
            <v>139135</v>
          </cell>
          <cell r="H776">
            <v>139135</v>
          </cell>
          <cell r="I776">
            <v>0.12</v>
          </cell>
          <cell r="J776">
            <v>158108</v>
          </cell>
          <cell r="K776">
            <v>0.1</v>
          </cell>
          <cell r="L776">
            <v>154594</v>
          </cell>
        </row>
        <row r="777">
          <cell r="C777">
            <v>8010071350</v>
          </cell>
          <cell r="D777" t="str">
            <v>截止阀(PPR 配件)印尼绿色 dn63 (2") 联塑</v>
          </cell>
          <cell r="E777" t="str">
            <v>PPR Stop Valve dn63 (2") Green(INA) - LESSO</v>
          </cell>
        </row>
        <row r="777">
          <cell r="G777">
            <v>196523</v>
          </cell>
          <cell r="H777">
            <v>196523</v>
          </cell>
          <cell r="I777">
            <v>0.12</v>
          </cell>
          <cell r="J777">
            <v>223322</v>
          </cell>
          <cell r="K777">
            <v>0.1</v>
          </cell>
          <cell r="L777">
            <v>218359</v>
          </cell>
        </row>
        <row r="778">
          <cell r="C778">
            <v>8010072853</v>
          </cell>
          <cell r="D778" t="str">
            <v>截止阀(PPR 配件)印尼绿色 dn75 (2-1/2") 联塑</v>
          </cell>
          <cell r="E778" t="str">
            <v>PPR Stop Valve dn75 (2-1/2") Green(INA) - LESSO</v>
          </cell>
        </row>
        <row r="778">
          <cell r="G778">
            <v>224724</v>
          </cell>
          <cell r="H778">
            <v>224724</v>
          </cell>
          <cell r="I778">
            <v>0.12</v>
          </cell>
          <cell r="J778">
            <v>255369</v>
          </cell>
          <cell r="K778">
            <v>0.1</v>
          </cell>
          <cell r="L778">
            <v>249693</v>
          </cell>
        </row>
        <row r="779">
          <cell r="C779">
            <v>8010072854</v>
          </cell>
          <cell r="D779" t="str">
            <v>截止阀(PPR 配件)印尼绿色 dn90 (3") 联塑</v>
          </cell>
          <cell r="E779" t="str">
            <v>PPR Stop Valve dn90 (3") Green(INA) - LESSO</v>
          </cell>
        </row>
        <row r="779">
          <cell r="G779">
            <v>367139</v>
          </cell>
          <cell r="H779">
            <v>367139</v>
          </cell>
          <cell r="I779">
            <v>0.12</v>
          </cell>
          <cell r="J779">
            <v>417204</v>
          </cell>
          <cell r="K779">
            <v>0.1</v>
          </cell>
          <cell r="L779">
            <v>407932</v>
          </cell>
        </row>
        <row r="780">
          <cell r="C780">
            <v>8010072855</v>
          </cell>
          <cell r="D780" t="str">
            <v>截止阀(PPR 配件)印尼绿色 dn110 (4") 联塑</v>
          </cell>
          <cell r="E780" t="str">
            <v>PPR Stop Valve dn110(4") Green(INA) - LESSO</v>
          </cell>
        </row>
        <row r="780">
          <cell r="G780">
            <v>599780</v>
          </cell>
          <cell r="H780">
            <v>599780</v>
          </cell>
          <cell r="I780">
            <v>0.12</v>
          </cell>
          <cell r="J780">
            <v>681569</v>
          </cell>
          <cell r="K780">
            <v>0.1</v>
          </cell>
          <cell r="L780">
            <v>666422</v>
          </cell>
        </row>
        <row r="781">
          <cell r="C781">
            <v>8010072486</v>
          </cell>
          <cell r="D781" t="str">
            <v>螺纹堵头(PPR 配件)印尼绿色 dn20 (1/2") 联塑</v>
          </cell>
          <cell r="E781" t="str">
            <v>PPR Male Thread plug dn20 (1/2") Green(INA) - LESSO</v>
          </cell>
        </row>
        <row r="781">
          <cell r="G781">
            <v>515</v>
          </cell>
          <cell r="H781">
            <v>515</v>
          </cell>
          <cell r="I781">
            <v>0.12</v>
          </cell>
          <cell r="J781">
            <v>586</v>
          </cell>
          <cell r="K781">
            <v>0.1</v>
          </cell>
          <cell r="L781">
            <v>572</v>
          </cell>
        </row>
        <row r="782">
          <cell r="C782">
            <v>8010072487</v>
          </cell>
          <cell r="D782" t="str">
            <v>螺纹堵头(PPR 配件)印尼绿色 dn25 (3/4") 联塑</v>
          </cell>
          <cell r="E782" t="str">
            <v>PPR Male Thread plug dn25 (3/4") Green(INA) - LESSO</v>
          </cell>
        </row>
        <row r="782">
          <cell r="G782">
            <v>753</v>
          </cell>
          <cell r="H782">
            <v>753</v>
          </cell>
          <cell r="I782">
            <v>0.12</v>
          </cell>
          <cell r="J782">
            <v>856</v>
          </cell>
          <cell r="K782">
            <v>0.1</v>
          </cell>
          <cell r="L782">
            <v>837</v>
          </cell>
        </row>
        <row r="783">
          <cell r="C783">
            <v>8010072488</v>
          </cell>
          <cell r="D783" t="str">
            <v>螺纹堵头(PPR 配件)印尼绿色 dn32 (1") 联塑</v>
          </cell>
          <cell r="E783" t="str">
            <v>PPR Male Thread plug dn32 (1") Green(INA) - LESSO</v>
          </cell>
        </row>
        <row r="783">
          <cell r="G783">
            <v>1268</v>
          </cell>
          <cell r="H783">
            <v>1268</v>
          </cell>
          <cell r="I783">
            <v>0.12</v>
          </cell>
          <cell r="J783">
            <v>1441</v>
          </cell>
          <cell r="K783">
            <v>0.1</v>
          </cell>
          <cell r="L783">
            <v>1409</v>
          </cell>
        </row>
        <row r="784">
          <cell r="C784">
            <v>8010072726</v>
          </cell>
          <cell r="D784" t="str">
            <v>管帽(PPR 配件)印尼绿色 dn16 联塑</v>
          </cell>
          <cell r="E784" t="str">
            <v>PPR End Cap dn16 Green(INA) - LESSO</v>
          </cell>
        </row>
        <row r="784">
          <cell r="G784">
            <v>416</v>
          </cell>
          <cell r="H784">
            <v>416</v>
          </cell>
          <cell r="I784">
            <v>0.12</v>
          </cell>
          <cell r="J784">
            <v>473</v>
          </cell>
          <cell r="K784">
            <v>0.1</v>
          </cell>
          <cell r="L784">
            <v>462</v>
          </cell>
        </row>
        <row r="785">
          <cell r="C785">
            <v>8010071421</v>
          </cell>
          <cell r="D785" t="str">
            <v>管帽(PPR 配件)印尼绿色 dn20 (1/2") 联塑</v>
          </cell>
          <cell r="E785" t="str">
            <v>PPR Cap dn20 (1/2")- LESSO</v>
          </cell>
        </row>
        <row r="785">
          <cell r="G785">
            <v>674</v>
          </cell>
          <cell r="H785">
            <v>674</v>
          </cell>
          <cell r="I785">
            <v>0.12</v>
          </cell>
          <cell r="J785">
            <v>766</v>
          </cell>
          <cell r="K785">
            <v>0.1</v>
          </cell>
          <cell r="L785">
            <v>749</v>
          </cell>
        </row>
        <row r="786">
          <cell r="C786">
            <v>8010071422</v>
          </cell>
          <cell r="D786" t="str">
            <v>管帽(PPR 配件)印尼绿色 dn25 (3/4") 联塑</v>
          </cell>
          <cell r="E786" t="str">
            <v>PPR Cap dn25 (3/4") Green(INA) - LESSO</v>
          </cell>
        </row>
        <row r="786">
          <cell r="G786">
            <v>951</v>
          </cell>
          <cell r="H786">
            <v>951</v>
          </cell>
          <cell r="I786">
            <v>0.12</v>
          </cell>
          <cell r="J786">
            <v>1081</v>
          </cell>
          <cell r="K786">
            <v>0.1</v>
          </cell>
          <cell r="L786">
            <v>1057</v>
          </cell>
        </row>
        <row r="787">
          <cell r="C787">
            <v>8010071423</v>
          </cell>
          <cell r="D787" t="str">
            <v>管帽(PPR 配件)印尼绿色 dn32 (1") 联塑</v>
          </cell>
          <cell r="E787" t="str">
            <v>PPR Cap dn32 (1") Green(INA) - LESSO</v>
          </cell>
        </row>
        <row r="787">
          <cell r="G787">
            <v>1467</v>
          </cell>
          <cell r="H787">
            <v>1467</v>
          </cell>
          <cell r="I787">
            <v>0.12</v>
          </cell>
          <cell r="J787">
            <v>1668</v>
          </cell>
          <cell r="K787">
            <v>0.1</v>
          </cell>
          <cell r="L787">
            <v>1630</v>
          </cell>
        </row>
        <row r="788">
          <cell r="C788">
            <v>8010071424</v>
          </cell>
          <cell r="D788" t="str">
            <v>管帽(PPR 配件)印尼绿色 dn40 (1-1/4") 联塑</v>
          </cell>
          <cell r="E788" t="str">
            <v>PPR Cap dn40 (1-1/4") Green(INA) - LESSO</v>
          </cell>
        </row>
        <row r="788">
          <cell r="G788">
            <v>2973</v>
          </cell>
          <cell r="H788">
            <v>2973</v>
          </cell>
          <cell r="I788">
            <v>0.12</v>
          </cell>
          <cell r="J788">
            <v>3379</v>
          </cell>
          <cell r="K788">
            <v>0.1</v>
          </cell>
          <cell r="L788">
            <v>3303</v>
          </cell>
        </row>
        <row r="789">
          <cell r="C789">
            <v>8010071425</v>
          </cell>
          <cell r="D789" t="str">
            <v>管帽(PPR 配件)印尼绿色 dn50 (1-1/2") 联塑</v>
          </cell>
          <cell r="E789" t="str">
            <v>PPR Cap dn50 (1-1/2")- LESSO</v>
          </cell>
        </row>
        <row r="789">
          <cell r="G789">
            <v>6025</v>
          </cell>
          <cell r="H789">
            <v>6025</v>
          </cell>
          <cell r="I789">
            <v>0.12</v>
          </cell>
          <cell r="J789">
            <v>6847</v>
          </cell>
          <cell r="K789">
            <v>0.1</v>
          </cell>
          <cell r="L789">
            <v>6694</v>
          </cell>
        </row>
        <row r="790">
          <cell r="C790">
            <v>8010071426</v>
          </cell>
          <cell r="D790" t="str">
            <v>管帽(PPR 配件)印尼绿色 dn63 (2") 联塑</v>
          </cell>
          <cell r="E790" t="str">
            <v>PPR Cap dn63 (2") Green(INA) - LESSO</v>
          </cell>
        </row>
        <row r="790">
          <cell r="G790">
            <v>10227</v>
          </cell>
          <cell r="H790">
            <v>10227</v>
          </cell>
          <cell r="I790">
            <v>0.12</v>
          </cell>
          <cell r="J790">
            <v>11622</v>
          </cell>
          <cell r="K790">
            <v>0.1</v>
          </cell>
          <cell r="L790">
            <v>11363</v>
          </cell>
        </row>
        <row r="791">
          <cell r="C791">
            <v>8010071427</v>
          </cell>
          <cell r="D791" t="str">
            <v>管帽(PPR 配件)印尼绿色 dn75 (2-1/2") 联塑</v>
          </cell>
          <cell r="E791" t="str">
            <v>PPR Cap dn75 (2-1/2") Green(INA) - LESSO</v>
          </cell>
        </row>
        <row r="791">
          <cell r="G791">
            <v>18829</v>
          </cell>
          <cell r="H791">
            <v>18829</v>
          </cell>
          <cell r="I791">
            <v>0.12</v>
          </cell>
          <cell r="J791">
            <v>21397</v>
          </cell>
          <cell r="K791">
            <v>0.1</v>
          </cell>
          <cell r="L791">
            <v>20921</v>
          </cell>
        </row>
        <row r="792">
          <cell r="C792">
            <v>8010071428</v>
          </cell>
          <cell r="D792" t="str">
            <v>管帽(PPR 配件)印尼绿色 dn90 (3") 联塑</v>
          </cell>
          <cell r="E792" t="str">
            <v>PPR Cap dn90 (3") Green(INA) - LESSO</v>
          </cell>
        </row>
        <row r="792">
          <cell r="G792">
            <v>22595</v>
          </cell>
          <cell r="H792">
            <v>22595</v>
          </cell>
          <cell r="I792">
            <v>0.12</v>
          </cell>
          <cell r="J792">
            <v>25677</v>
          </cell>
          <cell r="K792">
            <v>0.1</v>
          </cell>
          <cell r="L792">
            <v>25106</v>
          </cell>
        </row>
        <row r="793">
          <cell r="C793">
            <v>8010071429</v>
          </cell>
          <cell r="D793" t="str">
            <v>管帽(PPR 配件)印尼绿色 dn110 (4") 联塑</v>
          </cell>
          <cell r="E793" t="str">
            <v>PPR Cap dn110 (4") Green(INA) - LESSO</v>
          </cell>
        </row>
        <row r="793">
          <cell r="G793">
            <v>59023</v>
          </cell>
          <cell r="H793">
            <v>59023</v>
          </cell>
          <cell r="I793">
            <v>0.12</v>
          </cell>
          <cell r="J793">
            <v>67072</v>
          </cell>
          <cell r="K793">
            <v>0.1</v>
          </cell>
          <cell r="L793">
            <v>65581</v>
          </cell>
        </row>
        <row r="794">
          <cell r="C794">
            <v>8010071736</v>
          </cell>
          <cell r="D794" t="str">
            <v>管帽(PPR 配件)印尼绿色 dn160 (6") 联塑</v>
          </cell>
          <cell r="E794" t="str">
            <v>PPR Cap dn160 (6") Green(INA) - LESSO</v>
          </cell>
        </row>
        <row r="794">
          <cell r="G794">
            <v>163117</v>
          </cell>
          <cell r="H794">
            <v>163117</v>
          </cell>
          <cell r="I794">
            <v>0.12</v>
          </cell>
          <cell r="J794">
            <v>185361</v>
          </cell>
          <cell r="K794">
            <v>0.1</v>
          </cell>
          <cell r="L794">
            <v>181241</v>
          </cell>
        </row>
        <row r="795">
          <cell r="C795">
            <v>8010072497</v>
          </cell>
          <cell r="D795" t="str">
            <v>双联座内螺纹三通(PPR 配件)印尼绿色 dn20x1/2" 联塑</v>
          </cell>
          <cell r="E795" t="str">
            <v>PPR Double Female Tee with Seat dn20x1/2" Green(INA) - LESSO</v>
          </cell>
        </row>
        <row r="795">
          <cell r="G795">
            <v>17286</v>
          </cell>
          <cell r="H795">
            <v>17286</v>
          </cell>
          <cell r="I795">
            <v>0.12</v>
          </cell>
          <cell r="J795">
            <v>19644</v>
          </cell>
          <cell r="K795">
            <v>0.1</v>
          </cell>
          <cell r="L795">
            <v>19207</v>
          </cell>
        </row>
        <row r="796">
          <cell r="C796">
            <v>8010072498</v>
          </cell>
          <cell r="D796" t="str">
            <v>双联座内螺纹三通(PPR 配件)印尼绿色 dn25x1/2" 联塑</v>
          </cell>
          <cell r="E796" t="str">
            <v>PPR Double Female Tee with Seat dn25x1/2" Green(INA) - LESSO</v>
          </cell>
        </row>
        <row r="796">
          <cell r="G796">
            <v>21409</v>
          </cell>
          <cell r="H796">
            <v>21409</v>
          </cell>
          <cell r="I796">
            <v>0.12</v>
          </cell>
          <cell r="J796">
            <v>24329</v>
          </cell>
          <cell r="K796">
            <v>0.1</v>
          </cell>
          <cell r="L796">
            <v>23788</v>
          </cell>
        </row>
        <row r="797">
          <cell r="C797">
            <v>8010072847</v>
          </cell>
          <cell r="D797" t="str">
            <v>双联座内螺纹三通(PPR 配件)印尼绿色 dn32x1/2" 联塑</v>
          </cell>
          <cell r="E797" t="str">
            <v>PPR Double Female Tee With Seat dn32x1/2" Green(INA) - LESSO</v>
          </cell>
        </row>
        <row r="797">
          <cell r="G797">
            <v>23751</v>
          </cell>
          <cell r="H797">
            <v>23751</v>
          </cell>
          <cell r="I797">
            <v>0.12</v>
          </cell>
          <cell r="J797">
            <v>26990</v>
          </cell>
          <cell r="K797">
            <v>0.1</v>
          </cell>
          <cell r="L797">
            <v>26390</v>
          </cell>
        </row>
        <row r="798">
          <cell r="C798">
            <v>8010072499</v>
          </cell>
          <cell r="D798" t="str">
            <v>双联座内螺纹三通(PPR 配件)印尼绿色 dn32x3/4" 联塑</v>
          </cell>
          <cell r="E798" t="str">
            <v>PPR Double Female Tee with Seat dn32x3/4" Green(INA) - LESSO</v>
          </cell>
        </row>
        <row r="798">
          <cell r="G798">
            <v>28998</v>
          </cell>
          <cell r="H798">
            <v>28998</v>
          </cell>
          <cell r="I798">
            <v>0.12</v>
          </cell>
          <cell r="J798">
            <v>32953</v>
          </cell>
          <cell r="K798">
            <v>0.1</v>
          </cell>
          <cell r="L798">
            <v>32220</v>
          </cell>
        </row>
        <row r="799">
          <cell r="C799">
            <v>8010072359</v>
          </cell>
          <cell r="D799" t="str">
            <v>双联座内螺纹弯头(PPR 配件)印尼绿色 dn20x1/2" 联塑</v>
          </cell>
          <cell r="E799" t="str">
            <v>PPR Double Female Thread Elbow With Seat dn20x1/2" Green(INA) - LESSO</v>
          </cell>
        </row>
        <row r="799">
          <cell r="G799">
            <v>17614</v>
          </cell>
          <cell r="H799">
            <v>17614</v>
          </cell>
          <cell r="I799">
            <v>0.12</v>
          </cell>
          <cell r="J799">
            <v>20016</v>
          </cell>
          <cell r="K799">
            <v>0.1</v>
          </cell>
          <cell r="L799">
            <v>19571</v>
          </cell>
        </row>
        <row r="800">
          <cell r="C800">
            <v>8010072360</v>
          </cell>
          <cell r="D800" t="str">
            <v>双联座内螺纹弯头(PPR 配件)印尼绿色 dn25x1/2" 联塑</v>
          </cell>
          <cell r="E800" t="str">
            <v>PPR Double Female Thread Elbow With Seat dn25x1/2" Green(INA) - LESSO</v>
          </cell>
        </row>
        <row r="800">
          <cell r="G800">
            <v>18177</v>
          </cell>
          <cell r="H800">
            <v>18177</v>
          </cell>
          <cell r="I800">
            <v>0.12</v>
          </cell>
          <cell r="J800">
            <v>20656</v>
          </cell>
          <cell r="K800">
            <v>0.1</v>
          </cell>
          <cell r="L800">
            <v>20197</v>
          </cell>
        </row>
        <row r="801">
          <cell r="C801">
            <v>8010072500</v>
          </cell>
          <cell r="D801" t="str">
            <v>双联座内螺纹弯头(PPR 配件)印尼绿色 dn25x3/4" 联塑</v>
          </cell>
          <cell r="E801" t="str">
            <v>PPR Double Female Tee with Seat dn25x3/4" Green(INA) - LESSO</v>
          </cell>
        </row>
        <row r="801">
          <cell r="G801">
            <v>26094</v>
          </cell>
          <cell r="H801">
            <v>26094</v>
          </cell>
          <cell r="I801">
            <v>0.12</v>
          </cell>
          <cell r="J801">
            <v>29653</v>
          </cell>
          <cell r="K801">
            <v>0.1</v>
          </cell>
          <cell r="L801">
            <v>28993</v>
          </cell>
        </row>
        <row r="802">
          <cell r="C802">
            <v>8010072842</v>
          </cell>
          <cell r="D802" t="str">
            <v>双联座内螺纹弯头(PPR 配件)印尼绿色 dn32x3/4" 联塑</v>
          </cell>
          <cell r="E802" t="str">
            <v>PPR Double Female Thread Elbow With Seat dn32x3/4" Green(INA) - LESSO</v>
          </cell>
        </row>
        <row r="802">
          <cell r="G802">
            <v>27827</v>
          </cell>
          <cell r="H802">
            <v>27827</v>
          </cell>
          <cell r="I802">
            <v>0.12</v>
          </cell>
          <cell r="J802">
            <v>31622</v>
          </cell>
          <cell r="K802">
            <v>0.1</v>
          </cell>
          <cell r="L802">
            <v>30919</v>
          </cell>
        </row>
        <row r="803">
          <cell r="C803">
            <v>8010072494</v>
          </cell>
          <cell r="D803" t="str">
            <v>注塑过桥弯(PPR 配件)印尼绿色 dn20 (1/2") 联塑</v>
          </cell>
          <cell r="E803" t="str">
            <v>PPR Bending Pipe dn20 (1/2") Green(INA) - LESSO</v>
          </cell>
        </row>
        <row r="803">
          <cell r="G803">
            <v>3766</v>
          </cell>
          <cell r="H803">
            <v>3766</v>
          </cell>
          <cell r="I803">
            <v>0.12</v>
          </cell>
          <cell r="J803">
            <v>4280</v>
          </cell>
          <cell r="K803">
            <v>0.1</v>
          </cell>
          <cell r="L803">
            <v>4184</v>
          </cell>
        </row>
        <row r="804">
          <cell r="C804">
            <v>8010072495</v>
          </cell>
          <cell r="D804" t="str">
            <v>注塑过桥弯(PPR 配件)印尼绿色 dn25 (3/4") 联塑</v>
          </cell>
          <cell r="E804" t="str">
            <v>PPR Bending Pipe dn25 (3/4") Green(INA) - LESSO</v>
          </cell>
        </row>
        <row r="804">
          <cell r="G804">
            <v>5906</v>
          </cell>
          <cell r="H804">
            <v>5906</v>
          </cell>
          <cell r="I804">
            <v>0.12</v>
          </cell>
          <cell r="J804">
            <v>6712</v>
          </cell>
          <cell r="K804">
            <v>0.1</v>
          </cell>
          <cell r="L804">
            <v>6562</v>
          </cell>
        </row>
        <row r="805">
          <cell r="C805">
            <v>8010072496</v>
          </cell>
          <cell r="D805" t="str">
            <v>注塑过桥弯(PPR 配件)印尼绿色 dn32 (1") 联塑</v>
          </cell>
          <cell r="E805" t="str">
            <v>PPR Bending Pipe dn32 (1") Green(INA) - LESSO</v>
          </cell>
        </row>
        <row r="805">
          <cell r="G805">
            <v>10584</v>
          </cell>
          <cell r="H805">
            <v>10584</v>
          </cell>
          <cell r="I805">
            <v>0.12</v>
          </cell>
          <cell r="J805">
            <v>12028</v>
          </cell>
          <cell r="K805">
            <v>0.1</v>
          </cell>
          <cell r="L805">
            <v>11760</v>
          </cell>
        </row>
        <row r="806">
          <cell r="C806">
            <v>8010073016</v>
          </cell>
          <cell r="D806" t="str">
            <v>注塑过桥弯Ⅱ(PPR 配件)印尼绿色 dn20 (1/2") 联塑</v>
          </cell>
          <cell r="E806" t="str">
            <v>PPR Bending Pipe II dn20 (1/2") Green(INA) - LESSO</v>
          </cell>
        </row>
        <row r="806">
          <cell r="G806">
            <v>1268</v>
          </cell>
          <cell r="H806">
            <v>1268</v>
          </cell>
          <cell r="I806">
            <v>0.12</v>
          </cell>
          <cell r="J806">
            <v>1441</v>
          </cell>
          <cell r="K806">
            <v>0.1</v>
          </cell>
          <cell r="L806">
            <v>1409</v>
          </cell>
        </row>
        <row r="807">
          <cell r="C807">
            <v>8010073789</v>
          </cell>
          <cell r="D807" t="str">
            <v>注塑过桥弯Ⅱ(PPR 配件)印尼绿色 dn25 (3/4") 联塑</v>
          </cell>
          <cell r="E807" t="str">
            <v>PPR Bending Pipe II dn25 (3/4") Green(INA) - LESSO</v>
          </cell>
        </row>
        <row r="807">
          <cell r="G807">
            <v>2299</v>
          </cell>
          <cell r="H807">
            <v>2299</v>
          </cell>
          <cell r="I807">
            <v>0.12</v>
          </cell>
          <cell r="J807">
            <v>2613</v>
          </cell>
          <cell r="K807">
            <v>0.1</v>
          </cell>
          <cell r="L807">
            <v>2554</v>
          </cell>
        </row>
        <row r="808">
          <cell r="C808">
            <v>8010073790</v>
          </cell>
          <cell r="D808" t="str">
            <v>注塑过桥弯Ⅱ(PPR 配件)印尼绿色 dn32 (1") 联塑</v>
          </cell>
          <cell r="E808" t="str">
            <v>PPR Bending Pipe II dn32 (1") Green(INA) - LESSO</v>
          </cell>
        </row>
        <row r="808">
          <cell r="G808">
            <v>7413</v>
          </cell>
          <cell r="H808">
            <v>7413</v>
          </cell>
          <cell r="I808">
            <v>0.12</v>
          </cell>
          <cell r="J808">
            <v>8424</v>
          </cell>
          <cell r="K808">
            <v>0.1</v>
          </cell>
          <cell r="L808">
            <v>8237</v>
          </cell>
        </row>
        <row r="809">
          <cell r="C809">
            <v>8010071351</v>
          </cell>
          <cell r="D809" t="str">
            <v>冷水过桥弯管1.6(PPR 配件)印尼绿色 dn20 (1/2") 联塑</v>
          </cell>
          <cell r="E809" t="str">
            <v>PPR Bending Pipe (for Cold Water) 1.6Mpa dn20 (1/2") Green(INA) - LESSO</v>
          </cell>
        </row>
        <row r="809">
          <cell r="G809">
            <v>3211</v>
          </cell>
          <cell r="H809">
            <v>3211</v>
          </cell>
          <cell r="I809">
            <v>0.12</v>
          </cell>
          <cell r="J809">
            <v>3649</v>
          </cell>
          <cell r="K809">
            <v>0.1</v>
          </cell>
          <cell r="L809">
            <v>3568</v>
          </cell>
        </row>
        <row r="810">
          <cell r="C810">
            <v>8010072489</v>
          </cell>
          <cell r="D810" t="str">
            <v>冷水过桥弯管1.6(PPR 配件)印尼绿色 dn25 (3/4") 联塑</v>
          </cell>
          <cell r="E810" t="str">
            <v>PPR Bending Pipe (for Cold Water) 1.6Mpa dn25 (3/4") Green(INA) - LESSO</v>
          </cell>
        </row>
        <row r="810">
          <cell r="G810">
            <v>4717</v>
          </cell>
          <cell r="H810">
            <v>4717</v>
          </cell>
          <cell r="I810">
            <v>0.12</v>
          </cell>
          <cell r="J810">
            <v>5361</v>
          </cell>
          <cell r="K810">
            <v>0.1</v>
          </cell>
          <cell r="L810">
            <v>5241</v>
          </cell>
        </row>
        <row r="811">
          <cell r="C811">
            <v>8010072490</v>
          </cell>
          <cell r="D811" t="str">
            <v>冷水过桥弯管1.6(PPR 配件)印尼绿色 dn32 (1") 联塑</v>
          </cell>
          <cell r="E811" t="str">
            <v>PPR Bending Pipe (for Cold Water) 1.6Mpa dn32 (1") Green(INA) - LESSO</v>
          </cell>
        </row>
        <row r="811">
          <cell r="G811">
            <v>7175</v>
          </cell>
          <cell r="H811">
            <v>7175</v>
          </cell>
          <cell r="I811">
            <v>0.12</v>
          </cell>
          <cell r="J811">
            <v>8154</v>
          </cell>
          <cell r="K811">
            <v>0.1</v>
          </cell>
          <cell r="L811">
            <v>7972</v>
          </cell>
        </row>
        <row r="812">
          <cell r="C812">
            <v>8010072491</v>
          </cell>
          <cell r="D812" t="str">
            <v>热水过桥弯管2.5(PPR 配件)印尼绿色 dn20 (1/2") 联塑</v>
          </cell>
          <cell r="E812" t="str">
            <v>PPR Bending Pipe (for Hot Water) 2.5Mpa dn20 (1/2") Green(INA) - LESSO</v>
          </cell>
        </row>
        <row r="812">
          <cell r="G812">
            <v>3726</v>
          </cell>
          <cell r="H812">
            <v>3726</v>
          </cell>
          <cell r="I812">
            <v>0.12</v>
          </cell>
          <cell r="J812">
            <v>4235</v>
          </cell>
          <cell r="K812">
            <v>0.1</v>
          </cell>
          <cell r="L812">
            <v>4140</v>
          </cell>
        </row>
        <row r="813">
          <cell r="C813">
            <v>8010072492</v>
          </cell>
          <cell r="D813" t="str">
            <v>热水过桥弯管2.5(PPR 配件)印尼绿色 dn25 (3/4") 联塑</v>
          </cell>
          <cell r="E813" t="str">
            <v>PPR Bending Pipe (for Hot Water) 2.5Mpa dn25 (3/4") Green(INA) - LESSO</v>
          </cell>
        </row>
        <row r="813">
          <cell r="G813">
            <v>5193</v>
          </cell>
          <cell r="H813">
            <v>5193</v>
          </cell>
          <cell r="I813">
            <v>0.12</v>
          </cell>
          <cell r="J813">
            <v>5902</v>
          </cell>
          <cell r="K813">
            <v>0.1</v>
          </cell>
          <cell r="L813">
            <v>5770</v>
          </cell>
        </row>
        <row r="814">
          <cell r="C814">
            <v>8010072493</v>
          </cell>
          <cell r="D814" t="str">
            <v>热水过桥弯管2.5(PPR 配件)印尼绿色 dn32 (1") 联塑</v>
          </cell>
          <cell r="E814" t="str">
            <v>PPR Bending Pipe (for Hot Water) 2.5Mpa dn32 (1") Green(INA) - LESSO</v>
          </cell>
        </row>
        <row r="814">
          <cell r="G814">
            <v>8681</v>
          </cell>
          <cell r="H814">
            <v>8681</v>
          </cell>
          <cell r="I814">
            <v>0.12</v>
          </cell>
          <cell r="J814">
            <v>9865</v>
          </cell>
          <cell r="K814">
            <v>0.1</v>
          </cell>
          <cell r="L814">
            <v>9646</v>
          </cell>
        </row>
        <row r="815">
          <cell r="C815">
            <v>8010072716</v>
          </cell>
          <cell r="D815" t="str">
            <v>管接盖(PPR 配件)印尼绿色 dn16 联塑</v>
          </cell>
          <cell r="E815" t="str">
            <v>PPR Pipe Cover dn16 Green(INA) - LESSO</v>
          </cell>
        </row>
        <row r="815">
          <cell r="G815">
            <v>416</v>
          </cell>
          <cell r="H815">
            <v>416</v>
          </cell>
          <cell r="I815">
            <v>0.12</v>
          </cell>
          <cell r="J815">
            <v>473</v>
          </cell>
          <cell r="K815">
            <v>0.1</v>
          </cell>
          <cell r="L815">
            <v>462</v>
          </cell>
        </row>
        <row r="816">
          <cell r="C816">
            <v>8010072718</v>
          </cell>
          <cell r="D816" t="str">
            <v>管接盖(PPR 配件)印尼绿色 dn20 (1/2") 联塑</v>
          </cell>
          <cell r="E816" t="str">
            <v>PPR Pipe Cover dn20 (1/2") Green(INA) - LESSO</v>
          </cell>
        </row>
        <row r="816">
          <cell r="G816">
            <v>277</v>
          </cell>
          <cell r="H816">
            <v>277</v>
          </cell>
          <cell r="I816">
            <v>0.12</v>
          </cell>
          <cell r="J816">
            <v>315</v>
          </cell>
          <cell r="K816">
            <v>0.1</v>
          </cell>
          <cell r="L816">
            <v>308</v>
          </cell>
        </row>
        <row r="817">
          <cell r="C817">
            <v>8010072719</v>
          </cell>
          <cell r="D817" t="str">
            <v>管接盖(PPR 配件)印尼绿色 dn25 (3/4") 联塑</v>
          </cell>
          <cell r="E817" t="str">
            <v>PPR Pipe Cover dn25 (3/4") Green(INA) - LESSO</v>
          </cell>
        </row>
        <row r="817">
          <cell r="G817">
            <v>357</v>
          </cell>
          <cell r="H817">
            <v>357</v>
          </cell>
          <cell r="I817">
            <v>0.12</v>
          </cell>
          <cell r="J817">
            <v>406</v>
          </cell>
          <cell r="K817">
            <v>0.1</v>
          </cell>
          <cell r="L817">
            <v>397</v>
          </cell>
        </row>
        <row r="818">
          <cell r="C818">
            <v>8010072720</v>
          </cell>
          <cell r="D818" t="str">
            <v>管接盖(PPR 配件)印尼绿色 dn32 (1") 联塑</v>
          </cell>
          <cell r="E818" t="str">
            <v>PPR Pipe Cover dn32 (1") Green(INA) - LESSO</v>
          </cell>
        </row>
        <row r="818">
          <cell r="G818">
            <v>436</v>
          </cell>
          <cell r="H818">
            <v>436</v>
          </cell>
          <cell r="I818">
            <v>0.12</v>
          </cell>
          <cell r="J818">
            <v>496</v>
          </cell>
          <cell r="K818">
            <v>0.1</v>
          </cell>
          <cell r="L818">
            <v>484</v>
          </cell>
        </row>
        <row r="819">
          <cell r="C819">
            <v>8010072721</v>
          </cell>
          <cell r="D819" t="str">
            <v>管接盖(PPR 配件)印尼绿色 dn40 (1-1/4") 联塑</v>
          </cell>
          <cell r="E819" t="str">
            <v>PPR Pipe Cover dn40 (1-1/4") Green(INA) - LESSO</v>
          </cell>
        </row>
        <row r="819">
          <cell r="G819">
            <v>515</v>
          </cell>
          <cell r="H819">
            <v>515</v>
          </cell>
          <cell r="I819">
            <v>0.12</v>
          </cell>
          <cell r="J819">
            <v>586</v>
          </cell>
          <cell r="K819">
            <v>0.1</v>
          </cell>
          <cell r="L819">
            <v>572</v>
          </cell>
        </row>
        <row r="820">
          <cell r="C820">
            <v>8010072722</v>
          </cell>
          <cell r="D820" t="str">
            <v>管接盖(PPR 配件)印尼绿色 dn50 (1-1/2") 联塑</v>
          </cell>
          <cell r="E820" t="str">
            <v>PPR Pipe Cover dn50 (1-1/2") Green(INA) - LESSO</v>
          </cell>
        </row>
        <row r="820">
          <cell r="G820">
            <v>595</v>
          </cell>
          <cell r="H820">
            <v>595</v>
          </cell>
          <cell r="I820">
            <v>0.12</v>
          </cell>
          <cell r="J820">
            <v>677</v>
          </cell>
          <cell r="K820">
            <v>0.1</v>
          </cell>
          <cell r="L820">
            <v>661</v>
          </cell>
        </row>
        <row r="821">
          <cell r="C821">
            <v>8010072723</v>
          </cell>
          <cell r="D821" t="str">
            <v>管接盖(PPR 配件)印尼绿色 dn63 (2") 联塑</v>
          </cell>
          <cell r="E821" t="str">
            <v>PPR Pipe Cover dn63 (2") Green(INA) - LESSO</v>
          </cell>
        </row>
        <row r="821">
          <cell r="G821">
            <v>753</v>
          </cell>
          <cell r="H821">
            <v>753</v>
          </cell>
          <cell r="I821">
            <v>0.12</v>
          </cell>
          <cell r="J821">
            <v>856</v>
          </cell>
          <cell r="K821">
            <v>0.1</v>
          </cell>
          <cell r="L821">
            <v>837</v>
          </cell>
        </row>
        <row r="822">
          <cell r="C822">
            <v>8010072724</v>
          </cell>
          <cell r="D822" t="str">
            <v>管接盖(PPR 配件)印尼绿色 dn75 (2-1/2") 联塑</v>
          </cell>
          <cell r="E822" t="str">
            <v>PPR Pipe Cover dn75 (2-1/2") Green(INA) - LESSO</v>
          </cell>
        </row>
        <row r="822">
          <cell r="G822">
            <v>832</v>
          </cell>
          <cell r="H822">
            <v>832</v>
          </cell>
          <cell r="I822">
            <v>0.12</v>
          </cell>
          <cell r="J822">
            <v>946</v>
          </cell>
          <cell r="K822">
            <v>0.1</v>
          </cell>
          <cell r="L822">
            <v>924</v>
          </cell>
        </row>
        <row r="823">
          <cell r="C823">
            <v>8010072725</v>
          </cell>
          <cell r="D823" t="str">
            <v>管接盖(PPR 配件)印尼绿色 dn90 (3") 联塑</v>
          </cell>
          <cell r="E823" t="str">
            <v>PPR Pipe Cover dn90 (3") Green(INA) - LESSO</v>
          </cell>
        </row>
        <row r="823">
          <cell r="G823">
            <v>991</v>
          </cell>
          <cell r="H823">
            <v>991</v>
          </cell>
          <cell r="I823">
            <v>0.12</v>
          </cell>
          <cell r="J823">
            <v>1127</v>
          </cell>
          <cell r="K823">
            <v>0.1</v>
          </cell>
          <cell r="L823">
            <v>1101</v>
          </cell>
        </row>
        <row r="824">
          <cell r="C824">
            <v>8010072715</v>
          </cell>
          <cell r="D824" t="str">
            <v>管接盖(PPR 配件)印尼绿色 dn110 (4") 联塑</v>
          </cell>
          <cell r="E824" t="str">
            <v>PPR Pipe Cover dn110 (4") Green(INA) - LESSO</v>
          </cell>
        </row>
        <row r="824">
          <cell r="G824">
            <v>1982</v>
          </cell>
          <cell r="H824">
            <v>1982</v>
          </cell>
          <cell r="I824">
            <v>0.12</v>
          </cell>
          <cell r="J824">
            <v>2253</v>
          </cell>
          <cell r="K824">
            <v>0.1</v>
          </cell>
          <cell r="L824">
            <v>2202</v>
          </cell>
        </row>
        <row r="825">
          <cell r="C825">
            <v>8010072717</v>
          </cell>
          <cell r="D825" t="str">
            <v>管接盖(PPR 配件)印尼绿色 dn160 (6") 联塑</v>
          </cell>
          <cell r="E825" t="str">
            <v>PPR Pipe Cover dn160 (6") Green(INA) - LESSO</v>
          </cell>
        </row>
        <row r="825">
          <cell r="G825">
            <v>5470</v>
          </cell>
          <cell r="H825">
            <v>5470</v>
          </cell>
          <cell r="I825">
            <v>0.12</v>
          </cell>
          <cell r="J825">
            <v>6216</v>
          </cell>
          <cell r="K825">
            <v>0.1</v>
          </cell>
          <cell r="L825">
            <v>6078</v>
          </cell>
        </row>
        <row r="826">
          <cell r="C826">
            <v>8010071430</v>
          </cell>
          <cell r="D826" t="str">
            <v>管卡(PPR 配件)印尼绿色 dn20 (1/2") 联塑</v>
          </cell>
          <cell r="E826" t="str">
            <v>PPR Pipe Clamp dn20 (1/2") Green(INA) - LESSO</v>
          </cell>
        </row>
        <row r="826">
          <cell r="G826">
            <v>555</v>
          </cell>
          <cell r="H826">
            <v>555</v>
          </cell>
          <cell r="I826">
            <v>0.12</v>
          </cell>
          <cell r="J826">
            <v>631</v>
          </cell>
          <cell r="K826">
            <v>0.1</v>
          </cell>
          <cell r="L826">
            <v>617</v>
          </cell>
        </row>
        <row r="827">
          <cell r="C827">
            <v>8010071431</v>
          </cell>
          <cell r="D827" t="str">
            <v>管卡(PPR 配件)印尼绿色 dn25 (3/4") 联塑</v>
          </cell>
          <cell r="E827" t="str">
            <v>PPR Pipe Clamp dn25 (3/4") Green(INA) - LESSO</v>
          </cell>
        </row>
        <row r="827">
          <cell r="G827">
            <v>634</v>
          </cell>
          <cell r="H827">
            <v>634</v>
          </cell>
          <cell r="I827">
            <v>0.12</v>
          </cell>
          <cell r="J827">
            <v>721</v>
          </cell>
          <cell r="K827">
            <v>0.1</v>
          </cell>
          <cell r="L827">
            <v>704</v>
          </cell>
        </row>
        <row r="828">
          <cell r="C828">
            <v>8010071432</v>
          </cell>
          <cell r="D828" t="str">
            <v>管卡(PPR 配件)印尼绿色 dn32 (1") 联塑</v>
          </cell>
          <cell r="E828" t="str">
            <v>PPR Pipe Clamp dn32 (1") Green(INA) - LESSO</v>
          </cell>
        </row>
        <row r="828">
          <cell r="G828">
            <v>872</v>
          </cell>
          <cell r="H828">
            <v>872</v>
          </cell>
          <cell r="I828">
            <v>0.12</v>
          </cell>
          <cell r="J828">
            <v>991</v>
          </cell>
          <cell r="K828">
            <v>0.1</v>
          </cell>
          <cell r="L828">
            <v>969</v>
          </cell>
        </row>
        <row r="829">
          <cell r="C829">
            <v>8010071433</v>
          </cell>
          <cell r="D829" t="str">
            <v>管卡(PPR 配件)印尼绿色 dn40 (1-1/4") 联塑</v>
          </cell>
          <cell r="E829" t="str">
            <v>PPR Pipe Clamp dn40 (1-1/4") Green(INA) - LESSO</v>
          </cell>
        </row>
        <row r="829">
          <cell r="G829">
            <v>991</v>
          </cell>
          <cell r="H829">
            <v>991</v>
          </cell>
          <cell r="I829">
            <v>0.12</v>
          </cell>
          <cell r="J829">
            <v>1127</v>
          </cell>
          <cell r="K829">
            <v>0.1</v>
          </cell>
          <cell r="L829">
            <v>1101</v>
          </cell>
        </row>
        <row r="830">
          <cell r="C830">
            <v>8010071434</v>
          </cell>
          <cell r="D830" t="str">
            <v>管卡(PPR 配件)印尼绿色 dn50 (1-1/2") 联塑</v>
          </cell>
          <cell r="E830" t="str">
            <v>PPR Pipe Clamp dn50 (1-1/2") Green(INA) - LESSO</v>
          </cell>
        </row>
        <row r="830">
          <cell r="G830">
            <v>1150</v>
          </cell>
          <cell r="H830">
            <v>1150</v>
          </cell>
          <cell r="I830">
            <v>0.12</v>
          </cell>
          <cell r="J830">
            <v>1307</v>
          </cell>
          <cell r="K830">
            <v>0.1</v>
          </cell>
          <cell r="L830">
            <v>1278</v>
          </cell>
        </row>
        <row r="831">
          <cell r="C831">
            <v>8010072816</v>
          </cell>
          <cell r="D831" t="str">
            <v>镶拼式管卡(PPR 配件)印尼绿色 dn16 联塑</v>
          </cell>
          <cell r="E831" t="str">
            <v>PPR Assembling Clamp dn16 Green(INA) - LESSO</v>
          </cell>
        </row>
        <row r="831">
          <cell r="G831">
            <v>416</v>
          </cell>
          <cell r="H831">
            <v>416</v>
          </cell>
          <cell r="I831">
            <v>0.12</v>
          </cell>
          <cell r="J831">
            <v>473</v>
          </cell>
          <cell r="K831">
            <v>0.1</v>
          </cell>
          <cell r="L831">
            <v>462</v>
          </cell>
        </row>
        <row r="832">
          <cell r="C832">
            <v>8010072817</v>
          </cell>
          <cell r="D832" t="str">
            <v>镶拼式管卡(PPR 配件)印尼绿色 dn20 (1/2") 联塑</v>
          </cell>
          <cell r="E832" t="str">
            <v>PPR Assembling Clamp dn20 (1/2") Green(INA) - LESSO</v>
          </cell>
        </row>
        <row r="832">
          <cell r="G832">
            <v>515</v>
          </cell>
          <cell r="H832">
            <v>515</v>
          </cell>
          <cell r="I832">
            <v>0.12</v>
          </cell>
          <cell r="J832">
            <v>586</v>
          </cell>
          <cell r="K832">
            <v>0.1</v>
          </cell>
          <cell r="L832">
            <v>572</v>
          </cell>
        </row>
        <row r="833">
          <cell r="C833">
            <v>8010072818</v>
          </cell>
          <cell r="D833" t="str">
            <v>镶拼式管卡(PPR 配件)印尼绿色 dn25 (3/4") 联塑</v>
          </cell>
          <cell r="E833" t="str">
            <v>PPR Assembling Clamp dn25 (3/4") Green(INA) - LESSO</v>
          </cell>
        </row>
        <row r="833">
          <cell r="G833">
            <v>515</v>
          </cell>
          <cell r="H833">
            <v>515</v>
          </cell>
          <cell r="I833">
            <v>0.12</v>
          </cell>
          <cell r="J833">
            <v>586</v>
          </cell>
          <cell r="K833">
            <v>0.1</v>
          </cell>
          <cell r="L833">
            <v>572</v>
          </cell>
        </row>
        <row r="834">
          <cell r="C834">
            <v>8010072819</v>
          </cell>
          <cell r="D834" t="str">
            <v>镶拼式管卡(PPR 配件)印尼绿色 dn32 (1") 联塑</v>
          </cell>
          <cell r="E834" t="str">
            <v>PPR Assembling Clamp dn32 (1") Green(INA) - LESSO</v>
          </cell>
        </row>
        <row r="834">
          <cell r="G834">
            <v>753</v>
          </cell>
          <cell r="H834">
            <v>753</v>
          </cell>
          <cell r="I834">
            <v>0.12</v>
          </cell>
          <cell r="J834">
            <v>856</v>
          </cell>
          <cell r="K834">
            <v>0.1</v>
          </cell>
          <cell r="L834">
            <v>837</v>
          </cell>
        </row>
        <row r="835">
          <cell r="C835">
            <v>8010072826</v>
          </cell>
          <cell r="D835" t="str">
            <v>U型管卡(PPR 配件)印尼绿色 dn25 (3/4") 联塑</v>
          </cell>
          <cell r="E835" t="str">
            <v>PPR U Clamp dn25 (3/4") Green(INA) - LESSO</v>
          </cell>
        </row>
        <row r="835">
          <cell r="G835">
            <v>515</v>
          </cell>
          <cell r="H835">
            <v>515</v>
          </cell>
          <cell r="I835">
            <v>0.12</v>
          </cell>
          <cell r="J835">
            <v>586</v>
          </cell>
          <cell r="K835">
            <v>0.1</v>
          </cell>
          <cell r="L835">
            <v>572</v>
          </cell>
        </row>
        <row r="836">
          <cell r="C836">
            <v>8010072827</v>
          </cell>
          <cell r="D836" t="str">
            <v>U型管卡(PPR 配件)印尼绿色 dn32 (1") 联塑</v>
          </cell>
          <cell r="E836" t="str">
            <v>PPR U Clamp dn32 (1") Green(INA) - LESSO</v>
          </cell>
        </row>
        <row r="836">
          <cell r="G836">
            <v>555</v>
          </cell>
          <cell r="H836">
            <v>555</v>
          </cell>
          <cell r="I836">
            <v>0.12</v>
          </cell>
          <cell r="J836">
            <v>631</v>
          </cell>
          <cell r="K836">
            <v>0.1</v>
          </cell>
          <cell r="L836">
            <v>617</v>
          </cell>
        </row>
        <row r="837">
          <cell r="C837">
            <v>8010072828</v>
          </cell>
          <cell r="D837" t="str">
            <v>U型管卡(PPR 配件)印尼绿色 dn40 (1-1/4") 联塑</v>
          </cell>
          <cell r="E837" t="str">
            <v>PPR U Clamp dn40 (1-1/4") Green(INA) - LESSO</v>
          </cell>
        </row>
        <row r="837">
          <cell r="G837">
            <v>674</v>
          </cell>
          <cell r="H837">
            <v>674</v>
          </cell>
          <cell r="I837">
            <v>0.12</v>
          </cell>
          <cell r="J837">
            <v>766</v>
          </cell>
          <cell r="K837">
            <v>0.1</v>
          </cell>
          <cell r="L837">
            <v>749</v>
          </cell>
        </row>
        <row r="838">
          <cell r="C838">
            <v>8010072836</v>
          </cell>
          <cell r="D838" t="str">
            <v>U型管卡(PPR 配件)印尼绿色 dn50 (1-1/2") 联塑</v>
          </cell>
          <cell r="E838" t="str">
            <v>PPR U Clamp dn50 Green(INA) - LESSO</v>
          </cell>
        </row>
        <row r="838">
          <cell r="G838">
            <v>753</v>
          </cell>
          <cell r="H838">
            <v>753</v>
          </cell>
          <cell r="I838">
            <v>0.12</v>
          </cell>
          <cell r="J838">
            <v>856</v>
          </cell>
          <cell r="K838">
            <v>0.1</v>
          </cell>
          <cell r="L838">
            <v>837</v>
          </cell>
        </row>
        <row r="839">
          <cell r="C839">
            <v>8010072810</v>
          </cell>
          <cell r="D839" t="str">
            <v>Ⅰ型管卡(不配爆破螺丝)(PPR 配件)印尼绿色 dn20 (1/2") 联塑</v>
          </cell>
          <cell r="E839" t="str">
            <v>PPR Pipe Clamp I (without Screw) dn20 (1/2") Green(INA) - LESSO</v>
          </cell>
        </row>
        <row r="839">
          <cell r="G839">
            <v>991</v>
          </cell>
          <cell r="H839">
            <v>991</v>
          </cell>
          <cell r="I839">
            <v>0.12</v>
          </cell>
          <cell r="J839">
            <v>1127</v>
          </cell>
          <cell r="K839">
            <v>0.1</v>
          </cell>
          <cell r="L839">
            <v>1101</v>
          </cell>
        </row>
        <row r="840">
          <cell r="C840">
            <v>8010072812</v>
          </cell>
          <cell r="D840" t="str">
            <v>Ⅰ型管卡(不配爆破螺丝)(PPR 配件)印尼绿色 dn25 (3/4") 联塑</v>
          </cell>
          <cell r="E840" t="str">
            <v>PPR Pipe Clamp I (without Screw) dn25 (3/4") Green(INA) - LESSO</v>
          </cell>
        </row>
        <row r="840">
          <cell r="G840">
            <v>991</v>
          </cell>
          <cell r="H840">
            <v>991</v>
          </cell>
          <cell r="I840">
            <v>0.12</v>
          </cell>
          <cell r="J840">
            <v>1127</v>
          </cell>
          <cell r="K840">
            <v>0.1</v>
          </cell>
          <cell r="L840">
            <v>1101</v>
          </cell>
        </row>
        <row r="841">
          <cell r="C841">
            <v>8010072789</v>
          </cell>
          <cell r="D841" t="str">
            <v>Ⅰ型管卡(不配爆破螺丝)(PPR 配件)印尼绿色 dn32 (1") 联塑</v>
          </cell>
          <cell r="E841" t="str">
            <v>PPR Pipe Clamp I (without Screw) dn32 (1") Green(INA) - LESSO</v>
          </cell>
        </row>
        <row r="841">
          <cell r="G841">
            <v>991</v>
          </cell>
          <cell r="H841">
            <v>991</v>
          </cell>
          <cell r="I841">
            <v>0.12</v>
          </cell>
          <cell r="J841">
            <v>1127</v>
          </cell>
          <cell r="K841">
            <v>0.1</v>
          </cell>
          <cell r="L841">
            <v>1101</v>
          </cell>
        </row>
        <row r="842">
          <cell r="C842">
            <v>8010072791</v>
          </cell>
          <cell r="D842" t="str">
            <v>Ⅰ型管卡(不配爆破螺丝)(PPR 配件)印尼绿色 dn40 (1-1/4") 联塑</v>
          </cell>
          <cell r="E842" t="str">
            <v>PPR Pipe Clamp I (without Screw) dn40 (1-1/4") Green(INA) - LESSO</v>
          </cell>
        </row>
        <row r="842">
          <cell r="G842">
            <v>1268</v>
          </cell>
          <cell r="H842">
            <v>1268</v>
          </cell>
          <cell r="I842">
            <v>0.12</v>
          </cell>
          <cell r="J842">
            <v>1441</v>
          </cell>
          <cell r="K842">
            <v>0.1</v>
          </cell>
          <cell r="L842">
            <v>1409</v>
          </cell>
        </row>
        <row r="843">
          <cell r="C843">
            <v>8010072793</v>
          </cell>
          <cell r="D843" t="str">
            <v>Ⅰ型管卡(不配爆破螺丝)(PPR 配件)印尼绿色 dn50 (1-1/2") 联塑</v>
          </cell>
          <cell r="E843" t="str">
            <v>PPR Pipe Clamp I (without Screw) dn50 (1-1/2") Green(INA) - LESSO</v>
          </cell>
        </row>
        <row r="843">
          <cell r="G843">
            <v>1744</v>
          </cell>
          <cell r="H843">
            <v>1744</v>
          </cell>
          <cell r="I843">
            <v>0.12</v>
          </cell>
          <cell r="J843">
            <v>1982</v>
          </cell>
          <cell r="K843">
            <v>0.1</v>
          </cell>
          <cell r="L843">
            <v>1938</v>
          </cell>
        </row>
        <row r="844">
          <cell r="C844">
            <v>8010072795</v>
          </cell>
          <cell r="D844" t="str">
            <v>Ⅰ型管卡(不配爆破螺丝)(PPR 配件)印尼绿色 dn63 (2") 联塑</v>
          </cell>
          <cell r="E844" t="str">
            <v>PPR Pipe Clamp I (without Screw) dn63 (2") Green(INA) - LESSO</v>
          </cell>
        </row>
        <row r="844">
          <cell r="G844">
            <v>2220</v>
          </cell>
          <cell r="H844">
            <v>2220</v>
          </cell>
          <cell r="I844">
            <v>0.12</v>
          </cell>
          <cell r="J844">
            <v>2523</v>
          </cell>
          <cell r="K844">
            <v>0.1</v>
          </cell>
          <cell r="L844">
            <v>2467</v>
          </cell>
        </row>
        <row r="845">
          <cell r="C845">
            <v>8010072797</v>
          </cell>
          <cell r="D845" t="str">
            <v>Ⅰ型管卡(不配爆破螺丝)(PPR 配件)印尼绿色 dn75 (2-1/2") 联塑</v>
          </cell>
          <cell r="E845" t="str">
            <v>PPR Pipe Clamp I (without Screw) dn75 (2-1/2") Green(INA) - LESSO</v>
          </cell>
        </row>
        <row r="845">
          <cell r="G845">
            <v>2735</v>
          </cell>
          <cell r="H845">
            <v>2735</v>
          </cell>
          <cell r="I845">
            <v>0.12</v>
          </cell>
          <cell r="J845">
            <v>3108</v>
          </cell>
          <cell r="K845">
            <v>0.1</v>
          </cell>
          <cell r="L845">
            <v>3039</v>
          </cell>
        </row>
        <row r="846">
          <cell r="C846">
            <v>8010072799</v>
          </cell>
          <cell r="D846" t="str">
            <v>Ⅰ型管卡(不配爆破螺丝)(PPR 配件)印尼绿色 dn90 (3") 联塑</v>
          </cell>
          <cell r="E846" t="str">
            <v>PPR Pipe Clamp I (without Screw) dn90 (3") Green(INA) - LESSO</v>
          </cell>
        </row>
        <row r="846">
          <cell r="G846">
            <v>2973</v>
          </cell>
          <cell r="H846">
            <v>2973</v>
          </cell>
          <cell r="I846">
            <v>0.12</v>
          </cell>
          <cell r="J846">
            <v>3379</v>
          </cell>
          <cell r="K846">
            <v>0.1</v>
          </cell>
          <cell r="L846">
            <v>3303</v>
          </cell>
        </row>
        <row r="847">
          <cell r="C847">
            <v>8010072814</v>
          </cell>
          <cell r="D847" t="str">
            <v>Ⅰ型管卡(不配爆破螺丝)(PPR 配件)印尼绿色 dn110 (4") 联塑</v>
          </cell>
          <cell r="E847" t="str">
            <v>PPR Pipe Clamp I (without Screw) dn110 (4") Green(INA) - LESSO</v>
          </cell>
        </row>
        <row r="847">
          <cell r="G847">
            <v>4717</v>
          </cell>
          <cell r="H847">
            <v>4717</v>
          </cell>
          <cell r="I847">
            <v>0.12</v>
          </cell>
          <cell r="J847">
            <v>5361</v>
          </cell>
          <cell r="K847">
            <v>0.1</v>
          </cell>
          <cell r="L847">
            <v>5241</v>
          </cell>
        </row>
        <row r="848">
          <cell r="C848">
            <v>8010072811</v>
          </cell>
          <cell r="D848" t="str">
            <v>Ⅰ型管卡(配爆破螺丝)(PPR 配件)印尼绿色 dn20 (1/2") 联塑</v>
          </cell>
          <cell r="E848" t="str">
            <v>PPR Pipe Clamp I (Screw) dn20 (1/2") Green(INA) - LESSO</v>
          </cell>
        </row>
        <row r="848">
          <cell r="G848">
            <v>1982</v>
          </cell>
          <cell r="H848">
            <v>1982</v>
          </cell>
          <cell r="I848">
            <v>0.12</v>
          </cell>
          <cell r="J848">
            <v>2253</v>
          </cell>
          <cell r="K848">
            <v>0.1</v>
          </cell>
          <cell r="L848">
            <v>2202</v>
          </cell>
        </row>
        <row r="849">
          <cell r="C849">
            <v>8010072790</v>
          </cell>
          <cell r="D849" t="str">
            <v>Ⅰ型管卡(配爆破螺丝)(PPR 配件)印尼绿色 dn32 (1") 联塑</v>
          </cell>
          <cell r="E849" t="str">
            <v>PPR Pipe Clamp I (Screw) dn32 (1") Green(INA) - LESSO</v>
          </cell>
        </row>
        <row r="849">
          <cell r="G849">
            <v>2220</v>
          </cell>
          <cell r="H849">
            <v>2220</v>
          </cell>
          <cell r="I849">
            <v>0.12</v>
          </cell>
          <cell r="J849">
            <v>2523</v>
          </cell>
          <cell r="K849">
            <v>0.1</v>
          </cell>
          <cell r="L849">
            <v>2467</v>
          </cell>
        </row>
        <row r="850">
          <cell r="C850">
            <v>8010072792</v>
          </cell>
          <cell r="D850" t="str">
            <v>Ⅰ型管卡(配爆破螺丝)(PPR 配件)印尼绿色 dn40 (1-1/4") 联塑</v>
          </cell>
          <cell r="E850" t="str">
            <v>PPR Pipe Clamp I (Screw) dn40 (1-1/4") Green(INA) - LESSO</v>
          </cell>
        </row>
        <row r="850">
          <cell r="G850">
            <v>2220</v>
          </cell>
          <cell r="H850">
            <v>2220</v>
          </cell>
          <cell r="I850">
            <v>0.12</v>
          </cell>
          <cell r="J850">
            <v>2523</v>
          </cell>
          <cell r="K850">
            <v>0.1</v>
          </cell>
          <cell r="L850">
            <v>2467</v>
          </cell>
        </row>
        <row r="851">
          <cell r="C851">
            <v>8010072794</v>
          </cell>
          <cell r="D851" t="str">
            <v>Ⅰ型管卡(配爆破螺丝)(PPR 配件)印尼绿色 dn50 (1-1/2") 联塑</v>
          </cell>
          <cell r="E851" t="str">
            <v>PPR Pipe Clamp I (Screw) dn50 (1-1/2") Green(INA) - LESSO</v>
          </cell>
        </row>
        <row r="851">
          <cell r="G851">
            <v>3964</v>
          </cell>
          <cell r="H851">
            <v>3964</v>
          </cell>
          <cell r="I851">
            <v>0.12</v>
          </cell>
          <cell r="J851">
            <v>4505</v>
          </cell>
          <cell r="K851">
            <v>0.1</v>
          </cell>
          <cell r="L851">
            <v>4404</v>
          </cell>
        </row>
        <row r="852">
          <cell r="C852">
            <v>8010072796</v>
          </cell>
          <cell r="D852" t="str">
            <v>Ⅰ型管卡(配爆破螺丝)(PPR 配件)印尼绿色 dn63 (2") 联塑</v>
          </cell>
          <cell r="E852" t="str">
            <v>PPR Pipe Clamp I (Screw) dn63 (2") Green(INA) - LESSO</v>
          </cell>
        </row>
        <row r="852">
          <cell r="G852">
            <v>4479</v>
          </cell>
          <cell r="H852">
            <v>4479</v>
          </cell>
          <cell r="I852">
            <v>0.12</v>
          </cell>
          <cell r="J852">
            <v>5090</v>
          </cell>
          <cell r="K852">
            <v>0.1</v>
          </cell>
          <cell r="L852">
            <v>4977</v>
          </cell>
        </row>
        <row r="853">
          <cell r="C853">
            <v>8010072798</v>
          </cell>
          <cell r="D853" t="str">
            <v>Ⅰ型管卡(配爆破螺丝)(PPR 配件)印尼绿色 dn75 (2-1/2") 联塑</v>
          </cell>
          <cell r="E853" t="str">
            <v>PPR Pipe Clamp I (Screw) dn75 (2-1/2") Green(INA) - LESSO</v>
          </cell>
        </row>
        <row r="853">
          <cell r="G853">
            <v>5193</v>
          </cell>
          <cell r="H853">
            <v>5193</v>
          </cell>
          <cell r="I853">
            <v>0.12</v>
          </cell>
          <cell r="J853">
            <v>5902</v>
          </cell>
          <cell r="K853">
            <v>0.1</v>
          </cell>
          <cell r="L853">
            <v>5770</v>
          </cell>
        </row>
        <row r="854">
          <cell r="C854">
            <v>8010072800</v>
          </cell>
          <cell r="D854" t="str">
            <v>Ⅰ型管卡(配爆破螺丝)(PPR 配件)印尼绿色 dn90 (3") 联塑</v>
          </cell>
          <cell r="E854" t="str">
            <v>PPR Pipe Clamp I (Screw) dn90 (3") Green(INA) - LESSO</v>
          </cell>
        </row>
        <row r="854">
          <cell r="G854">
            <v>5708</v>
          </cell>
          <cell r="H854">
            <v>5708</v>
          </cell>
          <cell r="I854">
            <v>0.12</v>
          </cell>
          <cell r="J854">
            <v>6487</v>
          </cell>
          <cell r="K854">
            <v>0.1</v>
          </cell>
          <cell r="L854">
            <v>6342</v>
          </cell>
        </row>
        <row r="855">
          <cell r="C855">
            <v>8010072815</v>
          </cell>
          <cell r="D855" t="str">
            <v>Ⅰ型管卡(配爆破螺丝)(PPR 配件)印尼绿色 dn110 (4") 联塑</v>
          </cell>
          <cell r="E855" t="str">
            <v>PPR Pipe Clamp I (Screw) dn110 (4") Green(INA) - LESSO</v>
          </cell>
        </row>
        <row r="855">
          <cell r="G855">
            <v>7690</v>
          </cell>
          <cell r="H855">
            <v>7690</v>
          </cell>
          <cell r="I855">
            <v>0.12</v>
          </cell>
          <cell r="J855">
            <v>8739</v>
          </cell>
          <cell r="K855">
            <v>0.1</v>
          </cell>
          <cell r="L855">
            <v>8544</v>
          </cell>
        </row>
        <row r="856">
          <cell r="C856">
            <v>8010072813</v>
          </cell>
          <cell r="D856" t="str">
            <v>Ⅰ型管卡(配尖咀螺丝)(PPR 配件)印尼绿色 dn25 (3/4") 联塑</v>
          </cell>
          <cell r="E856" t="str">
            <v>PPR Pipe Clamp I (Tusk Screw) dn25 (3/4") Green(INA) - LESSO</v>
          </cell>
        </row>
        <row r="856">
          <cell r="G856">
            <v>1025</v>
          </cell>
          <cell r="H856">
            <v>1025</v>
          </cell>
          <cell r="I856">
            <v>0.12</v>
          </cell>
          <cell r="J856">
            <v>1165</v>
          </cell>
          <cell r="K856">
            <v>0.1</v>
          </cell>
          <cell r="L856">
            <v>1139</v>
          </cell>
        </row>
        <row r="857">
          <cell r="C857">
            <v>8010072362</v>
          </cell>
          <cell r="D857" t="str">
            <v>外螺纹弯头带座(PPR 配件)印尼绿色 dn20x1/2" 联塑</v>
          </cell>
          <cell r="E857" t="str">
            <v>PPR Male Thread Elbow with Seat dn20x1/2" Green(INA) - LESSO</v>
          </cell>
        </row>
        <row r="857">
          <cell r="G857">
            <v>13914</v>
          </cell>
          <cell r="H857">
            <v>13914</v>
          </cell>
          <cell r="I857">
            <v>0.12</v>
          </cell>
          <cell r="J857">
            <v>15812</v>
          </cell>
          <cell r="K857">
            <v>0.1</v>
          </cell>
          <cell r="L857">
            <v>15460</v>
          </cell>
        </row>
        <row r="858">
          <cell r="C858">
            <v>8010072751</v>
          </cell>
          <cell r="D858" t="str">
            <v>外螺纹弯头带座(PPR 配件)印尼绿色 dn20x3/4" 联塑</v>
          </cell>
          <cell r="E858" t="str">
            <v>PPR Male Thread Elbow with Seat dn20x3/4" Green(INA) - LESSO</v>
          </cell>
        </row>
        <row r="858">
          <cell r="G858">
            <v>17286</v>
          </cell>
          <cell r="H858">
            <v>17286</v>
          </cell>
          <cell r="I858">
            <v>0.12</v>
          </cell>
          <cell r="J858">
            <v>19644</v>
          </cell>
          <cell r="K858">
            <v>0.1</v>
          </cell>
          <cell r="L858">
            <v>19207</v>
          </cell>
        </row>
        <row r="859">
          <cell r="C859">
            <v>8010072752</v>
          </cell>
          <cell r="D859" t="str">
            <v>外螺纹弯头带座(PPR 配件)印尼绿色 dn25x1/2" 联塑</v>
          </cell>
          <cell r="E859" t="str">
            <v>PPR Male Thread Elbow with Seat dn25x1/2" Green(INA) - LESSO</v>
          </cell>
        </row>
        <row r="859">
          <cell r="G859">
            <v>14476</v>
          </cell>
          <cell r="H859">
            <v>14476</v>
          </cell>
          <cell r="I859">
            <v>0.12</v>
          </cell>
          <cell r="J859">
            <v>16450</v>
          </cell>
          <cell r="K859">
            <v>0.1</v>
          </cell>
          <cell r="L859">
            <v>16084</v>
          </cell>
        </row>
        <row r="860">
          <cell r="C860">
            <v>8010072753</v>
          </cell>
          <cell r="D860" t="str">
            <v>外螺纹弯头带座(PPR 配件)印尼绿色 dn25x3/4" 联塑</v>
          </cell>
          <cell r="E860" t="str">
            <v>PPR Male Thread Elbow with Seat dn25x3/4" Green(INA) - LESSO</v>
          </cell>
        </row>
        <row r="860">
          <cell r="G860">
            <v>18177</v>
          </cell>
          <cell r="H860">
            <v>18177</v>
          </cell>
          <cell r="I860">
            <v>0.12</v>
          </cell>
          <cell r="J860">
            <v>20656</v>
          </cell>
          <cell r="K860">
            <v>0.1</v>
          </cell>
          <cell r="L860">
            <v>20197</v>
          </cell>
        </row>
        <row r="861">
          <cell r="C861">
            <v>8010071337</v>
          </cell>
          <cell r="D861" t="str">
            <v>内螺纹弯头带座(PPR 配件)印尼绿色 dn20x1/2" 联塑</v>
          </cell>
          <cell r="E861" t="str">
            <v>PPR Female Thread Elbow with Seat dn20x1/2" Green(INA) - LESSO</v>
          </cell>
        </row>
        <row r="861">
          <cell r="G861">
            <v>7823</v>
          </cell>
          <cell r="H861">
            <v>7823</v>
          </cell>
          <cell r="I861">
            <v>0.12</v>
          </cell>
          <cell r="J861">
            <v>8890</v>
          </cell>
          <cell r="K861">
            <v>0.1</v>
          </cell>
          <cell r="L861">
            <v>8692</v>
          </cell>
        </row>
        <row r="862">
          <cell r="C862">
            <v>8010072745</v>
          </cell>
          <cell r="D862" t="str">
            <v>内螺纹弯头带座(PPR 配件)印尼绿色 dn20x3/4" 联塑</v>
          </cell>
          <cell r="E862" t="str">
            <v>PPR Female Thread Elbow with Seat dn20x3/4" Green(INA) - LESSO</v>
          </cell>
        </row>
        <row r="862">
          <cell r="G862">
            <v>12836</v>
          </cell>
          <cell r="H862">
            <v>12836</v>
          </cell>
          <cell r="I862">
            <v>0.12</v>
          </cell>
          <cell r="J862">
            <v>14587</v>
          </cell>
          <cell r="K862">
            <v>0.1</v>
          </cell>
          <cell r="L862">
            <v>14262</v>
          </cell>
        </row>
        <row r="863">
          <cell r="C863">
            <v>8010072746</v>
          </cell>
          <cell r="D863" t="str">
            <v>内螺纹弯头带座(PPR 配件)印尼绿色 dn25x1/2" 联塑</v>
          </cell>
          <cell r="E863" t="str">
            <v>PPR Female Thread Elbow with Seat dn25x1/2" Green(INA) - LESSO</v>
          </cell>
        </row>
        <row r="863">
          <cell r="G863">
            <v>9885</v>
          </cell>
          <cell r="H863">
            <v>9885</v>
          </cell>
          <cell r="I863">
            <v>0.12</v>
          </cell>
          <cell r="J863">
            <v>11233</v>
          </cell>
          <cell r="K863">
            <v>0.1</v>
          </cell>
          <cell r="L863">
            <v>10983</v>
          </cell>
        </row>
        <row r="864">
          <cell r="C864">
            <v>8010072747</v>
          </cell>
          <cell r="D864" t="str">
            <v>内螺纹弯头带座(PPR 配件)印尼绿色 dn25x3/4" 联塑</v>
          </cell>
          <cell r="E864" t="str">
            <v>PPR Female Thread Elbow with Seat dn25x3/4" Green(INA) - LESSO</v>
          </cell>
        </row>
        <row r="864">
          <cell r="G864">
            <v>12180</v>
          </cell>
          <cell r="H864">
            <v>12180</v>
          </cell>
          <cell r="I864">
            <v>0.12</v>
          </cell>
          <cell r="J864">
            <v>13841</v>
          </cell>
          <cell r="K864">
            <v>0.1</v>
          </cell>
          <cell r="L864">
            <v>13533</v>
          </cell>
        </row>
        <row r="865">
          <cell r="C865">
            <v>8010072523</v>
          </cell>
          <cell r="D865" t="str">
            <v>暗阀(PPR 配件)印尼绿色 dn20 (1/2") 联塑</v>
          </cell>
          <cell r="E865" t="str">
            <v>PPR conncealed Valve dn20 (1/2") Green(INA) - LESSO</v>
          </cell>
        </row>
        <row r="865">
          <cell r="G865">
            <v>125409</v>
          </cell>
          <cell r="H865">
            <v>125409</v>
          </cell>
          <cell r="I865">
            <v>0.12</v>
          </cell>
          <cell r="J865">
            <v>142511</v>
          </cell>
          <cell r="K865">
            <v>0.1</v>
          </cell>
          <cell r="L865">
            <v>139343</v>
          </cell>
        </row>
        <row r="866">
          <cell r="C866">
            <v>8010072524</v>
          </cell>
          <cell r="D866" t="str">
            <v>暗阀(PPR 配件)印尼绿色 dn25 (3/4") 联塑</v>
          </cell>
          <cell r="E866" t="str">
            <v>PPR conncealed Valve dn25 (3/4") Green(INA) - LESSO</v>
          </cell>
        </row>
        <row r="866">
          <cell r="G866">
            <v>125690</v>
          </cell>
          <cell r="H866">
            <v>125690</v>
          </cell>
          <cell r="I866">
            <v>0.12</v>
          </cell>
          <cell r="J866">
            <v>142830</v>
          </cell>
          <cell r="K866">
            <v>0.1</v>
          </cell>
          <cell r="L866">
            <v>139656</v>
          </cell>
        </row>
        <row r="867">
          <cell r="C867">
            <v>8010070922</v>
          </cell>
          <cell r="D867" t="str">
            <v>焊接机1000W dn20-63(PPR 配件) 联塑</v>
          </cell>
          <cell r="E867" t="str">
            <v>PPR Welding Machine dn20-63 1000W - LESSO</v>
          </cell>
        </row>
        <row r="867">
          <cell r="G867">
            <v>729647</v>
          </cell>
          <cell r="H867">
            <v>729647</v>
          </cell>
          <cell r="I867">
            <v>0.12</v>
          </cell>
          <cell r="J867">
            <v>829145</v>
          </cell>
          <cell r="K867">
            <v>0.1</v>
          </cell>
          <cell r="L867">
            <v>810719</v>
          </cell>
        </row>
        <row r="868">
          <cell r="C868">
            <v>8010070923</v>
          </cell>
          <cell r="D868" t="str">
            <v>焊接机1600Wdn75-110(PPR 配件) 联塑</v>
          </cell>
          <cell r="E868" t="str">
            <v>PPR Welding Machine dn75-110 1600W - LESSO</v>
          </cell>
        </row>
        <row r="868">
          <cell r="G868">
            <v>1412162</v>
          </cell>
          <cell r="H868">
            <v>1412162</v>
          </cell>
          <cell r="I868">
            <v>0.12</v>
          </cell>
          <cell r="J868">
            <v>1604730</v>
          </cell>
          <cell r="K868">
            <v>0.1</v>
          </cell>
          <cell r="L868">
            <v>1569069</v>
          </cell>
        </row>
        <row r="869">
          <cell r="C869">
            <v>8010070924</v>
          </cell>
          <cell r="D869" t="str">
            <v>焊接机2500W dn160(PPR 配件) 联塑</v>
          </cell>
          <cell r="E869" t="str">
            <v>PPR Welding Machine dn160 2500W - LESSO</v>
          </cell>
        </row>
        <row r="869">
          <cell r="G869">
            <v>2588964</v>
          </cell>
          <cell r="H869">
            <v>2588964</v>
          </cell>
          <cell r="I869">
            <v>0.12</v>
          </cell>
          <cell r="J869">
            <v>2942005</v>
          </cell>
          <cell r="K869">
            <v>0.1</v>
          </cell>
          <cell r="L869">
            <v>2876627</v>
          </cell>
        </row>
        <row r="870">
          <cell r="C870">
            <v>8010070966</v>
          </cell>
          <cell r="D870" t="str">
            <v>剪刀(PPR 配件) dn16-32 联塑</v>
          </cell>
          <cell r="E870" t="str">
            <v>PPR Cutter dn16-32 - LESSO</v>
          </cell>
        </row>
        <row r="870">
          <cell r="G870">
            <v>95333</v>
          </cell>
          <cell r="H870">
            <v>95333</v>
          </cell>
          <cell r="I870">
            <v>0.12</v>
          </cell>
          <cell r="J870">
            <v>108333</v>
          </cell>
          <cell r="K870">
            <v>0.1</v>
          </cell>
          <cell r="L870">
            <v>105926</v>
          </cell>
        </row>
        <row r="871">
          <cell r="C871">
            <v>8030050055</v>
          </cell>
          <cell r="D871" t="str">
            <v>PVC电线管(B管)白色 dn16 2.9M/根 联塑</v>
          </cell>
          <cell r="E871" t="str">
            <v>PVC Conduit (grade B) dn16 2.9M/pc White - LESSO</v>
          </cell>
        </row>
        <row r="871">
          <cell r="G871">
            <v>5973</v>
          </cell>
          <cell r="H871">
            <v>5973</v>
          </cell>
          <cell r="I871">
            <v>0.08</v>
          </cell>
          <cell r="J871">
            <v>6493</v>
          </cell>
          <cell r="K871">
            <v>0.06</v>
          </cell>
          <cell r="L871">
            <v>6354</v>
          </cell>
        </row>
        <row r="872">
          <cell r="C872">
            <v>8030050068</v>
          </cell>
          <cell r="D872" t="str">
            <v>PVC电线管(B管)白色 dn20 2.9M/根 联塑</v>
          </cell>
          <cell r="E872" t="str">
            <v>PVC Conduit (grade B) dn20 2.9M/pc White - LESSO</v>
          </cell>
        </row>
        <row r="872">
          <cell r="G872">
            <v>5473</v>
          </cell>
          <cell r="H872">
            <v>5473</v>
          </cell>
          <cell r="I872">
            <v>0.08</v>
          </cell>
          <cell r="J872">
            <v>5949</v>
          </cell>
          <cell r="K872">
            <v>0.06</v>
          </cell>
          <cell r="L872">
            <v>5822</v>
          </cell>
        </row>
        <row r="873">
          <cell r="C873">
            <v>8030050080</v>
          </cell>
          <cell r="D873" t="str">
            <v>PVC电线管(B管)白色 dn25 2.9M/根 联塑</v>
          </cell>
          <cell r="E873" t="str">
            <v>PVC Conduit (grade B) dn25 2.9M/pc White - LESSO</v>
          </cell>
        </row>
        <row r="873">
          <cell r="G873">
            <v>7969</v>
          </cell>
          <cell r="H873">
            <v>7969</v>
          </cell>
          <cell r="I873">
            <v>0.08</v>
          </cell>
          <cell r="J873">
            <v>8662</v>
          </cell>
          <cell r="K873">
            <v>0.06</v>
          </cell>
          <cell r="L873">
            <v>8478</v>
          </cell>
        </row>
        <row r="874">
          <cell r="C874">
            <v>8030050090</v>
          </cell>
          <cell r="D874" t="str">
            <v>PVC电线管(B管)白色 dn32 2.9M/根 联塑</v>
          </cell>
          <cell r="E874" t="str">
            <v>PVC Conduit (grade B) dn32 2.9M/pc White - LESSO</v>
          </cell>
        </row>
        <row r="874">
          <cell r="G874">
            <v>12364</v>
          </cell>
          <cell r="H874">
            <v>12364</v>
          </cell>
          <cell r="I874">
            <v>0.08</v>
          </cell>
          <cell r="J874">
            <v>13440</v>
          </cell>
          <cell r="K874">
            <v>0.06</v>
          </cell>
          <cell r="L874">
            <v>13153</v>
          </cell>
        </row>
        <row r="875">
          <cell r="C875">
            <v>8030050101</v>
          </cell>
          <cell r="D875" t="str">
            <v>PVC电线管(B管)白色 dn40 2.9M/根 联塑</v>
          </cell>
          <cell r="E875" t="str">
            <v>PVC Conduit (grade B) dn40 2.9M/pc White - LESSO</v>
          </cell>
        </row>
        <row r="875">
          <cell r="G875">
            <v>21135</v>
          </cell>
          <cell r="H875">
            <v>21135</v>
          </cell>
          <cell r="I875">
            <v>0.08</v>
          </cell>
          <cell r="J875">
            <v>22973</v>
          </cell>
          <cell r="K875">
            <v>0.06</v>
          </cell>
          <cell r="L875">
            <v>22484</v>
          </cell>
        </row>
        <row r="876">
          <cell r="C876">
            <v>8030051700</v>
          </cell>
          <cell r="D876" t="str">
            <v>PVC电线管(C管)白色 5/8 4M/根 联塑</v>
          </cell>
          <cell r="E876" t="str">
            <v>PVC Conduit (grade C) dn5/8 4M/pc White - LESSO</v>
          </cell>
        </row>
        <row r="876">
          <cell r="G876">
            <v>5114</v>
          </cell>
          <cell r="H876">
            <v>5114</v>
          </cell>
          <cell r="I876">
            <v>0.08</v>
          </cell>
          <cell r="J876">
            <v>5559</v>
          </cell>
          <cell r="K876">
            <v>0.06</v>
          </cell>
          <cell r="L876">
            <v>5440</v>
          </cell>
        </row>
        <row r="877">
          <cell r="C877">
            <v>8030052245</v>
          </cell>
          <cell r="D877" t="str">
            <v>PVC电线管(C管)白色5/8 2.9M/根 联塑</v>
          </cell>
          <cell r="E877" t="str">
            <v>PVC Conduit (grade C) dn5/8 2.9M/pc White - LESSO</v>
          </cell>
        </row>
        <row r="877">
          <cell r="G877">
            <v>3708</v>
          </cell>
          <cell r="H877">
            <v>3708</v>
          </cell>
          <cell r="I877">
            <v>0.08</v>
          </cell>
          <cell r="J877">
            <v>4031</v>
          </cell>
          <cell r="K877">
            <v>0.06</v>
          </cell>
          <cell r="L877">
            <v>3945</v>
          </cell>
        </row>
        <row r="878">
          <cell r="C878">
            <v>8030051550</v>
          </cell>
          <cell r="D878" t="str">
            <v>PVC电线管(印尼)白色 dn20 2.9M/根 联塑</v>
          </cell>
          <cell r="E878" t="str">
            <v>PVC Conduit (Indonesia) dn50 2.9M/pc White - LESSO</v>
          </cell>
        </row>
        <row r="878">
          <cell r="G878">
            <v>7351</v>
          </cell>
          <cell r="H878">
            <v>7351</v>
          </cell>
          <cell r="I878">
            <v>0.08</v>
          </cell>
          <cell r="J878">
            <v>7991</v>
          </cell>
          <cell r="K878">
            <v>0.06</v>
          </cell>
          <cell r="L878">
            <v>7820</v>
          </cell>
        </row>
        <row r="879">
          <cell r="C879">
            <v>8030020288</v>
          </cell>
          <cell r="D879" t="str">
            <v>管直通(套筒)PVC电工套管配件白色 Φ20 联塑</v>
          </cell>
          <cell r="E879" t="str">
            <v>PVC Conduit Coupling dn20 White - LESSO</v>
          </cell>
        </row>
        <row r="879">
          <cell r="G879">
            <v>357</v>
          </cell>
          <cell r="H879">
            <v>357</v>
          </cell>
          <cell r="I879">
            <v>0.12</v>
          </cell>
          <cell r="J879">
            <v>406</v>
          </cell>
          <cell r="K879">
            <v>0.1</v>
          </cell>
          <cell r="L879">
            <v>397</v>
          </cell>
        </row>
        <row r="880">
          <cell r="C880">
            <v>8030020289</v>
          </cell>
          <cell r="D880" t="str">
            <v>管直通(套筒)PVC电工套管配件白色 Φ25 联塑</v>
          </cell>
          <cell r="E880" t="str">
            <v>PVC Conduit Coupling dn25 White - LESSO</v>
          </cell>
        </row>
        <row r="880">
          <cell r="G880">
            <v>551</v>
          </cell>
          <cell r="H880">
            <v>551</v>
          </cell>
          <cell r="I880">
            <v>0.12</v>
          </cell>
          <cell r="J880">
            <v>627</v>
          </cell>
          <cell r="K880">
            <v>0.1</v>
          </cell>
          <cell r="L880">
            <v>612</v>
          </cell>
        </row>
        <row r="881">
          <cell r="C881">
            <v>8030020290</v>
          </cell>
          <cell r="D881" t="str">
            <v>管直通(套筒)PVC电工套管配件白色 Φ32 联塑</v>
          </cell>
          <cell r="E881" t="str">
            <v>PVC Conduit Coupling dn32 White - LESSO</v>
          </cell>
        </row>
        <row r="881">
          <cell r="G881">
            <v>973</v>
          </cell>
          <cell r="H881">
            <v>973</v>
          </cell>
          <cell r="I881">
            <v>0.12</v>
          </cell>
          <cell r="J881">
            <v>1106</v>
          </cell>
          <cell r="K881">
            <v>0.1</v>
          </cell>
          <cell r="L881">
            <v>1081</v>
          </cell>
        </row>
        <row r="882">
          <cell r="C882">
            <v>8030020291</v>
          </cell>
          <cell r="D882" t="str">
            <v>管直通(套筒)PVC电工套管配件白色 Φ40 联塑</v>
          </cell>
          <cell r="E882" t="str">
            <v>PVC Conduit Coupling dn40 White - LESSO</v>
          </cell>
        </row>
        <row r="882">
          <cell r="G882">
            <v>1686</v>
          </cell>
          <cell r="H882">
            <v>1686</v>
          </cell>
          <cell r="I882">
            <v>0.12</v>
          </cell>
          <cell r="J882">
            <v>1916</v>
          </cell>
          <cell r="K882">
            <v>0.1</v>
          </cell>
          <cell r="L882">
            <v>1873</v>
          </cell>
        </row>
        <row r="883">
          <cell r="C883">
            <v>8030020170</v>
          </cell>
          <cell r="D883" t="str">
            <v>管三通PVC电工套管配件白色 Φ16 联塑</v>
          </cell>
          <cell r="E883" t="str">
            <v>PVC Conduit Tee dn16 White - LESSO</v>
          </cell>
        </row>
        <row r="883">
          <cell r="G883">
            <v>681</v>
          </cell>
          <cell r="H883">
            <v>681</v>
          </cell>
          <cell r="I883">
            <v>0.12</v>
          </cell>
          <cell r="J883">
            <v>774</v>
          </cell>
          <cell r="K883">
            <v>0.1</v>
          </cell>
          <cell r="L883">
            <v>757</v>
          </cell>
        </row>
        <row r="884">
          <cell r="C884">
            <v>8030020171</v>
          </cell>
          <cell r="D884" t="str">
            <v>管三通PVC电工套管配件白色 Φ20 联塑</v>
          </cell>
          <cell r="E884" t="str">
            <v>PVC Conduit Tee dn20 White - LESSO</v>
          </cell>
        </row>
        <row r="884">
          <cell r="G884">
            <v>843</v>
          </cell>
          <cell r="H884">
            <v>843</v>
          </cell>
          <cell r="I884">
            <v>0.12</v>
          </cell>
          <cell r="J884">
            <v>958</v>
          </cell>
          <cell r="K884">
            <v>0.1</v>
          </cell>
          <cell r="L884">
            <v>937</v>
          </cell>
        </row>
        <row r="885">
          <cell r="C885">
            <v>8030020172</v>
          </cell>
          <cell r="D885" t="str">
            <v>管三通PVC电工套管配件白色 Φ25 联塑</v>
          </cell>
          <cell r="E885" t="str">
            <v>PVC Conduit Tee dn25 White - LESSO</v>
          </cell>
        </row>
        <row r="885">
          <cell r="G885">
            <v>1232</v>
          </cell>
          <cell r="H885">
            <v>1232</v>
          </cell>
          <cell r="I885">
            <v>0.12</v>
          </cell>
          <cell r="J885">
            <v>1400</v>
          </cell>
          <cell r="K885">
            <v>0.1</v>
          </cell>
          <cell r="L885">
            <v>1369</v>
          </cell>
        </row>
        <row r="886">
          <cell r="C886">
            <v>8030020173</v>
          </cell>
          <cell r="D886" t="str">
            <v>管三通PVC电工套管配件白色 Φ32 联塑</v>
          </cell>
          <cell r="E886" t="str">
            <v>PVC Conduit Tee dn32 White - LESSO</v>
          </cell>
        </row>
        <row r="886">
          <cell r="G886">
            <v>1946</v>
          </cell>
          <cell r="H886">
            <v>1946</v>
          </cell>
          <cell r="I886">
            <v>0.12</v>
          </cell>
          <cell r="J886">
            <v>2212</v>
          </cell>
          <cell r="K886">
            <v>0.1</v>
          </cell>
          <cell r="L886">
            <v>2162</v>
          </cell>
        </row>
        <row r="887">
          <cell r="C887">
            <v>8030020174</v>
          </cell>
          <cell r="D887" t="str">
            <v>管三通PVC电工套管配件白色 Φ40 联塑</v>
          </cell>
          <cell r="E887" t="str">
            <v>PVC Conduit Tee dn40 White - LESSO</v>
          </cell>
        </row>
        <row r="887">
          <cell r="G887">
            <v>4832</v>
          </cell>
          <cell r="H887">
            <v>4832</v>
          </cell>
          <cell r="I887">
            <v>0.12</v>
          </cell>
          <cell r="J887">
            <v>5491</v>
          </cell>
          <cell r="K887">
            <v>0.1</v>
          </cell>
          <cell r="L887">
            <v>5369</v>
          </cell>
        </row>
        <row r="888">
          <cell r="C888">
            <v>8030020175</v>
          </cell>
          <cell r="D888" t="str">
            <v>管三通PVC电工套管配件白色 Φ50 联塑</v>
          </cell>
          <cell r="E888" t="str">
            <v>PVC Conduit Tee dn50 White - LESSO</v>
          </cell>
        </row>
        <row r="888">
          <cell r="G888">
            <v>3746</v>
          </cell>
          <cell r="H888">
            <v>3746</v>
          </cell>
          <cell r="I888">
            <v>0.12</v>
          </cell>
          <cell r="J888">
            <v>4257</v>
          </cell>
          <cell r="K888">
            <v>0.1</v>
          </cell>
          <cell r="L888">
            <v>4162</v>
          </cell>
        </row>
        <row r="889">
          <cell r="C889">
            <v>8030021230</v>
          </cell>
          <cell r="D889" t="str">
            <v>45°弯头PVC电工套管配件白色 Φ20 联塑</v>
          </cell>
          <cell r="E889" t="str">
            <v>PVC Conduit 45° Elbow dn20 White - LESSO</v>
          </cell>
        </row>
        <row r="889">
          <cell r="G889">
            <v>681</v>
          </cell>
          <cell r="H889">
            <v>681</v>
          </cell>
          <cell r="I889">
            <v>0.12</v>
          </cell>
          <cell r="J889">
            <v>774</v>
          </cell>
          <cell r="K889">
            <v>0.1</v>
          </cell>
          <cell r="L889">
            <v>757</v>
          </cell>
        </row>
        <row r="890">
          <cell r="C890">
            <v>8030021231</v>
          </cell>
          <cell r="D890" t="str">
            <v>45°弯头PVC电工套管配件白色 Φ25 联塑</v>
          </cell>
          <cell r="E890" t="str">
            <v>PVC Conduit 45° Elbow dn25 White - LESSO</v>
          </cell>
        </row>
        <row r="890">
          <cell r="G890">
            <v>1022</v>
          </cell>
          <cell r="H890">
            <v>1022</v>
          </cell>
          <cell r="I890">
            <v>0.12</v>
          </cell>
          <cell r="J890">
            <v>1162</v>
          </cell>
          <cell r="K890">
            <v>0.1</v>
          </cell>
          <cell r="L890">
            <v>1136</v>
          </cell>
        </row>
        <row r="891">
          <cell r="C891">
            <v>8030021212</v>
          </cell>
          <cell r="D891" t="str">
            <v>45°弯头PVC电工套管配件白色 Φ32 联塑</v>
          </cell>
          <cell r="E891" t="str">
            <v>PVC Conduit 45° Elbow dn32 White - LESSO</v>
          </cell>
        </row>
        <row r="891">
          <cell r="G891">
            <v>1703</v>
          </cell>
          <cell r="H891">
            <v>1703</v>
          </cell>
          <cell r="I891">
            <v>0.12</v>
          </cell>
          <cell r="J891">
            <v>1936</v>
          </cell>
          <cell r="K891">
            <v>0.1</v>
          </cell>
          <cell r="L891">
            <v>1892</v>
          </cell>
        </row>
        <row r="892">
          <cell r="C892">
            <v>8030021213</v>
          </cell>
          <cell r="D892" t="str">
            <v>45°弯头PVC电工套管配件白色 Φ40 联塑</v>
          </cell>
          <cell r="E892" t="str">
            <v>PVC Conduit 45° Elbow dn40 White - LESSO</v>
          </cell>
        </row>
        <row r="892">
          <cell r="G892">
            <v>2384</v>
          </cell>
          <cell r="H892">
            <v>2384</v>
          </cell>
          <cell r="I892">
            <v>0.12</v>
          </cell>
          <cell r="J892">
            <v>2710</v>
          </cell>
          <cell r="K892">
            <v>0.1</v>
          </cell>
          <cell r="L892">
            <v>2649</v>
          </cell>
        </row>
        <row r="893">
          <cell r="C893">
            <v>8030020206</v>
          </cell>
          <cell r="D893" t="str">
            <v>管弯头PVC电工套管配件白色 Φ16 联塑</v>
          </cell>
          <cell r="E893" t="str">
            <v>PVC Conduit 90° Elbow dn16 White - LESSO</v>
          </cell>
        </row>
        <row r="893">
          <cell r="G893">
            <v>341</v>
          </cell>
          <cell r="H893">
            <v>341</v>
          </cell>
          <cell r="I893">
            <v>0.12</v>
          </cell>
          <cell r="J893">
            <v>388</v>
          </cell>
          <cell r="K893">
            <v>0.1</v>
          </cell>
          <cell r="L893">
            <v>379</v>
          </cell>
        </row>
        <row r="894">
          <cell r="C894">
            <v>8030020207</v>
          </cell>
          <cell r="D894" t="str">
            <v>管弯头PVC电工套管配件白色 Φ20 联塑</v>
          </cell>
          <cell r="E894" t="str">
            <v>PVC Conduit 90° Elbow dn20 White - LESSO</v>
          </cell>
        </row>
        <row r="894">
          <cell r="G894">
            <v>486</v>
          </cell>
          <cell r="H894">
            <v>486</v>
          </cell>
          <cell r="I894">
            <v>0.12</v>
          </cell>
          <cell r="J894">
            <v>553</v>
          </cell>
          <cell r="K894">
            <v>0.1</v>
          </cell>
          <cell r="L894">
            <v>540</v>
          </cell>
        </row>
        <row r="895">
          <cell r="C895">
            <v>8030020208</v>
          </cell>
          <cell r="D895" t="str">
            <v>管弯头PVC电工套管配件白色 Φ25 联塑</v>
          </cell>
          <cell r="E895" t="str">
            <v>PVC Conduit 90° Elbow dn25 White - LESSO</v>
          </cell>
        </row>
        <row r="895">
          <cell r="G895">
            <v>843</v>
          </cell>
          <cell r="H895">
            <v>843</v>
          </cell>
          <cell r="I895">
            <v>0.12</v>
          </cell>
          <cell r="J895">
            <v>958</v>
          </cell>
          <cell r="K895">
            <v>0.1</v>
          </cell>
          <cell r="L895">
            <v>937</v>
          </cell>
        </row>
        <row r="896">
          <cell r="C896">
            <v>8030020209</v>
          </cell>
          <cell r="D896" t="str">
            <v>管弯头PVC电工套管配件白色 Φ32 联塑</v>
          </cell>
          <cell r="E896" t="str">
            <v>PVC Conduit 90° Elbow dn32 White - LESSO</v>
          </cell>
        </row>
        <row r="896">
          <cell r="G896">
            <v>1362</v>
          </cell>
          <cell r="H896">
            <v>1362</v>
          </cell>
          <cell r="I896">
            <v>0.12</v>
          </cell>
          <cell r="J896">
            <v>1548</v>
          </cell>
          <cell r="K896">
            <v>0.1</v>
          </cell>
          <cell r="L896">
            <v>1513</v>
          </cell>
        </row>
        <row r="897">
          <cell r="C897">
            <v>8030020210</v>
          </cell>
          <cell r="D897" t="str">
            <v>管弯头PVC电工套管配件白色 Φ40 联塑</v>
          </cell>
          <cell r="E897" t="str">
            <v>PVC Conduit 90° Elbow dn40 White - LESSO</v>
          </cell>
        </row>
        <row r="897">
          <cell r="G897">
            <v>3243</v>
          </cell>
          <cell r="H897">
            <v>3243</v>
          </cell>
          <cell r="I897">
            <v>0.12</v>
          </cell>
          <cell r="J897">
            <v>3686</v>
          </cell>
          <cell r="K897">
            <v>0.1</v>
          </cell>
          <cell r="L897">
            <v>3603</v>
          </cell>
        </row>
        <row r="898">
          <cell r="C898">
            <v>8030020621</v>
          </cell>
          <cell r="D898" t="str">
            <v>大弧度弯头PVC电工套管配件白色 Φ16 联塑</v>
          </cell>
          <cell r="E898" t="str">
            <v>PVC Conduit 90°Long Sweep Bend dn16 White - LESSO</v>
          </cell>
        </row>
        <row r="898">
          <cell r="G898">
            <v>681</v>
          </cell>
          <cell r="H898">
            <v>681</v>
          </cell>
          <cell r="I898">
            <v>0.12</v>
          </cell>
          <cell r="J898">
            <v>774</v>
          </cell>
          <cell r="K898">
            <v>0.1</v>
          </cell>
          <cell r="L898">
            <v>757</v>
          </cell>
        </row>
        <row r="899">
          <cell r="C899">
            <v>8030020202</v>
          </cell>
          <cell r="D899" t="str">
            <v>大弧度弯头PVC电工套管配件白色 Φ20 联塑</v>
          </cell>
          <cell r="E899" t="str">
            <v>PVC Conduit 90°Long Sweep Bend dn20 White - LESSO</v>
          </cell>
        </row>
        <row r="899">
          <cell r="G899">
            <v>649</v>
          </cell>
          <cell r="H899">
            <v>649</v>
          </cell>
          <cell r="I899">
            <v>0.12</v>
          </cell>
          <cell r="J899">
            <v>738</v>
          </cell>
          <cell r="K899">
            <v>0.1</v>
          </cell>
          <cell r="L899">
            <v>721</v>
          </cell>
        </row>
        <row r="900">
          <cell r="C900">
            <v>8030020203</v>
          </cell>
          <cell r="D900" t="str">
            <v>大弧度弯头PVC电工套管配件白色 Φ25 联塑</v>
          </cell>
          <cell r="E900" t="str">
            <v>PVC Conduit 90°Long Sweep Bend dn25 White - LESSO</v>
          </cell>
        </row>
        <row r="900">
          <cell r="G900">
            <v>1038</v>
          </cell>
          <cell r="H900">
            <v>1038</v>
          </cell>
          <cell r="I900">
            <v>0.12</v>
          </cell>
          <cell r="J900">
            <v>1180</v>
          </cell>
          <cell r="K900">
            <v>0.1</v>
          </cell>
          <cell r="L900">
            <v>1153</v>
          </cell>
        </row>
        <row r="901">
          <cell r="C901">
            <v>8030020204</v>
          </cell>
          <cell r="D901" t="str">
            <v>大弧度弯头PVC电工套管配件白色 Φ32 联塑</v>
          </cell>
          <cell r="E901" t="str">
            <v>PVC Conduit 90°Long Sweep Bend dn32 White - LESSO</v>
          </cell>
        </row>
        <row r="901">
          <cell r="G901">
            <v>1849</v>
          </cell>
          <cell r="H901">
            <v>1849</v>
          </cell>
          <cell r="I901">
            <v>0.12</v>
          </cell>
          <cell r="J901">
            <v>2102</v>
          </cell>
          <cell r="K901">
            <v>0.1</v>
          </cell>
          <cell r="L901">
            <v>2054</v>
          </cell>
        </row>
        <row r="902">
          <cell r="C902">
            <v>8030020205</v>
          </cell>
          <cell r="D902" t="str">
            <v>大弧度弯头PVC电工套管配件白色 Φ40 联塑</v>
          </cell>
          <cell r="E902" t="str">
            <v>PVC Conduit 90°Long Sweep Bend dn40 White - LESSO</v>
          </cell>
        </row>
        <row r="902">
          <cell r="G902">
            <v>4216</v>
          </cell>
          <cell r="H902">
            <v>4216</v>
          </cell>
          <cell r="I902">
            <v>0.12</v>
          </cell>
          <cell r="J902">
            <v>4791</v>
          </cell>
          <cell r="K902">
            <v>0.1</v>
          </cell>
          <cell r="L902">
            <v>4684</v>
          </cell>
        </row>
        <row r="903">
          <cell r="C903">
            <v>8030040024</v>
          </cell>
          <cell r="D903" t="str">
            <v>大弧度弯头PVC电工套管配件白色 Φ50 联塑</v>
          </cell>
          <cell r="E903" t="str">
            <v>PVC Conduit 90°Long Sweep Bend dn50 White - LESSO</v>
          </cell>
        </row>
        <row r="903">
          <cell r="G903">
            <v>4427</v>
          </cell>
          <cell r="H903">
            <v>4427</v>
          </cell>
          <cell r="I903">
            <v>0.12</v>
          </cell>
          <cell r="J903">
            <v>5031</v>
          </cell>
          <cell r="K903">
            <v>0.1</v>
          </cell>
          <cell r="L903">
            <v>4919</v>
          </cell>
        </row>
        <row r="904">
          <cell r="C904">
            <v>8030020221</v>
          </cell>
          <cell r="D904" t="str">
            <v>管有盖弯头PVC电工套管配件白色 Φ20 联塑</v>
          </cell>
          <cell r="E904" t="str">
            <v>PVC Conduit Elbow With Cover dn20 White - LESSO</v>
          </cell>
        </row>
        <row r="904">
          <cell r="G904">
            <v>843</v>
          </cell>
          <cell r="H904">
            <v>843</v>
          </cell>
          <cell r="I904">
            <v>0.12</v>
          </cell>
          <cell r="J904">
            <v>958</v>
          </cell>
          <cell r="K904">
            <v>0.1</v>
          </cell>
          <cell r="L904">
            <v>937</v>
          </cell>
        </row>
        <row r="905">
          <cell r="C905">
            <v>8030020222</v>
          </cell>
          <cell r="D905" t="str">
            <v>管有盖弯头PVC电工套管配件白色 Φ25 联塑</v>
          </cell>
          <cell r="E905" t="str">
            <v>PVC Conduit Elbow With Cover dn25 White - LESSO</v>
          </cell>
        </row>
        <row r="905">
          <cell r="G905">
            <v>1070</v>
          </cell>
          <cell r="H905">
            <v>1070</v>
          </cell>
          <cell r="I905">
            <v>0.12</v>
          </cell>
          <cell r="J905">
            <v>1216</v>
          </cell>
          <cell r="K905">
            <v>0.1</v>
          </cell>
          <cell r="L905">
            <v>1189</v>
          </cell>
        </row>
        <row r="906">
          <cell r="C906">
            <v>8030020223</v>
          </cell>
          <cell r="D906" t="str">
            <v>管有盖弯头PVC电工套管配件白色 Φ32 联塑</v>
          </cell>
          <cell r="E906" t="str">
            <v>PVC Conduit Elbow With Cover dn32 White - LESSO</v>
          </cell>
        </row>
        <row r="906">
          <cell r="G906">
            <v>2303</v>
          </cell>
          <cell r="H906">
            <v>2303</v>
          </cell>
          <cell r="I906">
            <v>0.12</v>
          </cell>
          <cell r="J906">
            <v>2618</v>
          </cell>
          <cell r="K906">
            <v>0.1</v>
          </cell>
          <cell r="L906">
            <v>2559</v>
          </cell>
        </row>
        <row r="907">
          <cell r="C907">
            <v>8030020224</v>
          </cell>
          <cell r="D907" t="str">
            <v>管有盖弯头PVC电工套管配件白色 Φ40 联塑</v>
          </cell>
          <cell r="E907" t="str">
            <v>PVC Conduit Elbow With Cover dn40 White - LESSO</v>
          </cell>
        </row>
        <row r="907">
          <cell r="G907">
            <v>5578</v>
          </cell>
          <cell r="H907">
            <v>5578</v>
          </cell>
          <cell r="I907">
            <v>0.12</v>
          </cell>
          <cell r="J907">
            <v>6339</v>
          </cell>
          <cell r="K907">
            <v>0.1</v>
          </cell>
          <cell r="L907">
            <v>6198</v>
          </cell>
        </row>
        <row r="908">
          <cell r="C908">
            <v>8030020225</v>
          </cell>
          <cell r="D908" t="str">
            <v>管有盖弯头PVC电工套管配件白色 Φ50 联塑</v>
          </cell>
          <cell r="E908" t="str">
            <v>PVC Conduit Elbow With Cover dn50 White - LESSO</v>
          </cell>
        </row>
        <row r="908">
          <cell r="G908">
            <v>5108</v>
          </cell>
          <cell r="H908">
            <v>5108</v>
          </cell>
          <cell r="I908">
            <v>0.12</v>
          </cell>
          <cell r="J908">
            <v>5805</v>
          </cell>
          <cell r="K908">
            <v>0.1</v>
          </cell>
          <cell r="L908">
            <v>5676</v>
          </cell>
        </row>
        <row r="909">
          <cell r="C909">
            <v>8030020185</v>
          </cell>
          <cell r="D909" t="str">
            <v>管有盖三通PVC电工套管配件白色 Φ20 联塑</v>
          </cell>
          <cell r="E909" t="str">
            <v>PVC Conduit Tee With Cover dn20 White - LESSO</v>
          </cell>
        </row>
        <row r="909">
          <cell r="G909">
            <v>1751</v>
          </cell>
          <cell r="H909">
            <v>1751</v>
          </cell>
          <cell r="I909">
            <v>0.12</v>
          </cell>
          <cell r="J909">
            <v>1990</v>
          </cell>
          <cell r="K909">
            <v>0.1</v>
          </cell>
          <cell r="L909">
            <v>1946</v>
          </cell>
        </row>
        <row r="910">
          <cell r="C910">
            <v>8030020186</v>
          </cell>
          <cell r="D910" t="str">
            <v>管有盖三通PVC电工套管配件白色 Φ25 联塑</v>
          </cell>
          <cell r="E910" t="str">
            <v>PVC Conduit Tee With Cover dn25 White - LESSO</v>
          </cell>
        </row>
        <row r="910">
          <cell r="G910">
            <v>2627</v>
          </cell>
          <cell r="H910">
            <v>2627</v>
          </cell>
          <cell r="I910">
            <v>0.12</v>
          </cell>
          <cell r="J910">
            <v>2986</v>
          </cell>
          <cell r="K910">
            <v>0.1</v>
          </cell>
          <cell r="L910">
            <v>2919</v>
          </cell>
        </row>
        <row r="911">
          <cell r="C911">
            <v>8030020187</v>
          </cell>
          <cell r="D911" t="str">
            <v>管有盖三通PVC电工套管配件白色 Φ32 联塑</v>
          </cell>
          <cell r="E911" t="str">
            <v>PVC Conduit Tee With Cover dn32 White - LESSO</v>
          </cell>
        </row>
        <row r="911">
          <cell r="G911">
            <v>4476</v>
          </cell>
          <cell r="H911">
            <v>4476</v>
          </cell>
          <cell r="I911">
            <v>0.12</v>
          </cell>
          <cell r="J911">
            <v>5087</v>
          </cell>
          <cell r="K911">
            <v>0.1</v>
          </cell>
          <cell r="L911">
            <v>4973</v>
          </cell>
        </row>
        <row r="912">
          <cell r="C912">
            <v>8030020580</v>
          </cell>
          <cell r="D912" t="str">
            <v>管有盖三通PVC电工套管配件白色 Φ40 联塑</v>
          </cell>
          <cell r="E912" t="str">
            <v>PVC Conduit Tee With Cover dn40 White - LESSO</v>
          </cell>
        </row>
        <row r="912">
          <cell r="G912">
            <v>7978</v>
          </cell>
          <cell r="H912">
            <v>7978</v>
          </cell>
          <cell r="I912">
            <v>0.12</v>
          </cell>
          <cell r="J912">
            <v>9066</v>
          </cell>
          <cell r="K912">
            <v>0.1</v>
          </cell>
          <cell r="L912">
            <v>8864</v>
          </cell>
        </row>
        <row r="913">
          <cell r="C913">
            <v>8030020231</v>
          </cell>
          <cell r="D913" t="str">
            <v>管单通圆接线盒(带盖)PVC电工套管配件白色 65x40/1/Φ16/40 联塑</v>
          </cell>
          <cell r="E913" t="str">
            <v>PVC Conduit 1 Way Terminal Box (With Cover) 65x40 / 1 / dn16 / 40 White - LESSO</v>
          </cell>
        </row>
        <row r="913">
          <cell r="G913">
            <v>3405</v>
          </cell>
          <cell r="H913">
            <v>3405</v>
          </cell>
          <cell r="I913">
            <v>0.12</v>
          </cell>
          <cell r="J913">
            <v>3870</v>
          </cell>
          <cell r="K913">
            <v>0.1</v>
          </cell>
          <cell r="L913">
            <v>3783</v>
          </cell>
        </row>
        <row r="914">
          <cell r="C914">
            <v>8030020232</v>
          </cell>
          <cell r="D914" t="str">
            <v>管单通圆接线盒(带盖)PVC电工套管配件白色 65x40/1/Φ20 联塑</v>
          </cell>
          <cell r="E914" t="str">
            <v>PVC Conduit 1 Way Terminal Box (With Cover) 65x40 / 1 / dn20 White - LESSO</v>
          </cell>
        </row>
        <row r="914">
          <cell r="G914">
            <v>2497</v>
          </cell>
          <cell r="H914">
            <v>2497</v>
          </cell>
          <cell r="I914">
            <v>0.12</v>
          </cell>
          <cell r="J914">
            <v>2838</v>
          </cell>
          <cell r="K914">
            <v>0.1</v>
          </cell>
          <cell r="L914">
            <v>2774</v>
          </cell>
        </row>
        <row r="915">
          <cell r="C915">
            <v>8030020233</v>
          </cell>
          <cell r="D915" t="str">
            <v>管单通圆接线盒(带盖)PVC电工套管配件白色 65x40/1/Φ25 联塑</v>
          </cell>
          <cell r="E915" t="str">
            <v>PVC Conduit 1 Way Terminal Box (With Cover) 65x40 / 1 / dn25 White - LESSO</v>
          </cell>
        </row>
        <row r="915">
          <cell r="G915">
            <v>2692</v>
          </cell>
          <cell r="H915">
            <v>2692</v>
          </cell>
          <cell r="I915">
            <v>0.12</v>
          </cell>
          <cell r="J915">
            <v>3060</v>
          </cell>
          <cell r="K915">
            <v>0.1</v>
          </cell>
          <cell r="L915">
            <v>2991</v>
          </cell>
        </row>
        <row r="916">
          <cell r="C916">
            <v>8030020239</v>
          </cell>
          <cell r="D916" t="str">
            <v>管双曲通圆接线盒(带盖)PVC电工套管配件白色 65x40/2L/Φ16/40 联塑</v>
          </cell>
          <cell r="E916" t="str">
            <v>PVC Conduit 2 Way Angle Box (With Cover) 65x40 / 2L / dn16 / 40 White - LESSO</v>
          </cell>
        </row>
        <row r="916">
          <cell r="G916">
            <v>3405</v>
          </cell>
          <cell r="H916">
            <v>3405</v>
          </cell>
          <cell r="I916">
            <v>0.12</v>
          </cell>
          <cell r="J916">
            <v>3870</v>
          </cell>
          <cell r="K916">
            <v>0.1</v>
          </cell>
          <cell r="L916">
            <v>3783</v>
          </cell>
        </row>
        <row r="917">
          <cell r="C917">
            <v>8030020240</v>
          </cell>
          <cell r="D917" t="str">
            <v>管双曲通圆接线盒(带盖)PVC电工套管配件白色 65x40/2L/Φ20 联塑</v>
          </cell>
          <cell r="E917" t="str">
            <v>PVC Conduit 2 Way Angle Box (With Cover) 65x40 / 2L / dn20 White - LESSO</v>
          </cell>
        </row>
        <row r="917">
          <cell r="G917">
            <v>2692</v>
          </cell>
          <cell r="H917">
            <v>2692</v>
          </cell>
          <cell r="I917">
            <v>0.12</v>
          </cell>
          <cell r="J917">
            <v>3060</v>
          </cell>
          <cell r="K917">
            <v>0.1</v>
          </cell>
          <cell r="L917">
            <v>2991</v>
          </cell>
        </row>
        <row r="918">
          <cell r="C918">
            <v>8030020241</v>
          </cell>
          <cell r="D918" t="str">
            <v>管双曲通圆接线盒(带盖)PVC电工套管配件白色 65x40/2L/Φ25 联塑</v>
          </cell>
          <cell r="E918" t="str">
            <v>PVC Conduit 2 Way Angle Box (With cover) 65x40 / 2L / dn25 White - LESSO</v>
          </cell>
        </row>
        <row r="918">
          <cell r="G918">
            <v>2919</v>
          </cell>
          <cell r="H918">
            <v>2919</v>
          </cell>
          <cell r="I918">
            <v>0.12</v>
          </cell>
          <cell r="J918">
            <v>3318</v>
          </cell>
          <cell r="K918">
            <v>0.1</v>
          </cell>
          <cell r="L918">
            <v>3243</v>
          </cell>
        </row>
        <row r="919">
          <cell r="C919">
            <v>8030020257</v>
          </cell>
          <cell r="D919" t="str">
            <v>管双直通圆接线盒(带盖)PVC电工套管配件白色 65x40/2I/Φ20 联塑</v>
          </cell>
          <cell r="E919" t="str">
            <v>PVC Conduit 2 Way Through Box (With Cover) 65x40 / 2I / dn20 White - LESSO</v>
          </cell>
        </row>
        <row r="919">
          <cell r="G919">
            <v>2627</v>
          </cell>
          <cell r="H919">
            <v>2627</v>
          </cell>
          <cell r="I919">
            <v>0.12</v>
          </cell>
          <cell r="J919">
            <v>2986</v>
          </cell>
          <cell r="K919">
            <v>0.1</v>
          </cell>
          <cell r="L919">
            <v>2919</v>
          </cell>
        </row>
        <row r="920">
          <cell r="C920">
            <v>8030020258</v>
          </cell>
          <cell r="D920" t="str">
            <v>管双直通圆接线盒(带盖)PVC电工套管配件白色 65x40/2I/Φ25 联塑</v>
          </cell>
          <cell r="E920" t="str">
            <v>PVC Conduit 2 Way Through Box (With Cover) 65x40 / 2I / dn25 White - LESSO</v>
          </cell>
        </row>
        <row r="920">
          <cell r="G920">
            <v>2886</v>
          </cell>
          <cell r="H920">
            <v>2886</v>
          </cell>
          <cell r="I920">
            <v>0.12</v>
          </cell>
          <cell r="J920">
            <v>3280</v>
          </cell>
          <cell r="K920">
            <v>0.1</v>
          </cell>
          <cell r="L920">
            <v>3207</v>
          </cell>
        </row>
        <row r="921">
          <cell r="C921">
            <v>8030020191</v>
          </cell>
          <cell r="D921" t="str">
            <v>管三通圆接线盒(带盖)PVC电工套管配件白色 65x40/3/Φ16/40 联塑</v>
          </cell>
          <cell r="E921" t="str">
            <v>PVC Conduit 3 Way Tee Box (With Cover) 65x40 / 3 / dn16 / 40 White - LESSO</v>
          </cell>
        </row>
        <row r="921">
          <cell r="G921">
            <v>3405</v>
          </cell>
          <cell r="H921">
            <v>3405</v>
          </cell>
          <cell r="I921">
            <v>0.12</v>
          </cell>
          <cell r="J921">
            <v>3870</v>
          </cell>
          <cell r="K921">
            <v>0.1</v>
          </cell>
          <cell r="L921">
            <v>3783</v>
          </cell>
        </row>
        <row r="922">
          <cell r="C922">
            <v>8030020192</v>
          </cell>
          <cell r="D922" t="str">
            <v>管三通圆接线盒(带盖)PVC电工套管配件白色 65x40/3/Φ20 联塑</v>
          </cell>
          <cell r="E922" t="str">
            <v>PVC Conduit 3 Way Tee Box (With Cover) 65x40 / 3 / dn20 White - LESSO</v>
          </cell>
        </row>
        <row r="922">
          <cell r="G922">
            <v>2789</v>
          </cell>
          <cell r="H922">
            <v>2789</v>
          </cell>
          <cell r="I922">
            <v>0.12</v>
          </cell>
          <cell r="J922">
            <v>3170</v>
          </cell>
          <cell r="K922">
            <v>0.1</v>
          </cell>
          <cell r="L922">
            <v>3099</v>
          </cell>
        </row>
        <row r="923">
          <cell r="C923">
            <v>8030020193</v>
          </cell>
          <cell r="D923" t="str">
            <v>管三通圆接线盒(带盖)PVC电工套管配件白色 65x40/3/Φ25 联塑</v>
          </cell>
          <cell r="E923" t="str">
            <v>PVC Conduit 3 Way Tee Box (With Cover) 65x40 / 3 / dn25 White - LESSO</v>
          </cell>
        </row>
        <row r="923">
          <cell r="G923">
            <v>3114</v>
          </cell>
          <cell r="H923">
            <v>3114</v>
          </cell>
          <cell r="I923">
            <v>0.12</v>
          </cell>
          <cell r="J923">
            <v>3539</v>
          </cell>
          <cell r="K923">
            <v>0.1</v>
          </cell>
          <cell r="L923">
            <v>3460</v>
          </cell>
        </row>
        <row r="924">
          <cell r="C924">
            <v>8030020247</v>
          </cell>
          <cell r="D924" t="str">
            <v>管四通圆接线盒(带盖)PVC电工套管配件白色 65x40/4/Φ16/40 联塑</v>
          </cell>
          <cell r="E924" t="str">
            <v>PVC Conduit 4 Way Cross Box (With Cover) 65x40 / 4 / dn16 / 40 White - LESSO</v>
          </cell>
        </row>
        <row r="924">
          <cell r="G924">
            <v>3405</v>
          </cell>
          <cell r="H924">
            <v>3405</v>
          </cell>
          <cell r="I924">
            <v>0.12</v>
          </cell>
          <cell r="J924">
            <v>3870</v>
          </cell>
          <cell r="K924">
            <v>0.1</v>
          </cell>
          <cell r="L924">
            <v>3783</v>
          </cell>
        </row>
        <row r="925">
          <cell r="C925">
            <v>8030020248</v>
          </cell>
          <cell r="D925" t="str">
            <v>管四通圆接线盒(带盖)PVC电工套管配件白色 65x40/4/Φ20 联塑</v>
          </cell>
          <cell r="E925" t="str">
            <v>PVC Conduit 4 Way Cross Box (With Cover) 65x40 / 4 / dn20 White - LESSO</v>
          </cell>
        </row>
        <row r="925">
          <cell r="G925">
            <v>3568</v>
          </cell>
          <cell r="H925">
            <v>3568</v>
          </cell>
          <cell r="I925">
            <v>0.12</v>
          </cell>
          <cell r="J925">
            <v>4055</v>
          </cell>
          <cell r="K925">
            <v>0.1</v>
          </cell>
          <cell r="L925">
            <v>3964</v>
          </cell>
        </row>
        <row r="926">
          <cell r="C926">
            <v>8030020249</v>
          </cell>
          <cell r="D926" t="str">
            <v>管四通圆接线盒(带盖)PVC电工套管配件白色 65x40/4/Φ25 联塑</v>
          </cell>
          <cell r="E926" t="str">
            <v>PVC Conduit 4 Way Cross Box (With Cover) 65x40 / 4 / dn25 White - LESSO</v>
          </cell>
        </row>
        <row r="926">
          <cell r="G926">
            <v>4314</v>
          </cell>
          <cell r="H926">
            <v>4314</v>
          </cell>
          <cell r="I926">
            <v>0.12</v>
          </cell>
          <cell r="J926">
            <v>4903</v>
          </cell>
          <cell r="K926">
            <v>0.1</v>
          </cell>
          <cell r="L926">
            <v>4793</v>
          </cell>
        </row>
        <row r="927">
          <cell r="C927">
            <v>8030020112</v>
          </cell>
          <cell r="D927" t="str">
            <v>暗装灯头深型圆接线盒(单通)PVC电工套管配件白色 65x65/1/Φ16/65 联塑</v>
          </cell>
          <cell r="E927" t="str">
            <v>PVC Conduit 1 Way Deep Terminal Box (conncealed installation) 65x65 / 1 / dn16 / 65 White - LESSO</v>
          </cell>
        </row>
        <row r="927">
          <cell r="G927">
            <v>3746</v>
          </cell>
          <cell r="H927">
            <v>3746</v>
          </cell>
          <cell r="I927">
            <v>0.12</v>
          </cell>
          <cell r="J927">
            <v>4257</v>
          </cell>
          <cell r="K927">
            <v>0.1</v>
          </cell>
          <cell r="L927">
            <v>4162</v>
          </cell>
        </row>
        <row r="928">
          <cell r="C928">
            <v>8030020113</v>
          </cell>
          <cell r="D928" t="str">
            <v>暗装灯头深型圆接线盒(单通)PVC电工套管配件白色 65x65/1/Φ20 联塑</v>
          </cell>
          <cell r="E928" t="str">
            <v>PVC Conduit 1 Way Deep Terminal Box (conncealed installation) 65x65 / 1 / dn20 White - LESSO</v>
          </cell>
        </row>
        <row r="928">
          <cell r="G928">
            <v>3405</v>
          </cell>
          <cell r="H928">
            <v>3405</v>
          </cell>
          <cell r="I928">
            <v>0.12</v>
          </cell>
          <cell r="J928">
            <v>3870</v>
          </cell>
          <cell r="K928">
            <v>0.1</v>
          </cell>
          <cell r="L928">
            <v>3783</v>
          </cell>
        </row>
        <row r="929">
          <cell r="C929">
            <v>8030020114</v>
          </cell>
          <cell r="D929" t="str">
            <v>暗装灯头深型圆接线盒(单通)PVC电工套管配件白色 65x65/1/Φ25 联塑</v>
          </cell>
          <cell r="E929" t="str">
            <v>PVC Conduit 1 Way Deep Terminal Box (conncealed installation) 65x65 / 1 / dn25 White - LESSO</v>
          </cell>
        </row>
        <row r="929">
          <cell r="G929">
            <v>3405</v>
          </cell>
          <cell r="H929">
            <v>3405</v>
          </cell>
          <cell r="I929">
            <v>0.12</v>
          </cell>
          <cell r="J929">
            <v>3870</v>
          </cell>
          <cell r="K929">
            <v>0.1</v>
          </cell>
          <cell r="L929">
            <v>3783</v>
          </cell>
        </row>
        <row r="930">
          <cell r="C930">
            <v>8030020378</v>
          </cell>
          <cell r="D930" t="str">
            <v>暗装灯头深型圆接线盒(单通)PVC电工套管配件白色 65x70/1/Φ20 联塑</v>
          </cell>
          <cell r="E930" t="str">
            <v>PVC Conduit 1 Way Deep Terminal Box (conncealed installation) 65x70 / 1 / dn20 White - LESSO</v>
          </cell>
        </row>
        <row r="930">
          <cell r="G930">
            <v>3746</v>
          </cell>
          <cell r="H930">
            <v>3746</v>
          </cell>
          <cell r="I930">
            <v>0.12</v>
          </cell>
          <cell r="J930">
            <v>4257</v>
          </cell>
          <cell r="K930">
            <v>0.1</v>
          </cell>
          <cell r="L930">
            <v>4162</v>
          </cell>
        </row>
        <row r="931">
          <cell r="C931">
            <v>8030020368</v>
          </cell>
          <cell r="D931" t="str">
            <v>暗装灯头深型圆接线盒(单通)PVC电工套管配件白色 65x70/1/Φ25 联塑</v>
          </cell>
          <cell r="E931" t="str">
            <v>PVC Conduit 1 Way Deep Terminal Box (conncealed installation) 65x70 / 1 / dn25 White - LESSO</v>
          </cell>
        </row>
        <row r="931">
          <cell r="G931">
            <v>3746</v>
          </cell>
          <cell r="H931">
            <v>3746</v>
          </cell>
          <cell r="I931">
            <v>0.12</v>
          </cell>
          <cell r="J931">
            <v>4257</v>
          </cell>
          <cell r="K931">
            <v>0.1</v>
          </cell>
          <cell r="L931">
            <v>4162</v>
          </cell>
        </row>
        <row r="932">
          <cell r="C932">
            <v>8030020167</v>
          </cell>
          <cell r="D932" t="str">
            <v>暗装灯头深型圆接线盒(三通)PVC电工套管配件白色 65x65/3/Φ16/65 联塑</v>
          </cell>
          <cell r="E932" t="str">
            <v>PVC Conduit 3 Way Deep Tee Box (conncealed installation) 65x65 / 3 / dn16 / 65 White - LESSO</v>
          </cell>
        </row>
        <row r="932">
          <cell r="G932">
            <v>4086</v>
          </cell>
          <cell r="H932">
            <v>4086</v>
          </cell>
          <cell r="I932">
            <v>0.12</v>
          </cell>
          <cell r="J932">
            <v>4644</v>
          </cell>
          <cell r="K932">
            <v>0.1</v>
          </cell>
          <cell r="L932">
            <v>4540</v>
          </cell>
        </row>
        <row r="933">
          <cell r="C933">
            <v>8030020168</v>
          </cell>
          <cell r="D933" t="str">
            <v>暗装灯头深型圆接线盒(三通)PVC电工套管配件白色 65x65/3/Φ20 联塑</v>
          </cell>
          <cell r="E933" t="str">
            <v>PVC Conduit 3 Way Deep Tee Box (conncealed installation) 65x65 / 3 / dn20 White - LESSO</v>
          </cell>
        </row>
        <row r="933">
          <cell r="G933">
            <v>3746</v>
          </cell>
          <cell r="H933">
            <v>3746</v>
          </cell>
          <cell r="I933">
            <v>0.12</v>
          </cell>
          <cell r="J933">
            <v>4257</v>
          </cell>
          <cell r="K933">
            <v>0.1</v>
          </cell>
          <cell r="L933">
            <v>4162</v>
          </cell>
        </row>
        <row r="934">
          <cell r="C934">
            <v>8030020169</v>
          </cell>
          <cell r="D934" t="str">
            <v>暗装灯头深型圆接线盒(三通)PVC电工套管配件白色 65x65/3/Φ25 联塑</v>
          </cell>
          <cell r="E934" t="str">
            <v>PVC Conduit 3 Way Deep Tee Box (conncealed installation) 65x65 / 3 / dn25 White - LESSO</v>
          </cell>
        </row>
        <row r="934">
          <cell r="G934">
            <v>4086</v>
          </cell>
          <cell r="H934">
            <v>4086</v>
          </cell>
          <cell r="I934">
            <v>0.12</v>
          </cell>
          <cell r="J934">
            <v>4644</v>
          </cell>
          <cell r="K934">
            <v>0.1</v>
          </cell>
          <cell r="L934">
            <v>4540</v>
          </cell>
        </row>
        <row r="935">
          <cell r="C935">
            <v>8030020382</v>
          </cell>
          <cell r="D935" t="str">
            <v>暗装灯头深型圆接线盒(三通)PVC电工套管配件白色 65x70/3/Φ20 联塑</v>
          </cell>
          <cell r="E935" t="str">
            <v>PVC Conduit 3 Way Deep Tee Box (conncealed installation) 65x70 / 3 / dn20 White - LESSO</v>
          </cell>
        </row>
        <row r="935">
          <cell r="G935">
            <v>2573</v>
          </cell>
          <cell r="H935">
            <v>2573</v>
          </cell>
          <cell r="I935">
            <v>0.12</v>
          </cell>
          <cell r="J935">
            <v>2924</v>
          </cell>
          <cell r="K935">
            <v>0.1</v>
          </cell>
          <cell r="L935">
            <v>2859</v>
          </cell>
        </row>
        <row r="936">
          <cell r="C936">
            <v>8030020383</v>
          </cell>
          <cell r="D936" t="str">
            <v>暗装灯头深型圆接线盒(三通)PVC电工套管配件白色 65x70/3/Φ25 联塑</v>
          </cell>
          <cell r="E936" t="str">
            <v>PVC Conduit 3 Way Deep Tee Box (conncealed installation) 65x70 / 3 / dn25 White - LESSO</v>
          </cell>
        </row>
        <row r="936">
          <cell r="G936">
            <v>5449</v>
          </cell>
          <cell r="H936">
            <v>5449</v>
          </cell>
          <cell r="I936">
            <v>0.12</v>
          </cell>
          <cell r="J936">
            <v>6193</v>
          </cell>
          <cell r="K936">
            <v>0.1</v>
          </cell>
          <cell r="L936">
            <v>6054</v>
          </cell>
        </row>
        <row r="937">
          <cell r="C937">
            <v>8030020116</v>
          </cell>
          <cell r="D937" t="str">
            <v>暗装灯头深型圆接线盒(双曲通)PVC电工套管配件白色 65x65/2L/Φ20 联塑</v>
          </cell>
          <cell r="E937" t="str">
            <v>PVC Conduit 2 Way Deep Angle Box (conncealed installation) 65x65 / 2L / dn20 White - LESSO</v>
          </cell>
        </row>
        <row r="937">
          <cell r="G937">
            <v>3405</v>
          </cell>
          <cell r="H937">
            <v>3405</v>
          </cell>
          <cell r="I937">
            <v>0.12</v>
          </cell>
          <cell r="J937">
            <v>3870</v>
          </cell>
          <cell r="K937">
            <v>0.1</v>
          </cell>
          <cell r="L937">
            <v>3783</v>
          </cell>
        </row>
        <row r="938">
          <cell r="C938">
            <v>8030020117</v>
          </cell>
          <cell r="D938" t="str">
            <v>暗装灯头深型圆接线盒(双曲通)PVC电工套管配件白色 65x65/2L/Φ25 联塑</v>
          </cell>
          <cell r="E938" t="str">
            <v>PVC Conduit 2 Way Deep Angle Box (conncealed installation) 65x65 / 2L / dn25 White - LESSO</v>
          </cell>
        </row>
        <row r="938">
          <cell r="G938">
            <v>3746</v>
          </cell>
          <cell r="H938">
            <v>3746</v>
          </cell>
          <cell r="I938">
            <v>0.12</v>
          </cell>
          <cell r="J938">
            <v>4257</v>
          </cell>
          <cell r="K938">
            <v>0.1</v>
          </cell>
          <cell r="L938">
            <v>4162</v>
          </cell>
        </row>
        <row r="939">
          <cell r="C939">
            <v>8030020379</v>
          </cell>
          <cell r="D939" t="str">
            <v>暗装灯头深型圆接线盒(双曲通)PVC电工套管配件白色 65x70/2L/Φ20 联塑</v>
          </cell>
          <cell r="E939" t="str">
            <v>PVC Conduit 2 Way Deep Angle Box (conncealed installation) 65x70 / 2L / dn20 White - LESSO</v>
          </cell>
        </row>
        <row r="939">
          <cell r="G939">
            <v>3746</v>
          </cell>
          <cell r="H939">
            <v>3746</v>
          </cell>
          <cell r="I939">
            <v>0.12</v>
          </cell>
          <cell r="J939">
            <v>4257</v>
          </cell>
          <cell r="K939">
            <v>0.1</v>
          </cell>
          <cell r="L939">
            <v>4162</v>
          </cell>
        </row>
        <row r="940">
          <cell r="C940">
            <v>8030020268</v>
          </cell>
          <cell r="D940" t="str">
            <v>暗装灯头深型圆接线盒(双直通)PVC电工套管配件白色 65x65/2I/Φ20 联塑</v>
          </cell>
          <cell r="E940" t="str">
            <v>PVC Conduit 2 Way Deep Through Box (conncealed installation) 65x65 / 2l / dn20 White - LESSO</v>
          </cell>
        </row>
        <row r="940">
          <cell r="G940">
            <v>3503</v>
          </cell>
          <cell r="H940">
            <v>3503</v>
          </cell>
          <cell r="I940">
            <v>0.12</v>
          </cell>
          <cell r="J940">
            <v>3981</v>
          </cell>
          <cell r="K940">
            <v>0.1</v>
          </cell>
          <cell r="L940">
            <v>3892</v>
          </cell>
        </row>
        <row r="941">
          <cell r="C941">
            <v>8030020380</v>
          </cell>
          <cell r="D941" t="str">
            <v>暗装灯头深型圆接线盒(双直通)PVC电工套管配件白色 65x70/2I/Φ20 联塑</v>
          </cell>
          <cell r="E941" t="str">
            <v>PVC Conduit 2 Way Deep Through Box (conncealed installation) 65x70 / 2l / dn20 White - LESSO</v>
          </cell>
        </row>
        <row r="941">
          <cell r="G941">
            <v>4086</v>
          </cell>
          <cell r="H941">
            <v>4086</v>
          </cell>
          <cell r="I941">
            <v>0.12</v>
          </cell>
          <cell r="J941">
            <v>4644</v>
          </cell>
          <cell r="K941">
            <v>0.1</v>
          </cell>
          <cell r="L941">
            <v>4540</v>
          </cell>
        </row>
        <row r="942">
          <cell r="C942">
            <v>8030020118</v>
          </cell>
          <cell r="D942" t="str">
            <v>暗装灯头深型圆接线盒(四通)PVC电工套管配件白色 65x65/4/Φ16/65 联塑</v>
          </cell>
          <cell r="E942" t="str">
            <v>PVC Conduit 4 Way Deep Cross Box (conncealed installation 65x65 / 4 / dn16 / 65 White - LESSO</v>
          </cell>
        </row>
        <row r="942">
          <cell r="G942">
            <v>4086</v>
          </cell>
          <cell r="H942">
            <v>4086</v>
          </cell>
          <cell r="I942">
            <v>0.12</v>
          </cell>
          <cell r="J942">
            <v>4644</v>
          </cell>
          <cell r="K942">
            <v>0.1</v>
          </cell>
          <cell r="L942">
            <v>4540</v>
          </cell>
        </row>
        <row r="943">
          <cell r="C943">
            <v>8030020119</v>
          </cell>
          <cell r="D943" t="str">
            <v>暗装灯头深型圆接线盒(四通)PVC电工套管配件白色 65x65/4/Φ20 联塑</v>
          </cell>
          <cell r="E943" t="str">
            <v>PVC Conduit 4 Way Deep Cross Box (conncealed installation 65x65 / 4 / dn20 White - LESSO</v>
          </cell>
        </row>
        <row r="943">
          <cell r="G943">
            <v>3746</v>
          </cell>
          <cell r="H943">
            <v>3746</v>
          </cell>
          <cell r="I943">
            <v>0.12</v>
          </cell>
          <cell r="J943">
            <v>4257</v>
          </cell>
          <cell r="K943">
            <v>0.1</v>
          </cell>
          <cell r="L943">
            <v>4162</v>
          </cell>
        </row>
        <row r="944">
          <cell r="C944">
            <v>8030020120</v>
          </cell>
          <cell r="D944" t="str">
            <v>暗装灯头深型圆接线盒(四通)PVC电工套管配件白色 65x65/4/Φ25 联塑</v>
          </cell>
          <cell r="E944" t="str">
            <v>PVC Conduit 4 Way Deep Cross Box (conncealed installation 65x65 / 4 / dn25 White - LESSO</v>
          </cell>
        </row>
        <row r="944">
          <cell r="G944">
            <v>4427</v>
          </cell>
          <cell r="H944">
            <v>4427</v>
          </cell>
          <cell r="I944">
            <v>0.12</v>
          </cell>
          <cell r="J944">
            <v>5031</v>
          </cell>
          <cell r="K944">
            <v>0.1</v>
          </cell>
          <cell r="L944">
            <v>4919</v>
          </cell>
        </row>
        <row r="945">
          <cell r="C945">
            <v>8030020121</v>
          </cell>
          <cell r="D945" t="str">
            <v>暗装灯头深型圆接线盒(四通)PVC电工套管配件白色 65x70/4/Φ16 联塑</v>
          </cell>
          <cell r="E945" t="str">
            <v>PVC Conduit 4 Way Deep Cross Box (conncealed installation 65x70 / 4 / dn16 White - LESSO</v>
          </cell>
        </row>
        <row r="945">
          <cell r="G945">
            <v>4427</v>
          </cell>
          <cell r="H945">
            <v>4427</v>
          </cell>
          <cell r="I945">
            <v>0.12</v>
          </cell>
          <cell r="J945">
            <v>5031</v>
          </cell>
          <cell r="K945">
            <v>0.1</v>
          </cell>
          <cell r="L945">
            <v>4919</v>
          </cell>
        </row>
        <row r="946">
          <cell r="C946">
            <v>8030020122</v>
          </cell>
          <cell r="D946" t="str">
            <v>暗装灯头深型圆接线盒(四通)PVC电工套管配件白色 65x70/4/Φ20 联塑</v>
          </cell>
          <cell r="E946" t="str">
            <v>PVC Conduit 4 Way Deep Cross Box (conncealed installation 65x70 / 4 / dn20 White - LESSO</v>
          </cell>
        </row>
        <row r="946">
          <cell r="G946">
            <v>4427</v>
          </cell>
          <cell r="H946">
            <v>4427</v>
          </cell>
          <cell r="I946">
            <v>0.12</v>
          </cell>
          <cell r="J946">
            <v>5031</v>
          </cell>
          <cell r="K946">
            <v>0.1</v>
          </cell>
          <cell r="L946">
            <v>4919</v>
          </cell>
        </row>
        <row r="947">
          <cell r="C947">
            <v>8030020123</v>
          </cell>
          <cell r="D947" t="str">
            <v>暗装灯头深型圆接线盒(四通)PVC电工套管配件白色 65x70/4/Φ25 联塑</v>
          </cell>
          <cell r="E947" t="str">
            <v>PVC Conduit 4 Way Deep Cross Box (conncealed installation 65x70 / 4 / dn25 White - LESSO</v>
          </cell>
        </row>
        <row r="947">
          <cell r="G947">
            <v>5789</v>
          </cell>
          <cell r="H947">
            <v>5789</v>
          </cell>
          <cell r="I947">
            <v>0.12</v>
          </cell>
          <cell r="J947">
            <v>6579</v>
          </cell>
          <cell r="K947">
            <v>0.1</v>
          </cell>
          <cell r="L947">
            <v>6432</v>
          </cell>
        </row>
        <row r="948">
          <cell r="C948">
            <v>8030020140</v>
          </cell>
          <cell r="D948" t="str">
            <v>管接头PVC电工套管配件白色 Φ16 联塑</v>
          </cell>
          <cell r="E948" t="str">
            <v>PVC Flexible Coupling dn16 White - LESSO</v>
          </cell>
        </row>
        <row r="948">
          <cell r="G948">
            <v>341</v>
          </cell>
          <cell r="H948">
            <v>341</v>
          </cell>
          <cell r="I948">
            <v>0.12</v>
          </cell>
          <cell r="J948">
            <v>388</v>
          </cell>
          <cell r="K948">
            <v>0.1</v>
          </cell>
          <cell r="L948">
            <v>379</v>
          </cell>
        </row>
        <row r="949">
          <cell r="C949">
            <v>8030020141</v>
          </cell>
          <cell r="D949" t="str">
            <v>管接头PVC电工套管配件白色 Φ20 联塑</v>
          </cell>
          <cell r="E949" t="str">
            <v>PVC Conduit Flexible Coupling dn20 White - LESSO</v>
          </cell>
        </row>
        <row r="949">
          <cell r="G949">
            <v>389</v>
          </cell>
          <cell r="H949">
            <v>389</v>
          </cell>
          <cell r="I949">
            <v>0.12</v>
          </cell>
          <cell r="J949">
            <v>443</v>
          </cell>
          <cell r="K949">
            <v>0.1</v>
          </cell>
          <cell r="L949">
            <v>432</v>
          </cell>
        </row>
        <row r="950">
          <cell r="C950">
            <v>8030020142</v>
          </cell>
          <cell r="D950" t="str">
            <v>管接头PVC电工套管配件白色 Φ25 联塑</v>
          </cell>
          <cell r="E950" t="str">
            <v>PVC Conduit Flexible Coupling dn25 White - LESSO</v>
          </cell>
        </row>
        <row r="950">
          <cell r="G950">
            <v>551</v>
          </cell>
          <cell r="H950">
            <v>551</v>
          </cell>
          <cell r="I950">
            <v>0.12</v>
          </cell>
          <cell r="J950">
            <v>627</v>
          </cell>
          <cell r="K950">
            <v>0.1</v>
          </cell>
          <cell r="L950">
            <v>612</v>
          </cell>
        </row>
        <row r="951">
          <cell r="C951">
            <v>8030020143</v>
          </cell>
          <cell r="D951" t="str">
            <v>管接头PVC电工套管配件白色 Φ32 联塑</v>
          </cell>
          <cell r="E951" t="str">
            <v>PVC Conduit Flexible Coupling dn32 White - LESSO</v>
          </cell>
        </row>
        <row r="951">
          <cell r="G951">
            <v>941</v>
          </cell>
          <cell r="H951">
            <v>941</v>
          </cell>
          <cell r="I951">
            <v>0.12</v>
          </cell>
          <cell r="J951">
            <v>1070</v>
          </cell>
          <cell r="K951">
            <v>0.1</v>
          </cell>
          <cell r="L951">
            <v>1046</v>
          </cell>
        </row>
        <row r="952">
          <cell r="C952">
            <v>8030020144</v>
          </cell>
          <cell r="D952" t="str">
            <v>管接头PVC电工套管配件白色 Φ40 联塑</v>
          </cell>
          <cell r="E952" t="str">
            <v>PVC Conduit Flexible Coupling dn40 White - LESSO</v>
          </cell>
        </row>
        <row r="952">
          <cell r="G952">
            <v>3341</v>
          </cell>
          <cell r="H952">
            <v>3341</v>
          </cell>
          <cell r="I952">
            <v>0.12</v>
          </cell>
          <cell r="J952">
            <v>3797</v>
          </cell>
          <cell r="K952">
            <v>0.1</v>
          </cell>
          <cell r="L952">
            <v>3712</v>
          </cell>
        </row>
        <row r="953">
          <cell r="C953">
            <v>8030020155</v>
          </cell>
          <cell r="D953" t="str">
            <v>异径管接头PVC电工套管配件白色 Φ20x16 联塑</v>
          </cell>
          <cell r="E953" t="str">
            <v>PVC Conduit Reducer Coupling dn20x16 White - LESSO</v>
          </cell>
        </row>
        <row r="953">
          <cell r="G953">
            <v>681</v>
          </cell>
          <cell r="H953">
            <v>681</v>
          </cell>
          <cell r="I953">
            <v>0.12</v>
          </cell>
          <cell r="J953">
            <v>774</v>
          </cell>
          <cell r="K953">
            <v>0.1</v>
          </cell>
          <cell r="L953">
            <v>757</v>
          </cell>
        </row>
        <row r="954">
          <cell r="C954">
            <v>8030020401</v>
          </cell>
          <cell r="D954" t="str">
            <v>异径管接头PVC电工套管配件白色 Φ32x20 联塑</v>
          </cell>
          <cell r="E954" t="str">
            <v>PVC Conduit Flexible Reducer dn32x20 White - LESSO</v>
          </cell>
        </row>
        <row r="954">
          <cell r="G954">
            <v>1022</v>
          </cell>
          <cell r="H954">
            <v>1022</v>
          </cell>
          <cell r="I954">
            <v>0.12</v>
          </cell>
          <cell r="J954">
            <v>1162</v>
          </cell>
          <cell r="K954">
            <v>0.1</v>
          </cell>
          <cell r="L954">
            <v>1136</v>
          </cell>
        </row>
        <row r="955">
          <cell r="C955">
            <v>8030020402</v>
          </cell>
          <cell r="D955" t="str">
            <v>异径管接头PVC电工套管配件白色 Φ32x25 联塑</v>
          </cell>
          <cell r="E955" t="str">
            <v>PVC Conduit Flexible Reducer dn32x25 White - LESSO</v>
          </cell>
        </row>
        <row r="955">
          <cell r="G955">
            <v>1022</v>
          </cell>
          <cell r="H955">
            <v>1022</v>
          </cell>
          <cell r="I955">
            <v>0.12</v>
          </cell>
          <cell r="J955">
            <v>1162</v>
          </cell>
          <cell r="K955">
            <v>0.1</v>
          </cell>
          <cell r="L955">
            <v>1136</v>
          </cell>
        </row>
        <row r="956">
          <cell r="C956">
            <v>8030020044</v>
          </cell>
          <cell r="D956" t="str">
            <v>中国(国标)暗装开关盒(带塑料脚)PVC电工配白 77×77/Φ20/H38 联塑</v>
          </cell>
          <cell r="E956" t="str">
            <v>PVC Conduit Gang Box (With Active Foot, Concealed Installation) 77x77 / dn20 / H38 White - LESSO</v>
          </cell>
        </row>
        <row r="956">
          <cell r="G956">
            <v>2432</v>
          </cell>
          <cell r="H956">
            <v>2432</v>
          </cell>
          <cell r="I956">
            <v>0.12</v>
          </cell>
          <cell r="J956">
            <v>2764</v>
          </cell>
          <cell r="K956">
            <v>0.1</v>
          </cell>
          <cell r="L956">
            <v>2702</v>
          </cell>
        </row>
        <row r="957">
          <cell r="C957">
            <v>8030020045</v>
          </cell>
          <cell r="D957" t="str">
            <v>暗装开关盒(带塑料脚)PVC电工配白 77x77/Φ20/H48 联塑</v>
          </cell>
          <cell r="E957" t="str">
            <v>PVC Conduit Deep Gang Box (With Active Foot, conncealed Installation) 77x77 / dn20 / H48 White - LESSO</v>
          </cell>
        </row>
        <row r="957">
          <cell r="G957">
            <v>2692</v>
          </cell>
          <cell r="H957">
            <v>2692</v>
          </cell>
          <cell r="I957">
            <v>0.12</v>
          </cell>
          <cell r="J957">
            <v>3060</v>
          </cell>
          <cell r="K957">
            <v>0.1</v>
          </cell>
          <cell r="L957">
            <v>2991</v>
          </cell>
        </row>
        <row r="958">
          <cell r="C958">
            <v>8030020046</v>
          </cell>
          <cell r="D958" t="str">
            <v>暗装开关盒(带塑料脚)PVC电工配白 77x77/Φ20Φ25/H38 联塑</v>
          </cell>
          <cell r="E958" t="str">
            <v>PVC Conduit Gang Box (With Active Foot, conncealed Installation) 77x77 / dn20 dn25 / H38 White - LESSO</v>
          </cell>
        </row>
        <row r="958">
          <cell r="G958">
            <v>2432</v>
          </cell>
          <cell r="H958">
            <v>2432</v>
          </cell>
          <cell r="I958">
            <v>0.12</v>
          </cell>
          <cell r="J958">
            <v>2764</v>
          </cell>
          <cell r="K958">
            <v>0.1</v>
          </cell>
          <cell r="L958">
            <v>2702</v>
          </cell>
        </row>
        <row r="959">
          <cell r="C959">
            <v>8030020047</v>
          </cell>
          <cell r="D959" t="str">
            <v>暗装开关盒(带塑料脚)PVC电工配白 77x77/Φ20Φ25/H48 联塑</v>
          </cell>
          <cell r="E959" t="str">
            <v>PVC Conduit Deep Gang Box (With Active Foot, conncealed Installation) 77x77 / dn20 dn25 / H48 White - LESSO</v>
          </cell>
        </row>
        <row r="959">
          <cell r="G959">
            <v>2692</v>
          </cell>
          <cell r="H959">
            <v>2692</v>
          </cell>
          <cell r="I959">
            <v>0.12</v>
          </cell>
          <cell r="J959">
            <v>3060</v>
          </cell>
          <cell r="K959">
            <v>0.1</v>
          </cell>
          <cell r="L959">
            <v>2991</v>
          </cell>
        </row>
        <row r="960">
          <cell r="C960">
            <v>8030020062</v>
          </cell>
          <cell r="D960" t="str">
            <v>暗装开关盒(带塑料脚)PVC电工配白77x77/Φ20/H56 联塑</v>
          </cell>
          <cell r="E960" t="str">
            <v>PVC Conduit GANG Box (through reinforcement type, conncealed INSTALLATION) 77x77 / dn20 / H56 White - LESSO</v>
          </cell>
        </row>
        <row r="960">
          <cell r="G960">
            <v>3405</v>
          </cell>
          <cell r="H960">
            <v>3405</v>
          </cell>
          <cell r="I960">
            <v>0.12</v>
          </cell>
          <cell r="J960">
            <v>3870</v>
          </cell>
          <cell r="K960">
            <v>0.1</v>
          </cell>
          <cell r="L960">
            <v>3783</v>
          </cell>
        </row>
        <row r="961">
          <cell r="C961">
            <v>8030020063</v>
          </cell>
          <cell r="D961" t="str">
            <v>暗装开关盒(带塑料脚)PVC电工配白77x77/Φ20/H70 联塑</v>
          </cell>
          <cell r="E961" t="str">
            <v>PVC Conduit Gang Box (with active foot, conncealed installation) 77x77 / dn20 / H70 White - LESSO</v>
          </cell>
        </row>
        <row r="961">
          <cell r="G961">
            <v>3405</v>
          </cell>
          <cell r="H961">
            <v>3405</v>
          </cell>
          <cell r="I961">
            <v>0.12</v>
          </cell>
          <cell r="J961">
            <v>3870</v>
          </cell>
          <cell r="K961">
            <v>0.1</v>
          </cell>
          <cell r="L961">
            <v>3783</v>
          </cell>
        </row>
        <row r="962">
          <cell r="C962">
            <v>8030020064</v>
          </cell>
          <cell r="D962" t="str">
            <v>暗装开关盒(带塑料脚)PVC电工配白77x77/Φ20Φ25/H56 联塑</v>
          </cell>
          <cell r="E962" t="str">
            <v>PVC Conduit Gang Box (with active foot, conncealed installation) 77x77 / dn20 / dn25 / H56 White - LESSO</v>
          </cell>
        </row>
        <row r="962">
          <cell r="G962">
            <v>3405</v>
          </cell>
          <cell r="H962">
            <v>3405</v>
          </cell>
          <cell r="I962">
            <v>0.12</v>
          </cell>
          <cell r="J962">
            <v>3870</v>
          </cell>
          <cell r="K962">
            <v>0.1</v>
          </cell>
          <cell r="L962">
            <v>3783</v>
          </cell>
        </row>
        <row r="963">
          <cell r="C963">
            <v>8030020065</v>
          </cell>
          <cell r="D963" t="str">
            <v>暗装开关盒(带塑料脚)PVC电工配白77x77/Φ20Φ25/H70 联塑</v>
          </cell>
          <cell r="E963" t="str">
            <v>PVC Conduit Gang Box (with active foot, conncealed installation) 77x77 / dn20 / dn25 / H70 White - LESSO</v>
          </cell>
        </row>
        <row r="963">
          <cell r="G963">
            <v>3405</v>
          </cell>
          <cell r="H963">
            <v>3405</v>
          </cell>
          <cell r="I963">
            <v>0.12</v>
          </cell>
          <cell r="J963">
            <v>3870</v>
          </cell>
          <cell r="K963">
            <v>0.1</v>
          </cell>
          <cell r="L963">
            <v>3783</v>
          </cell>
        </row>
        <row r="964">
          <cell r="C964">
            <v>8030020052</v>
          </cell>
          <cell r="D964" t="str">
            <v>中国(国标)暗装开关盒(带塑料脚)PVC电工配白164×77Φ16×2Φ20Φ25/H38 联塑</v>
          </cell>
          <cell r="E964" t="str">
            <v>PVC Conduit GANG Box (WITH ACTIVE FOOT, CONCEALED INSTALLATION) 164x77 / dn16x2 dn20 dn25 / H38 White - LESSO</v>
          </cell>
        </row>
        <row r="964">
          <cell r="G964">
            <v>4768</v>
          </cell>
          <cell r="H964">
            <v>4768</v>
          </cell>
          <cell r="I964">
            <v>0.12</v>
          </cell>
          <cell r="J964">
            <v>5419</v>
          </cell>
          <cell r="K964">
            <v>0.1</v>
          </cell>
          <cell r="L964">
            <v>5298</v>
          </cell>
        </row>
        <row r="965">
          <cell r="C965">
            <v>8030020053</v>
          </cell>
          <cell r="D965" t="str">
            <v>中国(国标)暗装开关盒(带塑料脚)PVC电工配白255×75Φ20×2Φ25×2/H50 联塑</v>
          </cell>
          <cell r="E965" t="str">
            <v>PVC Conduit GANG Box (WITH ACTIVE FOOT, CONCEALED INSTALLATION) 255x75 / dn20x2 dn50x2 / H50 White - LESSO</v>
          </cell>
        </row>
        <row r="965">
          <cell r="G965">
            <v>9195</v>
          </cell>
          <cell r="H965">
            <v>9195</v>
          </cell>
          <cell r="I965">
            <v>0.12</v>
          </cell>
          <cell r="J965">
            <v>10449</v>
          </cell>
          <cell r="K965">
            <v>0.1</v>
          </cell>
          <cell r="L965">
            <v>10217</v>
          </cell>
        </row>
        <row r="966">
          <cell r="C966">
            <v>8030020054</v>
          </cell>
          <cell r="D966" t="str">
            <v>暗装开关盒(带塑料脚)PVC电工配白164x77Φ20x2Φ25x2/H50 联塑</v>
          </cell>
          <cell r="E966" t="str">
            <v>PVC Conduit GANG Box (WITH ACTIVE FOOT, conncealed INSTALLATION) 164x77 / dn20x2 dn25x2 / H50 White - LESSO</v>
          </cell>
        </row>
        <row r="966">
          <cell r="G966">
            <v>5789</v>
          </cell>
          <cell r="H966">
            <v>5789</v>
          </cell>
          <cell r="I966">
            <v>0.12</v>
          </cell>
          <cell r="J966">
            <v>6579</v>
          </cell>
          <cell r="K966">
            <v>0.1</v>
          </cell>
          <cell r="L966">
            <v>6432</v>
          </cell>
        </row>
        <row r="967">
          <cell r="C967">
            <v>8030020055</v>
          </cell>
          <cell r="D967" t="str">
            <v>暗装开关盒(带塑料脚)PVC电工配白141x80/Φ20/H50 联塑</v>
          </cell>
          <cell r="E967" t="str">
            <v>PVC Conduit GANG Box (WITH ACTIVE FOOT, conncealed INSTALLATION) 141x80 / dn20 / H50 White - LESSO</v>
          </cell>
        </row>
        <row r="967">
          <cell r="G967">
            <v>4086</v>
          </cell>
          <cell r="H967">
            <v>4086</v>
          </cell>
          <cell r="I967">
            <v>0.12</v>
          </cell>
          <cell r="J967">
            <v>4644</v>
          </cell>
          <cell r="K967">
            <v>0.1</v>
          </cell>
          <cell r="L967">
            <v>4540</v>
          </cell>
        </row>
        <row r="968">
          <cell r="C968">
            <v>8030020066</v>
          </cell>
          <cell r="D968" t="str">
            <v>暗装拼装开关盒(带金属片)PVC电工配白 81x81/Φ20/H50 联塑</v>
          </cell>
          <cell r="E968" t="str">
            <v>PVC Conduit Deeper Assembling Gang Box (through reinforcement type, conncealed installation) 81x81 / dn20 / H50 White - LESSO</v>
          </cell>
        </row>
        <row r="968">
          <cell r="G968">
            <v>3065</v>
          </cell>
          <cell r="H968">
            <v>3065</v>
          </cell>
          <cell r="I968">
            <v>0.12</v>
          </cell>
          <cell r="J968">
            <v>3483</v>
          </cell>
          <cell r="K968">
            <v>0.1</v>
          </cell>
          <cell r="L968">
            <v>3406</v>
          </cell>
        </row>
        <row r="969">
          <cell r="C969">
            <v>8030021130</v>
          </cell>
          <cell r="D969" t="str">
            <v>暗装拼装开关盒(带金属片)PVC电工配白 81x81/Φ25/H50 联塑</v>
          </cell>
          <cell r="E969" t="str">
            <v>PVC Conduit Deeper Assembling Gang Box (through reinforcement type, conncealed installation) 81x81 / dn25 / H50 White - LESSO</v>
          </cell>
        </row>
        <row r="969">
          <cell r="G969">
            <v>3065</v>
          </cell>
          <cell r="H969">
            <v>3065</v>
          </cell>
          <cell r="I969">
            <v>0.12</v>
          </cell>
          <cell r="J969">
            <v>3483</v>
          </cell>
          <cell r="K969">
            <v>0.1</v>
          </cell>
          <cell r="L969">
            <v>3406</v>
          </cell>
        </row>
        <row r="970">
          <cell r="C970">
            <v>8030020917</v>
          </cell>
          <cell r="D970" t="str">
            <v>暗装中穿筋开关盒(带金属片)PVC电工配白77x77/Φ20/H60 联塑</v>
          </cell>
          <cell r="E970" t="str">
            <v>PVC Conduit Insert Reinforce Lengthened Assembling Gang Box (Through Reinforcement Type, conncealed Installation) 77x77 / dn20 / H60 White - LESSO</v>
          </cell>
        </row>
        <row r="970">
          <cell r="G970">
            <v>3957</v>
          </cell>
          <cell r="H970">
            <v>3957</v>
          </cell>
          <cell r="I970">
            <v>0.12</v>
          </cell>
          <cell r="J970">
            <v>4497</v>
          </cell>
          <cell r="K970">
            <v>0.1</v>
          </cell>
          <cell r="L970">
            <v>4397</v>
          </cell>
        </row>
        <row r="971">
          <cell r="C971">
            <v>8030020864</v>
          </cell>
          <cell r="D971" t="str">
            <v>暗装中穿筋开关盒(带金属片)PVC电工配白77x77/Φ20/H70 联塑</v>
          </cell>
          <cell r="E971" t="str">
            <v>PVC Conduit Insert Reinforce Lengthened Assembling Gang Box (Through Reinforcement Type, conncealed Installation) 77x77 / dn20 / H70 White - LESSO</v>
          </cell>
        </row>
        <row r="971">
          <cell r="G971">
            <v>4768</v>
          </cell>
          <cell r="H971">
            <v>4768</v>
          </cell>
          <cell r="I971">
            <v>0.12</v>
          </cell>
          <cell r="J971">
            <v>5419</v>
          </cell>
          <cell r="K971">
            <v>0.1</v>
          </cell>
          <cell r="L971">
            <v>5298</v>
          </cell>
        </row>
        <row r="972">
          <cell r="C972">
            <v>8030020865</v>
          </cell>
          <cell r="D972" t="str">
            <v>暗装中穿筋开关盒(带金属片)PVC电工配白77x77/Φ20Φ25/H70 联塑</v>
          </cell>
          <cell r="E972" t="str">
            <v>PVC Conduit Insert Reinforce Lengthened Assembling Gang Box (Through Reinforcement Type, conncealed Installation) 77x77 / dn20 dn25 / H70 White - LESSO</v>
          </cell>
        </row>
        <row r="972">
          <cell r="G972">
            <v>4281</v>
          </cell>
          <cell r="H972">
            <v>4281</v>
          </cell>
          <cell r="I972">
            <v>0.12</v>
          </cell>
          <cell r="J972">
            <v>4865</v>
          </cell>
          <cell r="K972">
            <v>0.1</v>
          </cell>
          <cell r="L972">
            <v>4757</v>
          </cell>
        </row>
        <row r="973">
          <cell r="C973">
            <v>8030020071</v>
          </cell>
          <cell r="D973" t="str">
            <v>明装开关盒PVC电工配白86x86/Φ20Φ25/H40 联塑</v>
          </cell>
          <cell r="E973" t="str">
            <v>PVC Conduit Gang Box (Surface Installation) 86x86 / dn20 dn25 / H40 White - LESSO</v>
          </cell>
        </row>
        <row r="973">
          <cell r="G973">
            <v>2530</v>
          </cell>
          <cell r="H973">
            <v>2530</v>
          </cell>
          <cell r="I973">
            <v>0.12</v>
          </cell>
          <cell r="J973">
            <v>2875</v>
          </cell>
          <cell r="K973">
            <v>0.1</v>
          </cell>
          <cell r="L973">
            <v>2811</v>
          </cell>
        </row>
        <row r="974">
          <cell r="C974">
            <v>8030021168</v>
          </cell>
          <cell r="D974" t="str">
            <v>明装开关盒PVC电工配白86x86/Φ20/H40 联塑</v>
          </cell>
          <cell r="E974" t="str">
            <v>PVC Conduit Gang Box (Surface Installation) 86x86 dn20 / H40 - Single White - LESSO</v>
          </cell>
        </row>
        <row r="974">
          <cell r="G974">
            <v>3405</v>
          </cell>
          <cell r="H974">
            <v>3405</v>
          </cell>
          <cell r="I974">
            <v>0.12</v>
          </cell>
          <cell r="J974">
            <v>3870</v>
          </cell>
          <cell r="K974">
            <v>0.1</v>
          </cell>
          <cell r="L974">
            <v>3783</v>
          </cell>
        </row>
        <row r="975">
          <cell r="C975">
            <v>8030020070</v>
          </cell>
          <cell r="D975" t="str">
            <v>明装开关盒PVC电工配白86x86/Φ20/H54 联塑</v>
          </cell>
          <cell r="E975" t="str">
            <v>PVC Conduit Gang Box (Surface Installation) 86x86 / dn20 / 54 White - LESSO</v>
          </cell>
        </row>
        <row r="975">
          <cell r="G975">
            <v>3081</v>
          </cell>
          <cell r="H975">
            <v>3081</v>
          </cell>
          <cell r="I975">
            <v>0.12</v>
          </cell>
          <cell r="J975">
            <v>3502</v>
          </cell>
          <cell r="K975">
            <v>0.1</v>
          </cell>
          <cell r="L975">
            <v>3423</v>
          </cell>
        </row>
        <row r="976">
          <cell r="C976">
            <v>8030020072</v>
          </cell>
          <cell r="D976" t="str">
            <v>明装开关盒PVC电工配白86x86/Φ20Φ25/H54 联塑</v>
          </cell>
          <cell r="E976" t="str">
            <v>PVC Conduit Gang Box (Surface Instalation) 86x86 / dn20 dn25 / H54 White - LESSO</v>
          </cell>
        </row>
        <row r="976">
          <cell r="G976">
            <v>3081</v>
          </cell>
          <cell r="H976">
            <v>3081</v>
          </cell>
          <cell r="I976">
            <v>0.12</v>
          </cell>
          <cell r="J976">
            <v>3502</v>
          </cell>
          <cell r="K976">
            <v>0.1</v>
          </cell>
          <cell r="L976">
            <v>3423</v>
          </cell>
        </row>
        <row r="977">
          <cell r="C977">
            <v>8030020068</v>
          </cell>
          <cell r="D977" t="str">
            <v>明装开关盒PVC电工配白86x86/Φ20/H46 联塑</v>
          </cell>
          <cell r="E977" t="str">
            <v>PVC Conduit Gang Box (Thickened, Surface Installation) 86x86 / dn20 / 46 White - LESSO</v>
          </cell>
        </row>
        <row r="977">
          <cell r="G977">
            <v>2724</v>
          </cell>
          <cell r="H977">
            <v>2724</v>
          </cell>
          <cell r="I977">
            <v>0.12</v>
          </cell>
          <cell r="J977">
            <v>3096</v>
          </cell>
          <cell r="K977">
            <v>0.1</v>
          </cell>
          <cell r="L977">
            <v>3027</v>
          </cell>
        </row>
        <row r="978">
          <cell r="C978">
            <v>8030020069</v>
          </cell>
          <cell r="D978" t="str">
            <v>明装开关盒PVC电工配白86x86/Φ20Φ25/H46 联塑</v>
          </cell>
          <cell r="E978" t="str">
            <v>PVC Conduit Gang Box (Thickened, Surface Installation) 86x86 / dn20 dn25 / 46 White - LESSO</v>
          </cell>
        </row>
        <row r="978">
          <cell r="G978">
            <v>3211</v>
          </cell>
          <cell r="H978">
            <v>3211</v>
          </cell>
          <cell r="I978">
            <v>0.12</v>
          </cell>
          <cell r="J978">
            <v>3649</v>
          </cell>
          <cell r="K978">
            <v>0.1</v>
          </cell>
          <cell r="L978">
            <v>3568</v>
          </cell>
        </row>
        <row r="979">
          <cell r="C979">
            <v>8030020056</v>
          </cell>
          <cell r="D979" t="str">
            <v>暗装开关盒(带金属片)PVC电工配白77x77/Φ20/H50 联塑</v>
          </cell>
          <cell r="E979" t="str">
            <v>PVC Conduit Gang Box (through reinforcement type, conncealed installation) 77x77 / dn20 / H50 White - LESSO</v>
          </cell>
        </row>
        <row r="979">
          <cell r="G979">
            <v>3065</v>
          </cell>
          <cell r="H979">
            <v>3065</v>
          </cell>
          <cell r="I979">
            <v>0.12</v>
          </cell>
          <cell r="J979">
            <v>3483</v>
          </cell>
          <cell r="K979">
            <v>0.1</v>
          </cell>
          <cell r="L979">
            <v>3406</v>
          </cell>
        </row>
        <row r="980">
          <cell r="C980">
            <v>8030020057</v>
          </cell>
          <cell r="D980" t="str">
            <v>暗装开关盒(带金属片)PVC电工配白77x77/Φ20/H60 联塑</v>
          </cell>
          <cell r="E980" t="str">
            <v>PVC Conduit GANG Box (THROUGH REINFORCEMENT TYPE, CONNCEALED INSTALLATION) 77x77 / dn20 / H60 White - LESSO</v>
          </cell>
        </row>
        <row r="980">
          <cell r="G980">
            <v>3746</v>
          </cell>
          <cell r="H980">
            <v>3746</v>
          </cell>
          <cell r="I980">
            <v>0.12</v>
          </cell>
          <cell r="J980">
            <v>4257</v>
          </cell>
          <cell r="K980">
            <v>0.1</v>
          </cell>
          <cell r="L980">
            <v>4162</v>
          </cell>
        </row>
        <row r="981">
          <cell r="C981">
            <v>8030020058</v>
          </cell>
          <cell r="D981" t="str">
            <v>暗装开关盒(带金属片)PVC电工配白77x77/Φ20/H70 联塑</v>
          </cell>
          <cell r="E981" t="str">
            <v>PVC Conduit Gang Box (through reinforcement type, conncealed installation) 77x77 / dn20 / H70 White - LESSO</v>
          </cell>
        </row>
        <row r="981">
          <cell r="G981">
            <v>4086</v>
          </cell>
          <cell r="H981">
            <v>4086</v>
          </cell>
          <cell r="I981">
            <v>0.12</v>
          </cell>
          <cell r="J981">
            <v>4644</v>
          </cell>
          <cell r="K981">
            <v>0.1</v>
          </cell>
          <cell r="L981">
            <v>4540</v>
          </cell>
        </row>
        <row r="982">
          <cell r="C982">
            <v>8030020562</v>
          </cell>
          <cell r="D982" t="str">
            <v>暗装开关盒(带金属片)PVC电工配白77x77/Φ20Φ25/H50 联塑</v>
          </cell>
          <cell r="E982" t="str">
            <v>PVC Conduit Gang Box (through reinforcement type, conncealed installation) 77x77 / dn20 dn25 / H50 White - LESSO</v>
          </cell>
        </row>
        <row r="982">
          <cell r="G982">
            <v>1800</v>
          </cell>
          <cell r="H982">
            <v>1800</v>
          </cell>
          <cell r="I982">
            <v>0.12</v>
          </cell>
          <cell r="J982">
            <v>2046</v>
          </cell>
          <cell r="K982">
            <v>0.1</v>
          </cell>
          <cell r="L982">
            <v>2000</v>
          </cell>
        </row>
        <row r="983">
          <cell r="C983">
            <v>8030020059</v>
          </cell>
          <cell r="D983" t="str">
            <v>暗装开关盒(带金属片)PVC电工配白77x77/Φ20Φ25/H60 联塑</v>
          </cell>
          <cell r="E983" t="str">
            <v>PVC Conduit GANG Box (THROUGH REINFORCEMENT TYPE, CONNCEALED INSTALLATION) 77x77 / dn20 dn25 / H60 White - LESSO</v>
          </cell>
        </row>
        <row r="983">
          <cell r="G983">
            <v>4086</v>
          </cell>
          <cell r="H983">
            <v>4086</v>
          </cell>
          <cell r="I983">
            <v>0.12</v>
          </cell>
          <cell r="J983">
            <v>4644</v>
          </cell>
          <cell r="K983">
            <v>0.1</v>
          </cell>
          <cell r="L983">
            <v>4540</v>
          </cell>
        </row>
        <row r="984">
          <cell r="C984">
            <v>8030020060</v>
          </cell>
          <cell r="D984" t="str">
            <v>暗装开关盒(带金属片)PVC电工配白77x77/Φ20Φ25/H70 联塑</v>
          </cell>
          <cell r="E984" t="str">
            <v>PVC Conduit Gang Box (through reinforcement type, conncealed installation) 77x77 / dn20 dn25 / H70 White - LESSO</v>
          </cell>
        </row>
        <row r="984">
          <cell r="G984">
            <v>4086</v>
          </cell>
          <cell r="H984">
            <v>4086</v>
          </cell>
          <cell r="I984">
            <v>0.12</v>
          </cell>
          <cell r="J984">
            <v>4644</v>
          </cell>
          <cell r="K984">
            <v>0.1</v>
          </cell>
          <cell r="L984">
            <v>4540</v>
          </cell>
        </row>
        <row r="985">
          <cell r="C985">
            <v>8030020918</v>
          </cell>
          <cell r="D985" t="str">
            <v>暗装下穿筋开关盒(带金属片)PVC电工配白77x77/Φ20/H60 联塑</v>
          </cell>
          <cell r="E985" t="str">
            <v>PVC Conduit GANG Box (THROUGH REINFORCEMENT TYPE, CONNCEALED INSTALLATION) 77x77 / dn20 / H60 White - LESSO</v>
          </cell>
        </row>
        <row r="985">
          <cell r="G985">
            <v>4086</v>
          </cell>
          <cell r="H985">
            <v>4086</v>
          </cell>
          <cell r="I985">
            <v>0.12</v>
          </cell>
          <cell r="J985">
            <v>4644</v>
          </cell>
          <cell r="K985">
            <v>0.1</v>
          </cell>
          <cell r="L985">
            <v>4540</v>
          </cell>
        </row>
        <row r="986">
          <cell r="C986">
            <v>8030020618</v>
          </cell>
          <cell r="D986" t="str">
            <v>暗装下穿筋开关盒(带金属片)PVC电工配白77x77/Φ20/H70 联塑</v>
          </cell>
          <cell r="E986" t="str">
            <v>PVC Conduit GANG Box (THROUGH REINFORCEMENT TYPE, CONNCEALED INSTALLATION) 77x77 / dn20 / H70 White - LESSO</v>
          </cell>
        </row>
        <row r="986">
          <cell r="G986">
            <v>4427</v>
          </cell>
          <cell r="H986">
            <v>4427</v>
          </cell>
          <cell r="I986">
            <v>0.12</v>
          </cell>
          <cell r="J986">
            <v>5031</v>
          </cell>
          <cell r="K986">
            <v>0.1</v>
          </cell>
          <cell r="L986">
            <v>4919</v>
          </cell>
        </row>
        <row r="987">
          <cell r="C987">
            <v>8030020619</v>
          </cell>
          <cell r="D987" t="str">
            <v>暗装下穿筋开关盒(带金属片)PVC电工配白77x77/Φ20Φ25/H70 联塑</v>
          </cell>
          <cell r="E987" t="str">
            <v>PVC Conduit GANG Box (THROUGH REINFORCEMENT TYPE, CONNCEALED INSTALLATION) 77x77 / dn20 dn25 / H70 White - LESSO</v>
          </cell>
        </row>
        <row r="987">
          <cell r="G987">
            <v>4427</v>
          </cell>
          <cell r="H987">
            <v>4427</v>
          </cell>
          <cell r="I987">
            <v>0.12</v>
          </cell>
          <cell r="J987">
            <v>5031</v>
          </cell>
          <cell r="K987">
            <v>0.1</v>
          </cell>
          <cell r="L987">
            <v>4919</v>
          </cell>
        </row>
        <row r="988">
          <cell r="C988">
            <v>8030020617</v>
          </cell>
          <cell r="D988" t="str">
            <v>暗装开关盒Ⅲ型PVC电工配白77x77/Φ20/H50 联塑</v>
          </cell>
          <cell r="E988" t="str">
            <v>PVC Conduit Gang Box (type III, conncealed installation) 77x77 / dn20 / H50 White - LESSO</v>
          </cell>
        </row>
        <row r="988">
          <cell r="G988">
            <v>2724</v>
          </cell>
          <cell r="H988">
            <v>2724</v>
          </cell>
          <cell r="I988">
            <v>0.12</v>
          </cell>
          <cell r="J988">
            <v>3096</v>
          </cell>
          <cell r="K988">
            <v>0.1</v>
          </cell>
          <cell r="L988">
            <v>3027</v>
          </cell>
        </row>
        <row r="989">
          <cell r="C989">
            <v>8030020620</v>
          </cell>
          <cell r="D989" t="str">
            <v>暗装开关盒(带金属片)PVC电工配白141x80/Φ20/H50 联塑</v>
          </cell>
          <cell r="E989" t="str">
            <v>PVC Conduit Gang Box (through reinforcement type, conncealed installation) 141x80 / dn20 / H50 White - LESSO</v>
          </cell>
        </row>
        <row r="989">
          <cell r="G989">
            <v>4086</v>
          </cell>
          <cell r="H989">
            <v>4086</v>
          </cell>
          <cell r="I989">
            <v>0.12</v>
          </cell>
          <cell r="J989">
            <v>4644</v>
          </cell>
          <cell r="K989">
            <v>0.1</v>
          </cell>
          <cell r="L989">
            <v>4540</v>
          </cell>
        </row>
        <row r="990">
          <cell r="C990">
            <v>8030020663</v>
          </cell>
          <cell r="D990" t="str">
            <v>暗装开关盒(带金属片)PVC电工配白164x77/Φ16Φ20Φ25/H38 联塑</v>
          </cell>
          <cell r="E990" t="str">
            <v>PVC Conduit Gang Box (through reinforcement type, conncealed installation) 164x77 / dn16 dn20 dn25 / H38 White - LESSO</v>
          </cell>
        </row>
        <row r="990">
          <cell r="G990">
            <v>5449</v>
          </cell>
          <cell r="H990">
            <v>5449</v>
          </cell>
          <cell r="I990">
            <v>0.12</v>
          </cell>
          <cell r="J990">
            <v>6193</v>
          </cell>
          <cell r="K990">
            <v>0.1</v>
          </cell>
          <cell r="L990">
            <v>6054</v>
          </cell>
        </row>
        <row r="991">
          <cell r="C991">
            <v>8030020664</v>
          </cell>
          <cell r="D991" t="str">
            <v>暗装开关盒(带金属片)PVC电工配白164x77/Φ20Φ25/H50 联塑</v>
          </cell>
          <cell r="E991" t="str">
            <v>PVC Conduit Gang Box (through reinforcement type, conncealed installation) 164x77 / dn20 dn25 / H50 White - LESSO</v>
          </cell>
        </row>
        <row r="991">
          <cell r="G991">
            <v>6470</v>
          </cell>
          <cell r="H991">
            <v>6470</v>
          </cell>
          <cell r="I991">
            <v>0.12</v>
          </cell>
          <cell r="J991">
            <v>7353</v>
          </cell>
          <cell r="K991">
            <v>0.1</v>
          </cell>
          <cell r="L991">
            <v>7189</v>
          </cell>
        </row>
        <row r="992">
          <cell r="C992">
            <v>8030021235</v>
          </cell>
          <cell r="D992" t="str">
            <v>暗装中穿筋拼装开关盒(带金属片)PVC电工配白77x77/Φ20/H70 联塑</v>
          </cell>
          <cell r="E992" t="str">
            <v>PVC Conduit Rib-piercing Deeper Assembling Gang Box (through reinforcement type, conncealed installation) 77x77 / dn20 / H70 White - LESSO</v>
          </cell>
        </row>
        <row r="992">
          <cell r="G992">
            <v>4768</v>
          </cell>
          <cell r="H992">
            <v>4768</v>
          </cell>
          <cell r="I992">
            <v>0.12</v>
          </cell>
          <cell r="J992">
            <v>5419</v>
          </cell>
          <cell r="K992">
            <v>0.1</v>
          </cell>
          <cell r="L992">
            <v>5298</v>
          </cell>
        </row>
        <row r="993">
          <cell r="C993">
            <v>8030021236</v>
          </cell>
          <cell r="D993" t="str">
            <v>暗装中穿筋拼装开关盒(带金属片)PVC电工配白77x77/Φ20Φ25/H70 联塑</v>
          </cell>
          <cell r="E993" t="str">
            <v>PVC Conduit Rib-piercing Deeper Assembling Gang Box (through reinforcement type, conncealed installation) 77x77 / dn20 dn25 / H70 White - LESSO</v>
          </cell>
        </row>
        <row r="993">
          <cell r="G993">
            <v>4768</v>
          </cell>
          <cell r="H993">
            <v>4768</v>
          </cell>
          <cell r="I993">
            <v>0.12</v>
          </cell>
          <cell r="J993">
            <v>5419</v>
          </cell>
          <cell r="K993">
            <v>0.1</v>
          </cell>
          <cell r="L993">
            <v>5298</v>
          </cell>
        </row>
        <row r="994">
          <cell r="C994">
            <v>8030020851</v>
          </cell>
          <cell r="D994" t="str">
            <v>暗装八角下穿筋开关盒(带金属片)PVC电工配白77x77/Φ25/H70 联塑</v>
          </cell>
          <cell r="E994" t="str">
            <v>PVC Conduit Rib-piercing Gang Box (Through Reinforcement Type, with 8 active feet, conncealed Installation) 77x77 / dn25 / H70 White - LESSO</v>
          </cell>
        </row>
        <row r="994">
          <cell r="G994">
            <v>3405</v>
          </cell>
          <cell r="H994">
            <v>3405</v>
          </cell>
          <cell r="I994">
            <v>0.12</v>
          </cell>
          <cell r="J994">
            <v>3870</v>
          </cell>
          <cell r="K994">
            <v>0.1</v>
          </cell>
          <cell r="L994">
            <v>3783</v>
          </cell>
        </row>
        <row r="995">
          <cell r="C995">
            <v>8030020661</v>
          </cell>
          <cell r="D995" t="str">
            <v>暗装八角下穿筋开关盒(带金属片)PVC电工配白77x77/Φ20/H70 联塑</v>
          </cell>
          <cell r="E995" t="str">
            <v>PVC Conduit Gang Box (through reinforcement type, with 8 active feet, conncealed installation) 77x77 / dn20 / H70 White - LESSO</v>
          </cell>
        </row>
        <row r="995">
          <cell r="G995">
            <v>1986</v>
          </cell>
          <cell r="H995">
            <v>1986</v>
          </cell>
          <cell r="I995">
            <v>0.12</v>
          </cell>
          <cell r="J995">
            <v>2257</v>
          </cell>
          <cell r="K995">
            <v>0.1</v>
          </cell>
          <cell r="L995">
            <v>2207</v>
          </cell>
        </row>
        <row r="996">
          <cell r="C996">
            <v>8030020764</v>
          </cell>
          <cell r="D996" t="str">
            <v>暗装八角下穿筋开关盒(带金属片)PVC电工配白77x77/Φ25/H60 联塑</v>
          </cell>
          <cell r="E996" t="str">
            <v>PVC Conduit Gang Box (through reinforcement type, with 8 active feet, conncealed installation) 77x77 / dn25 / H60 White - LESSO</v>
          </cell>
        </row>
        <row r="996">
          <cell r="G996">
            <v>3405</v>
          </cell>
          <cell r="H996">
            <v>3405</v>
          </cell>
          <cell r="I996">
            <v>0.12</v>
          </cell>
          <cell r="J996">
            <v>3870</v>
          </cell>
          <cell r="K996">
            <v>0.1</v>
          </cell>
          <cell r="L996">
            <v>3783</v>
          </cell>
        </row>
        <row r="997">
          <cell r="C997">
            <v>8030020041</v>
          </cell>
          <cell r="D997" t="str">
            <v>暗装八角开关盒(带金属片)PVC电工配白77x77/Φ20/H50 联塑</v>
          </cell>
          <cell r="E997" t="str">
            <v>PVC Conduit Rib-piercing Gang Box (through reinforcement type, with 8 active feet, conncealed installation) 77x77 / dn20 / H50 White - LESSO</v>
          </cell>
        </row>
        <row r="997">
          <cell r="G997">
            <v>1519</v>
          </cell>
          <cell r="H997">
            <v>1519</v>
          </cell>
          <cell r="I997">
            <v>0.12</v>
          </cell>
          <cell r="J997">
            <v>1727</v>
          </cell>
          <cell r="K997">
            <v>0.1</v>
          </cell>
          <cell r="L997">
            <v>1688</v>
          </cell>
        </row>
        <row r="998">
          <cell r="C998">
            <v>8030020042</v>
          </cell>
          <cell r="D998" t="str">
            <v>暗装八角开关盒(带金属片)PVC电工配白77x77/Φ20/H60 联塑</v>
          </cell>
          <cell r="E998" t="str">
            <v>PVC Conduit Rib-piercing Gang Box (through reinforcement type, with 8 active feet, conncealed installation) 77x77 / dn20 / H60 White - LESSO</v>
          </cell>
        </row>
        <row r="998">
          <cell r="G998">
            <v>1640</v>
          </cell>
          <cell r="H998">
            <v>1640</v>
          </cell>
          <cell r="I998">
            <v>0.12</v>
          </cell>
          <cell r="J998">
            <v>1864</v>
          </cell>
          <cell r="K998">
            <v>0.1</v>
          </cell>
          <cell r="L998">
            <v>1822</v>
          </cell>
        </row>
        <row r="999">
          <cell r="C999">
            <v>8030020387</v>
          </cell>
          <cell r="D999" t="str">
            <v>槽、管线盒盖PVC电工套管配件白色 75x75 联塑</v>
          </cell>
          <cell r="E999" t="str">
            <v>PVC Conduit Gang Box Cover 75x75 Single White - LESSO</v>
          </cell>
        </row>
        <row r="999">
          <cell r="G999">
            <v>973</v>
          </cell>
          <cell r="H999">
            <v>973</v>
          </cell>
          <cell r="I999">
            <v>0.12</v>
          </cell>
          <cell r="J999">
            <v>1106</v>
          </cell>
          <cell r="K999">
            <v>0.1</v>
          </cell>
          <cell r="L999">
            <v>1081</v>
          </cell>
        </row>
        <row r="1000">
          <cell r="C1000">
            <v>8030020920</v>
          </cell>
          <cell r="D1000" t="str">
            <v>槽、管线盒盖PVC电工套管配件白色 77x77 联塑</v>
          </cell>
          <cell r="E1000" t="str">
            <v>PVC Conduit Gang Box Cover 77x77 White - LESSO</v>
          </cell>
        </row>
        <row r="1000">
          <cell r="G1000">
            <v>686</v>
          </cell>
          <cell r="H1000">
            <v>686</v>
          </cell>
          <cell r="I1000">
            <v>0.12</v>
          </cell>
          <cell r="J1000">
            <v>780</v>
          </cell>
          <cell r="K1000">
            <v>0.1</v>
          </cell>
          <cell r="L1000">
            <v>762</v>
          </cell>
        </row>
        <row r="1001">
          <cell r="C1001">
            <v>8030020369</v>
          </cell>
          <cell r="D1001" t="str">
            <v>槽、管线盒盖PVC电工套管配件白色 86x86 联塑</v>
          </cell>
          <cell r="E1001" t="str">
            <v>PVC Conduit Gang Box Cover 86x86 Single White - LESSO</v>
          </cell>
        </row>
        <row r="1001">
          <cell r="G1001">
            <v>941</v>
          </cell>
          <cell r="H1001">
            <v>941</v>
          </cell>
          <cell r="I1001">
            <v>0.12</v>
          </cell>
          <cell r="J1001">
            <v>1070</v>
          </cell>
          <cell r="K1001">
            <v>0.1</v>
          </cell>
          <cell r="L1001">
            <v>1046</v>
          </cell>
        </row>
        <row r="1002">
          <cell r="C1002">
            <v>8030020386</v>
          </cell>
          <cell r="D1002" t="str">
            <v>槽、管线盒盖PVC电工套管配件白色 164x77 联塑</v>
          </cell>
          <cell r="E1002" t="str">
            <v>PVC Conduit Gang Box Cover 164x77 Single White - LESSO</v>
          </cell>
        </row>
        <row r="1002">
          <cell r="G1002">
            <v>1712</v>
          </cell>
          <cell r="H1002">
            <v>1712</v>
          </cell>
          <cell r="I1002">
            <v>0.12</v>
          </cell>
          <cell r="J1002">
            <v>1946</v>
          </cell>
          <cell r="K1002">
            <v>0.1</v>
          </cell>
          <cell r="L1002">
            <v>1902</v>
          </cell>
        </row>
        <row r="1003">
          <cell r="C1003">
            <v>8030021196</v>
          </cell>
          <cell r="D1003" t="str">
            <v>八角盒盖PVC电工套管配件白色 77x77 联塑</v>
          </cell>
          <cell r="E1003" t="str">
            <v>PVC Conduit Box Cover (with 8 active feets) 77x77 White - LESSO</v>
          </cell>
        </row>
        <row r="1003">
          <cell r="G1003">
            <v>1362</v>
          </cell>
          <cell r="H1003">
            <v>1362</v>
          </cell>
          <cell r="I1003">
            <v>0.12</v>
          </cell>
          <cell r="J1003">
            <v>1548</v>
          </cell>
          <cell r="K1003">
            <v>0.1</v>
          </cell>
          <cell r="L1003">
            <v>1513</v>
          </cell>
        </row>
        <row r="1004">
          <cell r="C1004">
            <v>8030020255</v>
          </cell>
          <cell r="D1004" t="str">
            <v>圆接线盒盖PVC电工套管配件白色 Φ65 联塑</v>
          </cell>
          <cell r="E1004" t="str">
            <v>PVC Conduit Box Cover dn65 White - LESSO</v>
          </cell>
        </row>
        <row r="1004">
          <cell r="G1004">
            <v>359</v>
          </cell>
          <cell r="H1004">
            <v>359</v>
          </cell>
          <cell r="I1004">
            <v>0.12</v>
          </cell>
          <cell r="J1004">
            <v>408</v>
          </cell>
          <cell r="K1004">
            <v>0.1</v>
          </cell>
          <cell r="L1004">
            <v>399</v>
          </cell>
        </row>
        <row r="1005">
          <cell r="C1005">
            <v>8030021234</v>
          </cell>
          <cell r="D1005" t="str">
            <v>管接头(印尼版)PVC电工套管配件白色 Φ20 联塑</v>
          </cell>
          <cell r="E1005" t="str">
            <v>PVC Conduit Flexible Coupling dn20 White - LESSO</v>
          </cell>
        </row>
        <row r="1005">
          <cell r="G1005">
            <v>681</v>
          </cell>
          <cell r="H1005">
            <v>681</v>
          </cell>
          <cell r="I1005">
            <v>0.12</v>
          </cell>
          <cell r="J1005">
            <v>774</v>
          </cell>
          <cell r="K1005">
            <v>0.1</v>
          </cell>
          <cell r="L1005">
            <v>757</v>
          </cell>
        </row>
        <row r="1006">
          <cell r="C1006">
            <v>8030020126</v>
          </cell>
          <cell r="D1006" t="str">
            <v>管夹PVC电工套管配件白色 Φ16 联塑</v>
          </cell>
          <cell r="E1006" t="str">
            <v>PVC Conduit Clamp dn16 White - LESSO</v>
          </cell>
        </row>
        <row r="1006">
          <cell r="G1006">
            <v>341</v>
          </cell>
          <cell r="H1006">
            <v>341</v>
          </cell>
          <cell r="I1006">
            <v>0.12</v>
          </cell>
          <cell r="J1006">
            <v>388</v>
          </cell>
          <cell r="K1006">
            <v>0.1</v>
          </cell>
          <cell r="L1006">
            <v>379</v>
          </cell>
        </row>
        <row r="1007">
          <cell r="C1007">
            <v>8030020127</v>
          </cell>
          <cell r="D1007" t="str">
            <v>管夹PVC电工套管配件白色 Φ20 联塑</v>
          </cell>
          <cell r="E1007" t="str">
            <v>PVC Conduit Clamp dn20 White - LESSO</v>
          </cell>
        </row>
        <row r="1007">
          <cell r="G1007">
            <v>195</v>
          </cell>
          <cell r="H1007">
            <v>195</v>
          </cell>
          <cell r="I1007">
            <v>0.12</v>
          </cell>
          <cell r="J1007">
            <v>222</v>
          </cell>
          <cell r="K1007">
            <v>0.1</v>
          </cell>
          <cell r="L1007">
            <v>217</v>
          </cell>
        </row>
        <row r="1008">
          <cell r="C1008">
            <v>8030020128</v>
          </cell>
          <cell r="D1008" t="str">
            <v>管夹PVC电工套管配件白色 Φ25 联塑</v>
          </cell>
          <cell r="E1008" t="str">
            <v>PVC Conduit Clamp dn25 White - LESSO</v>
          </cell>
        </row>
        <row r="1008">
          <cell r="G1008">
            <v>292</v>
          </cell>
          <cell r="H1008">
            <v>292</v>
          </cell>
          <cell r="I1008">
            <v>0.12</v>
          </cell>
          <cell r="J1008">
            <v>332</v>
          </cell>
          <cell r="K1008">
            <v>0.1</v>
          </cell>
          <cell r="L1008">
            <v>324</v>
          </cell>
        </row>
        <row r="1009">
          <cell r="C1009">
            <v>8030020129</v>
          </cell>
          <cell r="D1009" t="str">
            <v>管夹PVC电工套管配件白色 Φ32 联塑</v>
          </cell>
          <cell r="E1009" t="str">
            <v>PVC Conduit Clamp dn32 White - LESSO</v>
          </cell>
        </row>
        <row r="1009">
          <cell r="G1009">
            <v>389</v>
          </cell>
          <cell r="H1009">
            <v>389</v>
          </cell>
          <cell r="I1009">
            <v>0.12</v>
          </cell>
          <cell r="J1009">
            <v>443</v>
          </cell>
          <cell r="K1009">
            <v>0.1</v>
          </cell>
          <cell r="L1009">
            <v>432</v>
          </cell>
        </row>
        <row r="1010">
          <cell r="C1010">
            <v>8030020130</v>
          </cell>
          <cell r="D1010" t="str">
            <v>管夹PVC电工套管配件白色 Φ40 联塑</v>
          </cell>
          <cell r="E1010" t="str">
            <v>PVC Conduit Clamp dn40 White - LESSO</v>
          </cell>
        </row>
        <row r="1010">
          <cell r="G1010">
            <v>1686</v>
          </cell>
          <cell r="H1010">
            <v>1686</v>
          </cell>
          <cell r="I1010">
            <v>0.12</v>
          </cell>
          <cell r="J1010">
            <v>1916</v>
          </cell>
          <cell r="K1010">
            <v>0.1</v>
          </cell>
          <cell r="L1010">
            <v>1873</v>
          </cell>
        </row>
        <row r="1011">
          <cell r="C1011">
            <v>8030021111</v>
          </cell>
          <cell r="D1011" t="str">
            <v>U型管夹ⅡPVC电工套管配件白色 Φ20 联塑</v>
          </cell>
          <cell r="E1011" t="str">
            <v>PVC Conduit U Style Clamp (II) dn20 White - LESSO</v>
          </cell>
        </row>
        <row r="1011">
          <cell r="G1011">
            <v>195</v>
          </cell>
          <cell r="H1011">
            <v>195</v>
          </cell>
          <cell r="I1011">
            <v>0.12</v>
          </cell>
          <cell r="J1011">
            <v>222</v>
          </cell>
          <cell r="K1011">
            <v>0.1</v>
          </cell>
          <cell r="L1011">
            <v>217</v>
          </cell>
        </row>
        <row r="1012">
          <cell r="C1012">
            <v>8030021112</v>
          </cell>
          <cell r="D1012" t="str">
            <v>U型管夹ⅡPVC电工套管配件白色 Φ25 联塑</v>
          </cell>
          <cell r="E1012" t="str">
            <v>PVC Conduit U Style Clamp (II) dn25 White - LESSO</v>
          </cell>
        </row>
        <row r="1012">
          <cell r="G1012">
            <v>341</v>
          </cell>
          <cell r="H1012">
            <v>341</v>
          </cell>
          <cell r="I1012">
            <v>0.12</v>
          </cell>
          <cell r="J1012">
            <v>388</v>
          </cell>
          <cell r="K1012">
            <v>0.1</v>
          </cell>
          <cell r="L1012">
            <v>379</v>
          </cell>
        </row>
        <row r="1013">
          <cell r="C1013">
            <v>8030020594</v>
          </cell>
          <cell r="D1013" t="str">
            <v>U型管夹PVC电工套管配件白色 Φ20 联塑</v>
          </cell>
          <cell r="E1013" t="str">
            <v>PVC Conduit U Style Clamp dn20 White - LESSO</v>
          </cell>
        </row>
        <row r="1013">
          <cell r="G1013">
            <v>162</v>
          </cell>
          <cell r="H1013">
            <v>162</v>
          </cell>
          <cell r="I1013">
            <v>0.12</v>
          </cell>
          <cell r="J1013">
            <v>185</v>
          </cell>
          <cell r="K1013">
            <v>0.1</v>
          </cell>
          <cell r="L1013">
            <v>180</v>
          </cell>
        </row>
        <row r="1014">
          <cell r="C1014">
            <v>8030020595</v>
          </cell>
          <cell r="D1014" t="str">
            <v>U型管夹PVC电工套管配件白色 Φ25 联塑</v>
          </cell>
          <cell r="E1014" t="str">
            <v>PVC Conduit U Style Clamp dn25 White - LESSO</v>
          </cell>
        </row>
        <row r="1014">
          <cell r="G1014">
            <v>195</v>
          </cell>
          <cell r="H1014">
            <v>195</v>
          </cell>
          <cell r="I1014">
            <v>0.12</v>
          </cell>
          <cell r="J1014">
            <v>222</v>
          </cell>
          <cell r="K1014">
            <v>0.1</v>
          </cell>
          <cell r="L1014">
            <v>217</v>
          </cell>
        </row>
        <row r="1015">
          <cell r="C1015">
            <v>8030020596</v>
          </cell>
          <cell r="D1015" t="str">
            <v>U型管夹PVC电工套管配件白色 Φ32 联塑</v>
          </cell>
          <cell r="E1015" t="str">
            <v>PVC Conduit U Style Clamp dn32 White - LESSO</v>
          </cell>
        </row>
        <row r="1015">
          <cell r="G1015">
            <v>243</v>
          </cell>
          <cell r="H1015">
            <v>243</v>
          </cell>
          <cell r="I1015">
            <v>0.12</v>
          </cell>
          <cell r="J1015">
            <v>277</v>
          </cell>
          <cell r="K1015">
            <v>0.1</v>
          </cell>
          <cell r="L1015">
            <v>270</v>
          </cell>
        </row>
        <row r="1016">
          <cell r="C1016">
            <v>8030020737</v>
          </cell>
          <cell r="D1016" t="str">
            <v>双U管夹PVC电工套管配件白色 Φ20 联塑</v>
          </cell>
          <cell r="E1016" t="str">
            <v>PVC Conduit Double U Clamp dn20 White - LESSO</v>
          </cell>
        </row>
        <row r="1016">
          <cell r="G1016">
            <v>341</v>
          </cell>
          <cell r="H1016">
            <v>341</v>
          </cell>
          <cell r="I1016">
            <v>0.12</v>
          </cell>
          <cell r="J1016">
            <v>388</v>
          </cell>
          <cell r="K1016">
            <v>0.1</v>
          </cell>
          <cell r="L1016">
            <v>379</v>
          </cell>
        </row>
        <row r="1017">
          <cell r="C1017">
            <v>8030020158</v>
          </cell>
          <cell r="D1017" t="str">
            <v>管塞PVC电工套管配件白色 Φ16 联塑</v>
          </cell>
          <cell r="E1017" t="str">
            <v>PVC Conduit Plug dn16 White - LESSO</v>
          </cell>
        </row>
        <row r="1017">
          <cell r="G1017">
            <v>341</v>
          </cell>
          <cell r="H1017">
            <v>341</v>
          </cell>
          <cell r="I1017">
            <v>0.12</v>
          </cell>
          <cell r="J1017">
            <v>388</v>
          </cell>
          <cell r="K1017">
            <v>0.1</v>
          </cell>
          <cell r="L1017">
            <v>379</v>
          </cell>
        </row>
        <row r="1018">
          <cell r="C1018">
            <v>8030020159</v>
          </cell>
          <cell r="D1018" t="str">
            <v>管塞PVC电工套管配件白色 Φ20 联塑</v>
          </cell>
          <cell r="E1018" t="str">
            <v>PVC Conduit Plug dn20 White - LESSO</v>
          </cell>
        </row>
        <row r="1018">
          <cell r="G1018">
            <v>341</v>
          </cell>
          <cell r="H1018">
            <v>341</v>
          </cell>
          <cell r="I1018">
            <v>0.12</v>
          </cell>
          <cell r="J1018">
            <v>388</v>
          </cell>
          <cell r="K1018">
            <v>0.1</v>
          </cell>
          <cell r="L1018">
            <v>379</v>
          </cell>
        </row>
        <row r="1019">
          <cell r="C1019">
            <v>8030020160</v>
          </cell>
          <cell r="D1019" t="str">
            <v>管塞PVC电工套管配件白色 Φ25 联塑</v>
          </cell>
          <cell r="E1019" t="str">
            <v>PVC Conduit Plug dn25 White - LESSO</v>
          </cell>
        </row>
        <row r="1019">
          <cell r="G1019">
            <v>341</v>
          </cell>
          <cell r="H1019">
            <v>341</v>
          </cell>
          <cell r="I1019">
            <v>0.12</v>
          </cell>
          <cell r="J1019">
            <v>388</v>
          </cell>
          <cell r="K1019">
            <v>0.1</v>
          </cell>
          <cell r="L1019">
            <v>379</v>
          </cell>
        </row>
        <row r="1020">
          <cell r="C1020">
            <v>8030020808</v>
          </cell>
          <cell r="D1020" t="str">
            <v>波纹管PVC电工套管白色 dn20 50M 联塑</v>
          </cell>
          <cell r="E1020" t="str">
            <v>PVC Conduit Corrugated Conduit dn20 50M White - LESSO</v>
          </cell>
        </row>
        <row r="1020">
          <cell r="G1020">
            <v>84324</v>
          </cell>
          <cell r="H1020">
            <v>84324</v>
          </cell>
          <cell r="I1020">
            <v>0.12</v>
          </cell>
          <cell r="J1020">
            <v>95823</v>
          </cell>
          <cell r="K1020">
            <v>0.1</v>
          </cell>
          <cell r="L1020">
            <v>93693</v>
          </cell>
        </row>
        <row r="1021">
          <cell r="C1021">
            <v>8030020812</v>
          </cell>
          <cell r="D1021" t="str">
            <v>波纹管PVC电工套管白色 dn25 50M 联塑</v>
          </cell>
          <cell r="E1021" t="str">
            <v>PVC Conduit Corrugated Conduit dn25 50M White - LESSO</v>
          </cell>
        </row>
        <row r="1021">
          <cell r="G1021">
            <v>135856</v>
          </cell>
          <cell r="H1021">
            <v>135856</v>
          </cell>
          <cell r="I1021">
            <v>0.12</v>
          </cell>
          <cell r="J1021">
            <v>154382</v>
          </cell>
          <cell r="K1021">
            <v>0.1</v>
          </cell>
          <cell r="L1021">
            <v>150951</v>
          </cell>
        </row>
        <row r="1022">
          <cell r="C1022">
            <v>8030020754</v>
          </cell>
          <cell r="D1022" t="str">
            <v>波纹管PVC电工套管白色 dn32 100M 联塑</v>
          </cell>
          <cell r="E1022" t="str">
            <v>PVC Corrugated Conduit dn32 100M White - LESSO</v>
          </cell>
        </row>
        <row r="1022">
          <cell r="G1022">
            <v>344324</v>
          </cell>
          <cell r="H1022">
            <v>344324</v>
          </cell>
          <cell r="I1022">
            <v>0.12</v>
          </cell>
          <cell r="J1022">
            <v>391278</v>
          </cell>
          <cell r="K1022">
            <v>0.1</v>
          </cell>
          <cell r="L1022">
            <v>382582</v>
          </cell>
        </row>
        <row r="1023">
          <cell r="C1023">
            <v>8030021225</v>
          </cell>
          <cell r="D1023" t="str">
            <v>波纹管管索(Ⅱ)PVC电工套管配件白色 Φ20 联塑</v>
          </cell>
          <cell r="E1023" t="str">
            <v>PVC conduit Male Adapter (for corrugated conduit) II dn20 White - LESSO</v>
          </cell>
        </row>
        <row r="1023">
          <cell r="G1023">
            <v>510</v>
          </cell>
          <cell r="H1023">
            <v>510</v>
          </cell>
          <cell r="I1023">
            <v>0.12</v>
          </cell>
          <cell r="J1023">
            <v>580</v>
          </cell>
          <cell r="K1023">
            <v>0.1</v>
          </cell>
          <cell r="L1023">
            <v>567</v>
          </cell>
        </row>
        <row r="1024">
          <cell r="C1024">
            <v>8030020351</v>
          </cell>
          <cell r="D1024" t="str">
            <v>波纹管管索PVC电工套管配件白色 Φ20 联塑</v>
          </cell>
          <cell r="E1024" t="str">
            <v>PVC Conduit Male Adapter dn20 White - LESSO</v>
          </cell>
        </row>
        <row r="1024">
          <cell r="G1024">
            <v>523</v>
          </cell>
          <cell r="H1024">
            <v>523</v>
          </cell>
          <cell r="I1024">
            <v>0.12</v>
          </cell>
          <cell r="J1024">
            <v>595</v>
          </cell>
          <cell r="K1024">
            <v>0.1</v>
          </cell>
          <cell r="L1024">
            <v>581</v>
          </cell>
        </row>
        <row r="1025">
          <cell r="C1025">
            <v>8030020352</v>
          </cell>
          <cell r="D1025" t="str">
            <v>波纹管管索PVC电工套管配件白色 Φ25 联塑</v>
          </cell>
          <cell r="E1025" t="str">
            <v>PVC Conduit Male Adapter dn25 White - LESSO</v>
          </cell>
        </row>
        <row r="1025">
          <cell r="G1025">
            <v>836</v>
          </cell>
          <cell r="H1025">
            <v>836</v>
          </cell>
          <cell r="I1025">
            <v>0.12</v>
          </cell>
          <cell r="J1025">
            <v>950</v>
          </cell>
          <cell r="K1025">
            <v>0.1</v>
          </cell>
          <cell r="L1025">
            <v>929</v>
          </cell>
        </row>
        <row r="1026">
          <cell r="C1026">
            <v>8030020353</v>
          </cell>
          <cell r="D1026" t="str">
            <v>波纹管管索PVC电工套管配件白色 Φ32 联塑</v>
          </cell>
          <cell r="E1026" t="str">
            <v>PVC Conduit Male Adapter dn32 White - LESSO</v>
          </cell>
        </row>
        <row r="1026">
          <cell r="G1026">
            <v>61396</v>
          </cell>
          <cell r="H1026">
            <v>61396</v>
          </cell>
          <cell r="I1026">
            <v>0.12</v>
          </cell>
          <cell r="J1026">
            <v>69769</v>
          </cell>
          <cell r="K1026">
            <v>0.1</v>
          </cell>
          <cell r="L1026">
            <v>68218</v>
          </cell>
        </row>
        <row r="1027">
          <cell r="C1027">
            <v>8030020790</v>
          </cell>
          <cell r="D1027" t="str">
            <v>波纹管转换接头PVC电工套管配件白色 Φ20 联塑</v>
          </cell>
          <cell r="E1027" t="str">
            <v>PVC Conduit Change Union (for corrugated conduit) dn20 White - LESSO</v>
          </cell>
        </row>
        <row r="1027">
          <cell r="G1027">
            <v>378</v>
          </cell>
          <cell r="H1027">
            <v>378</v>
          </cell>
          <cell r="I1027">
            <v>0.12</v>
          </cell>
          <cell r="J1027">
            <v>430</v>
          </cell>
          <cell r="K1027">
            <v>0.1</v>
          </cell>
          <cell r="L1027">
            <v>420</v>
          </cell>
        </row>
        <row r="1028">
          <cell r="C1028">
            <v>8030020935</v>
          </cell>
          <cell r="D1028" t="str">
            <v>明装开关盒PVC电工配印尼白 86x86/Φ20/H46 联塑</v>
          </cell>
          <cell r="E1028" t="str">
            <v>PVC Conduit Gang Box (Surface Installation) 86x86 / dn20 / H46 White(INA) - LESSO</v>
          </cell>
        </row>
        <row r="1028">
          <cell r="G1028">
            <v>3746</v>
          </cell>
          <cell r="H1028">
            <v>3746</v>
          </cell>
          <cell r="I1028">
            <v>0.12</v>
          </cell>
          <cell r="J1028">
            <v>4257</v>
          </cell>
          <cell r="K1028">
            <v>0.1</v>
          </cell>
          <cell r="L1028">
            <v>4162</v>
          </cell>
        </row>
        <row r="1029">
          <cell r="C1029">
            <v>8030020936</v>
          </cell>
          <cell r="D1029" t="str">
            <v>明装开关盒PVC电工配印尼白 86x86/Φ20Φ25/H46 联塑</v>
          </cell>
          <cell r="E1029" t="str">
            <v>PVC Conduit Gang Box (Surface Installation) 86x86 / dn20 dn25 / H46 White(INA) - LESSO</v>
          </cell>
        </row>
        <row r="1029">
          <cell r="G1029">
            <v>3746</v>
          </cell>
          <cell r="H1029">
            <v>3746</v>
          </cell>
          <cell r="I1029">
            <v>0.12</v>
          </cell>
          <cell r="J1029">
            <v>4257</v>
          </cell>
          <cell r="K1029">
            <v>0.1</v>
          </cell>
          <cell r="L1029">
            <v>4162</v>
          </cell>
        </row>
        <row r="1030">
          <cell r="C1030">
            <v>8030020361</v>
          </cell>
          <cell r="D1030" t="str">
            <v>弯管弹簧PVC电工套管配件工具 Φ20B 联塑</v>
          </cell>
          <cell r="E1030" t="str">
            <v>PVC Conduit Bending Spring (for Gade B Conduit) dn20 White - LESSO</v>
          </cell>
        </row>
        <row r="1030">
          <cell r="G1030">
            <v>12908</v>
          </cell>
          <cell r="H1030">
            <v>12908</v>
          </cell>
          <cell r="I1030">
            <v>0.12</v>
          </cell>
          <cell r="J1030">
            <v>14669</v>
          </cell>
          <cell r="K1030">
            <v>0.1</v>
          </cell>
          <cell r="L1030">
            <v>14342</v>
          </cell>
        </row>
        <row r="1031">
          <cell r="C1031">
            <v>8030020364</v>
          </cell>
          <cell r="D1031" t="str">
            <v>弯管弹簧PVC电工套管配件工具 Φ25B 联塑</v>
          </cell>
          <cell r="E1031" t="str">
            <v>PVC Conduit Bending Spring (for Gade B Conduit) dn25 White - LESSO</v>
          </cell>
        </row>
        <row r="1031">
          <cell r="G1031">
            <v>17027</v>
          </cell>
          <cell r="H1031">
            <v>17027</v>
          </cell>
          <cell r="I1031">
            <v>0.12</v>
          </cell>
          <cell r="J1031">
            <v>19349</v>
          </cell>
          <cell r="K1031">
            <v>0.1</v>
          </cell>
          <cell r="L1031">
            <v>18919</v>
          </cell>
        </row>
        <row r="1032">
          <cell r="C1032">
            <v>8030020376</v>
          </cell>
          <cell r="D1032" t="str">
            <v>弯管弹簧PVC电工套管配件工具 Φ32B 联塑</v>
          </cell>
          <cell r="E1032" t="str">
            <v>PVC Conduit Bending Spring(for Gade B Conduit) /dn32 - LESSO</v>
          </cell>
        </row>
        <row r="1032">
          <cell r="G1032">
            <v>25784</v>
          </cell>
          <cell r="H1032">
            <v>25784</v>
          </cell>
          <cell r="I1032">
            <v>0.12</v>
          </cell>
          <cell r="J1032">
            <v>29300</v>
          </cell>
          <cell r="K1032">
            <v>0.1</v>
          </cell>
          <cell r="L1032">
            <v>28649</v>
          </cell>
        </row>
        <row r="1033">
          <cell r="C1033">
            <v>8030020076</v>
          </cell>
          <cell r="D1033" t="str">
            <v>中穿筋暗装开关盒ⅡPVC电工套管配件白色 77x77/Φ20/60 联塑</v>
          </cell>
          <cell r="E1033" t="str">
            <v>PVC Conduit Gang Box with Internal Rib II (conncealed Installation) 77x77 / dn20 / 60 White - LESSO</v>
          </cell>
        </row>
        <row r="1033">
          <cell r="G1033">
            <v>4427</v>
          </cell>
          <cell r="H1033">
            <v>4427</v>
          </cell>
          <cell r="I1033">
            <v>0.12</v>
          </cell>
          <cell r="J1033">
            <v>5031</v>
          </cell>
          <cell r="K1033">
            <v>0.1</v>
          </cell>
          <cell r="L1033">
            <v>4919</v>
          </cell>
        </row>
        <row r="1034">
          <cell r="C1034">
            <v>8030020077</v>
          </cell>
          <cell r="D1034" t="str">
            <v>中穿筋暗装开关盒ⅡPVC电工套管配件白色 77x77/Φ20/70 联塑</v>
          </cell>
          <cell r="E1034" t="str">
            <v>PVC Conduit Gang Box with Internal Rib II (conncealed Installation) 77x77 / dn20 / 70 White - LESSO</v>
          </cell>
        </row>
        <row r="1034">
          <cell r="G1034">
            <v>4768</v>
          </cell>
          <cell r="H1034">
            <v>4768</v>
          </cell>
          <cell r="I1034">
            <v>0.12</v>
          </cell>
          <cell r="J1034">
            <v>5419</v>
          </cell>
          <cell r="K1034">
            <v>0.1</v>
          </cell>
          <cell r="L1034">
            <v>5298</v>
          </cell>
        </row>
        <row r="1035">
          <cell r="C1035">
            <v>8030020389</v>
          </cell>
          <cell r="D1035" t="str">
            <v>中穿筋暗装开关盒ⅡPVC电工套管配件白色 77x77/Φ20Φ25/70 联塑</v>
          </cell>
          <cell r="E1035" t="str">
            <v>PVC Conduit Gang Box with Internal Rib II (conncealed Installation) 77x77 / dn20 dn25 / 70 White - LESSO</v>
          </cell>
        </row>
        <row r="1035">
          <cell r="G1035">
            <v>4768</v>
          </cell>
          <cell r="H1035">
            <v>4768</v>
          </cell>
          <cell r="I1035">
            <v>0.12</v>
          </cell>
          <cell r="J1035">
            <v>5419</v>
          </cell>
          <cell r="K1035">
            <v>0.1</v>
          </cell>
          <cell r="L1035">
            <v>5298</v>
          </cell>
        </row>
        <row r="1036">
          <cell r="C1036">
            <v>8030020078</v>
          </cell>
          <cell r="D1036" t="str">
            <v>中穿筋暗装开关盒ⅡPVC电工套管配件白色 77x77/Φ25/70 联塑</v>
          </cell>
          <cell r="E1036" t="str">
            <v>PVC Conduit Gang Box with Internal Rib II (conncealed Installation) 77x77 / dn25 / 70 White - LESSO</v>
          </cell>
        </row>
        <row r="1036">
          <cell r="G1036">
            <v>4768</v>
          </cell>
          <cell r="H1036">
            <v>4768</v>
          </cell>
          <cell r="I1036">
            <v>0.12</v>
          </cell>
          <cell r="J1036">
            <v>5419</v>
          </cell>
          <cell r="K1036">
            <v>0.1</v>
          </cell>
          <cell r="L1036">
            <v>5298</v>
          </cell>
        </row>
        <row r="1037">
          <cell r="C1037">
            <v>8010036442</v>
          </cell>
          <cell r="D1037" t="str">
            <v>给水用聚乙烯HDPE管盘管(1.0MPa)黑色 dn32 100M/卷(IDN)</v>
          </cell>
          <cell r="E1037" t="str">
            <v>HDPE Water Supply Coil Pipe (1.0Mpa) dn32 100M/roll Black(IDN)</v>
          </cell>
        </row>
        <row r="1037">
          <cell r="G1037">
            <v>526306</v>
          </cell>
          <cell r="H1037">
            <v>526306</v>
          </cell>
          <cell r="I1037">
            <v>0.12</v>
          </cell>
          <cell r="J1037">
            <v>598075</v>
          </cell>
          <cell r="K1037">
            <v>0.1</v>
          </cell>
          <cell r="L1037">
            <v>584784</v>
          </cell>
        </row>
        <row r="1038">
          <cell r="C1038">
            <v>8010036443</v>
          </cell>
          <cell r="D1038" t="str">
            <v>给水用聚乙烯HDPE管盘管(1.0MPa)黑色 dn32 50M/卷(IDN)</v>
          </cell>
          <cell r="E1038" t="str">
            <v>HDPE Water Supply Coil Pipe (1.0Mpa) dn32 50M/roll Black(IDN)</v>
          </cell>
        </row>
        <row r="1038">
          <cell r="G1038">
            <v>263153</v>
          </cell>
          <cell r="H1038">
            <v>263153</v>
          </cell>
          <cell r="I1038">
            <v>0.12</v>
          </cell>
          <cell r="J1038">
            <v>299038</v>
          </cell>
          <cell r="K1038">
            <v>0.1</v>
          </cell>
          <cell r="L1038">
            <v>292392</v>
          </cell>
        </row>
        <row r="1039">
          <cell r="C1039">
            <v>8010036452</v>
          </cell>
          <cell r="D1039" t="str">
            <v>给水用聚乙烯HDPE管盘管(1.0MPa)黑色 dn40 100M/卷(IDN)</v>
          </cell>
          <cell r="E1039" t="str">
            <v>HDPE Water Supply Coil Pipe (1.0Mpa) dn40 100M/roll Black(IDN)</v>
          </cell>
        </row>
        <row r="1039">
          <cell r="G1039">
            <v>808739</v>
          </cell>
          <cell r="H1039">
            <v>808739</v>
          </cell>
          <cell r="I1039">
            <v>0.12</v>
          </cell>
          <cell r="J1039">
            <v>919022</v>
          </cell>
          <cell r="K1039">
            <v>0.1</v>
          </cell>
          <cell r="L1039">
            <v>898599</v>
          </cell>
        </row>
        <row r="1040">
          <cell r="C1040">
            <v>8010036453</v>
          </cell>
          <cell r="D1040" t="str">
            <v>给水用聚乙烯HDPE管盘管(1.0MPa)黑色 dn40 50M/卷(IDN)</v>
          </cell>
          <cell r="E1040" t="str">
            <v>HDPE Water Supply Coil Pipe (1.0Mpa) dn40 50M/roll Black(IDN)</v>
          </cell>
        </row>
        <row r="1040">
          <cell r="G1040">
            <v>404369</v>
          </cell>
          <cell r="H1040">
            <v>404369</v>
          </cell>
          <cell r="I1040">
            <v>0.12</v>
          </cell>
          <cell r="J1040">
            <v>459511</v>
          </cell>
          <cell r="K1040">
            <v>0.1</v>
          </cell>
          <cell r="L1040">
            <v>449299</v>
          </cell>
        </row>
        <row r="1041">
          <cell r="C1041">
            <v>8010036462</v>
          </cell>
          <cell r="D1041" t="str">
            <v>给水用聚乙烯HDPE管盘管(1.0MPa)黑色 dn50 100M/卷(IDN)</v>
          </cell>
          <cell r="E1041" t="str">
            <v>HDPE Water Supply Coil Pipe (1.0Mpa) dn50 100M/roll Black(IDN)</v>
          </cell>
        </row>
        <row r="1041">
          <cell r="G1041">
            <v>1246396</v>
          </cell>
          <cell r="H1041">
            <v>1246396</v>
          </cell>
          <cell r="I1041">
            <v>0.12</v>
          </cell>
          <cell r="J1041">
            <v>1416360</v>
          </cell>
          <cell r="K1041">
            <v>0.1</v>
          </cell>
          <cell r="L1041">
            <v>1384884</v>
          </cell>
        </row>
        <row r="1042">
          <cell r="C1042">
            <v>8010036463</v>
          </cell>
          <cell r="D1042" t="str">
            <v>给水用聚乙烯HDPE管盘管(1.0MPa)黑色 dn50 50M/卷(IDN)</v>
          </cell>
          <cell r="E1042" t="str">
            <v>HDPE Water Supply Coil Pipe (1.0Mpa) dn50 50M/roll Black(IDN)</v>
          </cell>
        </row>
        <row r="1042">
          <cell r="G1042">
            <v>623198</v>
          </cell>
          <cell r="H1042">
            <v>623198</v>
          </cell>
          <cell r="I1042">
            <v>0.12</v>
          </cell>
          <cell r="J1042">
            <v>708180</v>
          </cell>
          <cell r="K1042">
            <v>0.1</v>
          </cell>
          <cell r="L1042">
            <v>692442</v>
          </cell>
        </row>
        <row r="1043">
          <cell r="C1043">
            <v>8010036472</v>
          </cell>
          <cell r="D1043" t="str">
            <v>给水用聚乙烯HDPE管盘管(1.0MPa)黑色 dn63 100M/卷(IDN)</v>
          </cell>
          <cell r="E1043" t="str">
            <v>HDPE Water Supply Coil Pipe (1.0Mpa) dn63 100M/roll Black(IDN)</v>
          </cell>
        </row>
        <row r="1043">
          <cell r="G1043">
            <v>1985946</v>
          </cell>
          <cell r="H1043">
            <v>1985946</v>
          </cell>
          <cell r="I1043">
            <v>0.12</v>
          </cell>
          <cell r="J1043">
            <v>2256757</v>
          </cell>
          <cell r="K1043">
            <v>0.1</v>
          </cell>
          <cell r="L1043">
            <v>2206607</v>
          </cell>
        </row>
        <row r="1044">
          <cell r="C1044">
            <v>8010036473</v>
          </cell>
          <cell r="D1044" t="str">
            <v>给水用聚乙烯HDPE管盘管(1.0MPa)黑色 dn63 50M/卷(IDN)</v>
          </cell>
          <cell r="E1044" t="str">
            <v>HDPE Water Supply Coil Pipe (1.0Mpa) dn63 50M/roll Black(IDN)</v>
          </cell>
        </row>
        <row r="1044">
          <cell r="G1044">
            <v>992973</v>
          </cell>
          <cell r="H1044">
            <v>992973</v>
          </cell>
          <cell r="I1044">
            <v>0.12</v>
          </cell>
          <cell r="J1044">
            <v>1128379</v>
          </cell>
          <cell r="K1044">
            <v>0.1</v>
          </cell>
          <cell r="L1044">
            <v>1103303</v>
          </cell>
        </row>
        <row r="1045">
          <cell r="C1045">
            <v>8010036482</v>
          </cell>
          <cell r="D1045" t="str">
            <v>给水用聚乙烯HDPE管盘管(1.0MPa)黑色 dn75 50M/卷(IDN)</v>
          </cell>
          <cell r="E1045" t="str">
            <v>HDPE Water Supply Coil Pipe (1.0Mpa) dn75 50M/roll Black(IDN)</v>
          </cell>
        </row>
        <row r="1045">
          <cell r="G1045">
            <v>1398739</v>
          </cell>
          <cell r="H1045">
            <v>1398739</v>
          </cell>
          <cell r="I1045">
            <v>0.12</v>
          </cell>
          <cell r="J1045">
            <v>1589477</v>
          </cell>
          <cell r="K1045">
            <v>0.1</v>
          </cell>
          <cell r="L1045">
            <v>1554154</v>
          </cell>
        </row>
        <row r="1046">
          <cell r="C1046">
            <v>8010036483</v>
          </cell>
          <cell r="D1046" t="str">
            <v>给水用聚乙烯HDPE管盘管(1.0MPa)黑色 dn75 100M/卷(IDN)</v>
          </cell>
          <cell r="E1046" t="str">
            <v>HDPE Water Supply Coil Pipe (1.0Mpa) dn75 100M/roll Black(IDN)</v>
          </cell>
        </row>
        <row r="1046">
          <cell r="G1046">
            <v>2797477</v>
          </cell>
          <cell r="H1046">
            <v>2797477</v>
          </cell>
          <cell r="I1046">
            <v>0.12</v>
          </cell>
          <cell r="J1046">
            <v>3178952</v>
          </cell>
          <cell r="K1046">
            <v>0.1</v>
          </cell>
          <cell r="L1046">
            <v>3108308</v>
          </cell>
        </row>
        <row r="1047">
          <cell r="C1047">
            <v>8010036492</v>
          </cell>
          <cell r="D1047" t="str">
            <v>给水用聚乙烯HDPE管盘管(1.0MPa)黑色 dn90 100M/卷(IDN)</v>
          </cell>
          <cell r="E1047" t="str">
            <v>HDPE Water Supply Coil Pipe (1.0Mpa) dn90 100M/roll Black(IDN)</v>
          </cell>
        </row>
        <row r="1047">
          <cell r="G1047">
            <v>4041171</v>
          </cell>
          <cell r="H1047">
            <v>4041171</v>
          </cell>
          <cell r="I1047">
            <v>0.12</v>
          </cell>
          <cell r="J1047">
            <v>4592240</v>
          </cell>
          <cell r="K1047">
            <v>0.1</v>
          </cell>
          <cell r="L1047">
            <v>4490190</v>
          </cell>
        </row>
        <row r="1048">
          <cell r="C1048">
            <v>8010036493</v>
          </cell>
          <cell r="D1048" t="str">
            <v>给水用聚乙烯HDPE管盘管(1.0MPa)黑色 dn90 50M/卷(IDN)</v>
          </cell>
          <cell r="E1048" t="str">
            <v>HDPE Water Supply Coil Pipe (1.0Mpa) dn90 50M/roll Black(IDN)</v>
          </cell>
        </row>
        <row r="1048">
          <cell r="G1048">
            <v>2020586</v>
          </cell>
          <cell r="H1048">
            <v>2020586</v>
          </cell>
          <cell r="I1048">
            <v>0.12</v>
          </cell>
          <cell r="J1048">
            <v>2296121</v>
          </cell>
          <cell r="K1048">
            <v>0.1</v>
          </cell>
          <cell r="L1048">
            <v>2245096</v>
          </cell>
        </row>
        <row r="1049">
          <cell r="C1049">
            <v>8010036502</v>
          </cell>
          <cell r="D1049" t="str">
            <v>给水用聚乙烯HDPE管盘管(1.0MPa)黑色 dn110 100M/卷(IDN)</v>
          </cell>
          <cell r="E1049" t="str">
            <v>HDPE Water Supply Coil Pipe (1.0Mpa) dn110 100M/roll Black(IDN)</v>
          </cell>
        </row>
        <row r="1049">
          <cell r="G1049">
            <v>6032613</v>
          </cell>
          <cell r="H1049">
            <v>6032613</v>
          </cell>
          <cell r="I1049">
            <v>0.12</v>
          </cell>
          <cell r="J1049">
            <v>6855243</v>
          </cell>
          <cell r="K1049">
            <v>0.1</v>
          </cell>
          <cell r="L1049">
            <v>6702903</v>
          </cell>
        </row>
        <row r="1050">
          <cell r="C1050">
            <v>8010036503</v>
          </cell>
          <cell r="D1050" t="str">
            <v>给水用聚乙烯HDPE管盘管(1.0MPa)黑色 dn110 50M/卷(IDN)</v>
          </cell>
          <cell r="E1050" t="str">
            <v>HDPE Water Supply Coil Pipe (1.0Mpa) dn110 50M/roll Black(IDN)</v>
          </cell>
        </row>
        <row r="1050">
          <cell r="G1050">
            <v>3016306</v>
          </cell>
          <cell r="H1050">
            <v>3016306</v>
          </cell>
          <cell r="I1050">
            <v>0.12</v>
          </cell>
          <cell r="J1050">
            <v>3427621</v>
          </cell>
          <cell r="K1050">
            <v>0.1</v>
          </cell>
          <cell r="L1050">
            <v>3351451</v>
          </cell>
        </row>
        <row r="1051">
          <cell r="C1051">
            <v>8010036540</v>
          </cell>
          <cell r="D1051" t="str">
            <v>给水用聚乙烯HDPE直管(1.0MPa)黑色 dn32 5.8M/根(IDN)</v>
          </cell>
          <cell r="E1051" t="str">
            <v>HDPE Water Supply Pipe (1.0Mpa) dn32 5.8M/pcs Black(IDN)</v>
          </cell>
        </row>
        <row r="1051">
          <cell r="G1051">
            <v>30523</v>
          </cell>
          <cell r="H1051">
            <v>30523</v>
          </cell>
          <cell r="I1051">
            <v>0.12</v>
          </cell>
          <cell r="J1051">
            <v>34686</v>
          </cell>
          <cell r="K1051">
            <v>0.1</v>
          </cell>
          <cell r="L1051">
            <v>33914</v>
          </cell>
        </row>
        <row r="1052">
          <cell r="C1052">
            <v>8010036541</v>
          </cell>
          <cell r="D1052" t="str">
            <v>给水用聚乙烯HDPE直管(1.0MPa)黑色 dn32 6M/根(IDN)</v>
          </cell>
          <cell r="E1052" t="str">
            <v>HDPE Water Supply Pipe (1.0Mpa) dn32 6M/pcs Black(IDN)</v>
          </cell>
        </row>
        <row r="1052">
          <cell r="G1052">
            <v>31576</v>
          </cell>
          <cell r="H1052">
            <v>31576</v>
          </cell>
          <cell r="I1052">
            <v>0.12</v>
          </cell>
          <cell r="J1052">
            <v>35882</v>
          </cell>
          <cell r="K1052">
            <v>0.1</v>
          </cell>
          <cell r="L1052">
            <v>35084</v>
          </cell>
        </row>
        <row r="1053">
          <cell r="C1053">
            <v>8010036542</v>
          </cell>
          <cell r="D1053" t="str">
            <v>给水用聚乙烯HDPE直管(1.0MPa)黑色 dn32 11.8M/根(IDN)</v>
          </cell>
          <cell r="E1053" t="str">
            <v>HDPE Water Supply Pipe (1.0Mpa) dn32 11.8M/pcs Black(IDN)</v>
          </cell>
        </row>
        <row r="1053">
          <cell r="G1053">
            <v>62099</v>
          </cell>
          <cell r="H1053">
            <v>62099</v>
          </cell>
          <cell r="I1053">
            <v>0.12</v>
          </cell>
          <cell r="J1053">
            <v>70568</v>
          </cell>
          <cell r="K1053">
            <v>0.1</v>
          </cell>
          <cell r="L1053">
            <v>68999</v>
          </cell>
        </row>
        <row r="1054">
          <cell r="C1054">
            <v>8010036543</v>
          </cell>
          <cell r="D1054" t="str">
            <v>给水用聚乙烯HDPE直管(1.0MPa)黑色 dn32 12M/根(IDN)</v>
          </cell>
          <cell r="E1054" t="str">
            <v>HDPE Water Supply Pipe (1.0Mpa) dn32 12M/pcs Black(IDN)</v>
          </cell>
        </row>
        <row r="1054">
          <cell r="G1054">
            <v>63151</v>
          </cell>
          <cell r="H1054">
            <v>63151</v>
          </cell>
          <cell r="I1054">
            <v>0.12</v>
          </cell>
          <cell r="J1054">
            <v>71763</v>
          </cell>
          <cell r="K1054">
            <v>0.1</v>
          </cell>
          <cell r="L1054">
            <v>70168</v>
          </cell>
        </row>
        <row r="1055">
          <cell r="C1055">
            <v>8010036560</v>
          </cell>
          <cell r="D1055" t="str">
            <v>给水用聚乙烯HDPE直管(1.0MPa)黑色 dn40 5.8M/根(IDN)</v>
          </cell>
          <cell r="E1055" t="str">
            <v>HDPE Water Supply Pipe (1.0Mpa) dn40 5.8M/pcs Black(IDN)</v>
          </cell>
        </row>
        <row r="1055">
          <cell r="G1055">
            <v>46921</v>
          </cell>
          <cell r="H1055">
            <v>46921</v>
          </cell>
          <cell r="I1055">
            <v>0.12</v>
          </cell>
          <cell r="J1055">
            <v>53320</v>
          </cell>
          <cell r="K1055">
            <v>0.1</v>
          </cell>
          <cell r="L1055">
            <v>52134</v>
          </cell>
        </row>
        <row r="1056">
          <cell r="C1056">
            <v>8010036561</v>
          </cell>
          <cell r="D1056" t="str">
            <v>给水用聚乙烯HDPE直管(1.0MPa)黑色 dn40 6M/根(IDN)</v>
          </cell>
          <cell r="E1056" t="str">
            <v>HDPE Water Supply Pipe (1.0Mpa) dn40 6M/pcs Black(IDN)</v>
          </cell>
        </row>
        <row r="1056">
          <cell r="G1056">
            <v>48527</v>
          </cell>
          <cell r="H1056">
            <v>48527</v>
          </cell>
          <cell r="I1056">
            <v>0.12</v>
          </cell>
          <cell r="J1056">
            <v>55145</v>
          </cell>
          <cell r="K1056">
            <v>0.1</v>
          </cell>
          <cell r="L1056">
            <v>53919</v>
          </cell>
        </row>
        <row r="1057">
          <cell r="C1057">
            <v>8010036562</v>
          </cell>
          <cell r="D1057" t="str">
            <v>给水用聚乙烯HDPE直管(1.0MPa)黑色 dn40 11.8M/根(IDN)</v>
          </cell>
          <cell r="E1057" t="str">
            <v>HDPE Water Supply Pipe (1.0Mpa) dn40 11.8M/pcs Black(IDN)</v>
          </cell>
        </row>
        <row r="1057">
          <cell r="G1057">
            <v>95448</v>
          </cell>
          <cell r="H1057">
            <v>95448</v>
          </cell>
          <cell r="I1057">
            <v>0.12</v>
          </cell>
          <cell r="J1057">
            <v>108464</v>
          </cell>
          <cell r="K1057">
            <v>0.1</v>
          </cell>
          <cell r="L1057">
            <v>106053</v>
          </cell>
        </row>
        <row r="1058">
          <cell r="C1058">
            <v>8010036563</v>
          </cell>
          <cell r="D1058" t="str">
            <v>给水用聚乙烯HDPE直管(1.0MPa)黑色 dn40 12M/根(IDN)</v>
          </cell>
          <cell r="E1058" t="str">
            <v>HDPE Water Supply Pipe (1.0Mpa) dn40 12M/pcs Black(IDN)</v>
          </cell>
        </row>
        <row r="1058">
          <cell r="G1058">
            <v>97054</v>
          </cell>
          <cell r="H1058">
            <v>97054</v>
          </cell>
          <cell r="I1058">
            <v>0.12</v>
          </cell>
          <cell r="J1058">
            <v>110289</v>
          </cell>
          <cell r="K1058">
            <v>0.1</v>
          </cell>
          <cell r="L1058">
            <v>107838</v>
          </cell>
        </row>
        <row r="1059">
          <cell r="C1059">
            <v>8010036580</v>
          </cell>
          <cell r="D1059" t="str">
            <v>给水用聚乙烯HDPE直管(1.0MPa)黑色 dn50 5.8M/根(IDN)</v>
          </cell>
          <cell r="E1059" t="str">
            <v>HDPE Water Supply Pipe (1.0Mpa) dn50 5.8M/pcs Black(IDN)</v>
          </cell>
        </row>
        <row r="1059">
          <cell r="G1059">
            <v>72292</v>
          </cell>
          <cell r="H1059">
            <v>72292</v>
          </cell>
          <cell r="I1059">
            <v>0.12</v>
          </cell>
          <cell r="J1059">
            <v>82150</v>
          </cell>
          <cell r="K1059">
            <v>0.1</v>
          </cell>
          <cell r="L1059">
            <v>80324</v>
          </cell>
        </row>
        <row r="1060">
          <cell r="C1060">
            <v>8010036581</v>
          </cell>
          <cell r="D1060" t="str">
            <v>给水用聚乙烯HDPE直管(1.0MPa)黑色 dn50 6M/根(IDN)</v>
          </cell>
          <cell r="E1060" t="str">
            <v>HDPE Water Supply Pipe (1.0Mpa) dn50 6M/pcs Black(IDN)</v>
          </cell>
        </row>
        <row r="1060">
          <cell r="G1060">
            <v>74785</v>
          </cell>
          <cell r="H1060">
            <v>74785</v>
          </cell>
          <cell r="I1060">
            <v>0.12</v>
          </cell>
          <cell r="J1060">
            <v>84983</v>
          </cell>
          <cell r="K1060">
            <v>0.1</v>
          </cell>
          <cell r="L1060">
            <v>83094</v>
          </cell>
        </row>
        <row r="1061">
          <cell r="C1061">
            <v>8010036582</v>
          </cell>
          <cell r="D1061" t="str">
            <v>给水用聚乙烯HDPE直管(1.0MPa)黑色 dn50 11.8M/根(IDN)</v>
          </cell>
          <cell r="E1061" t="str">
            <v>HDPE Water Supply Pipe (1.0Mpa) dn50 11.8M/pcs Black(IDN)</v>
          </cell>
        </row>
        <row r="1061">
          <cell r="G1061">
            <v>147077</v>
          </cell>
          <cell r="H1061">
            <v>147077</v>
          </cell>
          <cell r="I1061">
            <v>0.12</v>
          </cell>
          <cell r="J1061">
            <v>167133</v>
          </cell>
          <cell r="K1061">
            <v>0.1</v>
          </cell>
          <cell r="L1061">
            <v>163419</v>
          </cell>
        </row>
        <row r="1062">
          <cell r="C1062">
            <v>8010036583</v>
          </cell>
          <cell r="D1062" t="str">
            <v>给水用聚乙烯HDPE直管(1.0MPa)黑色 dn50 12M/根(IDN)</v>
          </cell>
          <cell r="E1062" t="str">
            <v>HDPE Water Supply Pipe (1.0Mpa) dn50 12M/pcs Black(IDN)</v>
          </cell>
        </row>
        <row r="1062">
          <cell r="G1062">
            <v>149569</v>
          </cell>
          <cell r="H1062">
            <v>149569</v>
          </cell>
          <cell r="I1062">
            <v>0.12</v>
          </cell>
          <cell r="J1062">
            <v>169965</v>
          </cell>
          <cell r="K1062">
            <v>0.1</v>
          </cell>
          <cell r="L1062">
            <v>166188</v>
          </cell>
        </row>
        <row r="1063">
          <cell r="C1063">
            <v>8010036600</v>
          </cell>
          <cell r="D1063" t="str">
            <v>给水用聚乙烯HDPE直管(1.0MPa)黑色 dn63 5.8M/根(IDN)</v>
          </cell>
          <cell r="E1063" t="str">
            <v>HDPE Water Supply Pipe (1.0Mpa) dn63 5.8M/pcs Black(IDN)</v>
          </cell>
        </row>
        <row r="1063">
          <cell r="G1063">
            <v>115196</v>
          </cell>
          <cell r="H1063">
            <v>115196</v>
          </cell>
          <cell r="I1063">
            <v>0.12</v>
          </cell>
          <cell r="J1063">
            <v>130905</v>
          </cell>
          <cell r="K1063">
            <v>0.1</v>
          </cell>
          <cell r="L1063">
            <v>127996</v>
          </cell>
        </row>
        <row r="1064">
          <cell r="C1064">
            <v>8010036601</v>
          </cell>
          <cell r="D1064" t="str">
            <v>给水用聚乙烯HDPE直管(1.0MPa)黑色 dn63 6M/根(IDN)</v>
          </cell>
          <cell r="E1064" t="str">
            <v>HDPE Water Supply Pipe (1.0Mpa) dn63 6M/pcs Black(IDN)</v>
          </cell>
        </row>
        <row r="1064">
          <cell r="G1064">
            <v>119157</v>
          </cell>
          <cell r="H1064">
            <v>119157</v>
          </cell>
          <cell r="I1064">
            <v>0.12</v>
          </cell>
          <cell r="J1064">
            <v>135406</v>
          </cell>
          <cell r="K1064">
            <v>0.1</v>
          </cell>
          <cell r="L1064">
            <v>132397</v>
          </cell>
        </row>
        <row r="1065">
          <cell r="C1065">
            <v>8010036602</v>
          </cell>
          <cell r="D1065" t="str">
            <v>给水用聚乙烯HDPE直管(1.0MPa)黑色 dn63 11.8M/根(IDN)</v>
          </cell>
          <cell r="E1065" t="str">
            <v>HDPE Water Supply Pipe (1.0Mpa) dn63 11.8M/pcs Black(IDN)</v>
          </cell>
        </row>
        <row r="1065">
          <cell r="G1065">
            <v>234353</v>
          </cell>
          <cell r="H1065">
            <v>234353</v>
          </cell>
          <cell r="I1065">
            <v>0.12</v>
          </cell>
          <cell r="J1065">
            <v>266311</v>
          </cell>
          <cell r="K1065">
            <v>0.1</v>
          </cell>
          <cell r="L1065">
            <v>260392</v>
          </cell>
        </row>
        <row r="1066">
          <cell r="C1066">
            <v>8010036603</v>
          </cell>
          <cell r="D1066" t="str">
            <v>给水用聚乙烯HDPE直管(1.0MPa)黑色 dn63 12M/根(IDN)</v>
          </cell>
          <cell r="E1066" t="str">
            <v>HDPE Water Supply Pipe (1.0Mpa) dn63 12M/pcs Black(IDN)</v>
          </cell>
        </row>
        <row r="1066">
          <cell r="G1066">
            <v>238314</v>
          </cell>
          <cell r="H1066">
            <v>238314</v>
          </cell>
          <cell r="I1066">
            <v>0.12</v>
          </cell>
          <cell r="J1066">
            <v>270812</v>
          </cell>
          <cell r="K1066">
            <v>0.1</v>
          </cell>
          <cell r="L1066">
            <v>264793</v>
          </cell>
        </row>
        <row r="1067">
          <cell r="C1067">
            <v>8010036620</v>
          </cell>
          <cell r="D1067" t="str">
            <v>给水用聚乙烯HDPE直管(1.0MPa)黑色 dn75 5.8M/根(IDN)</v>
          </cell>
          <cell r="E1067" t="str">
            <v>HDPE Water Supply Pipe (1.0Mpa) dn75 5.8M/pcs Black(IDN)</v>
          </cell>
        </row>
        <row r="1067">
          <cell r="G1067">
            <v>162255</v>
          </cell>
          <cell r="H1067">
            <v>162255</v>
          </cell>
          <cell r="I1067">
            <v>0.12</v>
          </cell>
          <cell r="J1067">
            <v>184381</v>
          </cell>
          <cell r="K1067">
            <v>0.1</v>
          </cell>
          <cell r="L1067">
            <v>180283</v>
          </cell>
        </row>
        <row r="1068">
          <cell r="C1068">
            <v>8010036621</v>
          </cell>
          <cell r="D1068" t="str">
            <v>给水用聚乙烯HDPE直管(1.0MPa)黑色 dn75 6M/根(IDN)</v>
          </cell>
          <cell r="E1068" t="str">
            <v>HDPE Water Supply Pipe (1.0Mpa) dn75 6M/pcs Black(IDN)</v>
          </cell>
        </row>
        <row r="1068">
          <cell r="G1068">
            <v>167850</v>
          </cell>
          <cell r="H1068">
            <v>167850</v>
          </cell>
          <cell r="I1068">
            <v>0.12</v>
          </cell>
          <cell r="J1068">
            <v>190739</v>
          </cell>
          <cell r="K1068">
            <v>0.1</v>
          </cell>
          <cell r="L1068">
            <v>186500</v>
          </cell>
        </row>
        <row r="1069">
          <cell r="C1069">
            <v>8010036622</v>
          </cell>
          <cell r="D1069" t="str">
            <v>给水用聚乙烯HDPE直管(1.0MPa)黑色 dn75 11.8M/根(IDN)</v>
          </cell>
          <cell r="E1069" t="str">
            <v>HDPE Water Supply Pipe (1.0Mpa) dn75 11.8M/pcs Black(IDN)</v>
          </cell>
        </row>
        <row r="1069">
          <cell r="G1069">
            <v>330105</v>
          </cell>
          <cell r="H1069">
            <v>330105</v>
          </cell>
          <cell r="I1069">
            <v>0.12</v>
          </cell>
          <cell r="J1069">
            <v>375120</v>
          </cell>
          <cell r="K1069">
            <v>0.1</v>
          </cell>
          <cell r="L1069">
            <v>366783</v>
          </cell>
        </row>
        <row r="1070">
          <cell r="C1070">
            <v>8010036623</v>
          </cell>
          <cell r="D1070" t="str">
            <v>给水用聚乙烯HDPE直管(1.0MPa)黑色 dn75 12M/根(IDN)</v>
          </cell>
          <cell r="E1070" t="str">
            <v>HDPE Water Supply Pipe (1.0Mpa) dn75 12M/pcs Black(IDN)</v>
          </cell>
        </row>
        <row r="1070">
          <cell r="G1070">
            <v>335701</v>
          </cell>
          <cell r="H1070">
            <v>335701</v>
          </cell>
          <cell r="I1070">
            <v>0.12</v>
          </cell>
          <cell r="J1070">
            <v>381479</v>
          </cell>
          <cell r="K1070">
            <v>0.1</v>
          </cell>
          <cell r="L1070">
            <v>373001</v>
          </cell>
        </row>
        <row r="1071">
          <cell r="C1071">
            <v>8010036644</v>
          </cell>
          <cell r="D1071" t="str">
            <v>给水用聚乙烯HDPE直管(1.0MPa)黑色 dn90 5.8M/根(IDN)</v>
          </cell>
          <cell r="E1071" t="str">
            <v>HDPE Water Supply Pipe (1.0Mpa) dn90 5.8M/pcs Black(IDN)</v>
          </cell>
        </row>
        <row r="1071">
          <cell r="G1071">
            <v>234381</v>
          </cell>
          <cell r="H1071">
            <v>234381</v>
          </cell>
          <cell r="I1071">
            <v>0.12</v>
          </cell>
          <cell r="J1071">
            <v>266343</v>
          </cell>
          <cell r="K1071">
            <v>0.1</v>
          </cell>
          <cell r="L1071">
            <v>260423</v>
          </cell>
        </row>
        <row r="1072">
          <cell r="C1072">
            <v>8010036645</v>
          </cell>
          <cell r="D1072" t="str">
            <v>给水用聚乙烯HDPE直管(1.0MPa)黑色 dn90 6M/根(IDN)</v>
          </cell>
          <cell r="E1072" t="str">
            <v>HDPE Water Supply Pipe (1.0Mpa) dn90 6M/pcs Black(IDN)</v>
          </cell>
        </row>
        <row r="1072">
          <cell r="G1072">
            <v>242468</v>
          </cell>
          <cell r="H1072">
            <v>242468</v>
          </cell>
          <cell r="I1072">
            <v>0.12</v>
          </cell>
          <cell r="J1072">
            <v>275532</v>
          </cell>
          <cell r="K1072">
            <v>0.1</v>
          </cell>
          <cell r="L1072">
            <v>269409</v>
          </cell>
        </row>
        <row r="1073">
          <cell r="C1073">
            <v>8010036646</v>
          </cell>
          <cell r="D1073" t="str">
            <v>给水用聚乙烯HDPE直管(1.0MPa)黑色 dn90 11.8M/根(IDN)</v>
          </cell>
          <cell r="E1073" t="str">
            <v>HDPE Water Supply Pipe (1.0Mpa) dn90 11.8M/pcs Black(IDN)</v>
          </cell>
        </row>
        <row r="1073">
          <cell r="G1073">
            <v>476850</v>
          </cell>
          <cell r="H1073">
            <v>476850</v>
          </cell>
          <cell r="I1073">
            <v>0.12</v>
          </cell>
          <cell r="J1073">
            <v>541875</v>
          </cell>
          <cell r="K1073">
            <v>0.1</v>
          </cell>
          <cell r="L1073">
            <v>529833</v>
          </cell>
        </row>
        <row r="1074">
          <cell r="C1074">
            <v>8010036647</v>
          </cell>
          <cell r="D1074" t="str">
            <v>给水用聚乙烯HDPE直管(1.0MPa)黑色 dn90 12M/根(IDN)</v>
          </cell>
          <cell r="E1074" t="str">
            <v>HDPE Water Supply Pipe (1.0Mpa) dn90 12M/pcs Black(IDN)</v>
          </cell>
        </row>
        <row r="1074">
          <cell r="G1074">
            <v>484938</v>
          </cell>
          <cell r="H1074">
            <v>484938</v>
          </cell>
          <cell r="I1074">
            <v>0.12</v>
          </cell>
          <cell r="J1074">
            <v>551066</v>
          </cell>
          <cell r="K1074">
            <v>0.1</v>
          </cell>
          <cell r="L1074">
            <v>538820</v>
          </cell>
        </row>
        <row r="1075">
          <cell r="C1075">
            <v>8010036672</v>
          </cell>
          <cell r="D1075" t="str">
            <v>给水用聚乙烯HDPE直管(1.0MPa)黑色 dn110 5.8M/根(IDN)</v>
          </cell>
          <cell r="E1075" t="str">
            <v>HDPE Water Supply Pipe (1.0Mpa) dn110 5.8M/pcs Black(IDN)</v>
          </cell>
        </row>
        <row r="1075">
          <cell r="G1075">
            <v>349882</v>
          </cell>
          <cell r="H1075">
            <v>349882</v>
          </cell>
          <cell r="I1075">
            <v>0.12</v>
          </cell>
          <cell r="J1075">
            <v>397594</v>
          </cell>
          <cell r="K1075">
            <v>0.1</v>
          </cell>
          <cell r="L1075">
            <v>388758</v>
          </cell>
        </row>
        <row r="1076">
          <cell r="C1076">
            <v>8010036673</v>
          </cell>
          <cell r="D1076" t="str">
            <v>给水用聚乙烯HDPE直管(1.0MPa)黑色 dn110 6M/根(IDN)</v>
          </cell>
          <cell r="E1076" t="str">
            <v>HDPE Water Supply Pipe (1.0Mpa) dn110 6M/pcs Black(IDN)</v>
          </cell>
        </row>
        <row r="1076">
          <cell r="G1076">
            <v>361959</v>
          </cell>
          <cell r="H1076">
            <v>361959</v>
          </cell>
          <cell r="I1076">
            <v>0.12</v>
          </cell>
          <cell r="J1076">
            <v>411318</v>
          </cell>
          <cell r="K1076">
            <v>0.1</v>
          </cell>
          <cell r="L1076">
            <v>402177</v>
          </cell>
        </row>
        <row r="1077">
          <cell r="C1077">
            <v>8010036674</v>
          </cell>
          <cell r="D1077" t="str">
            <v>给水用聚乙烯HDPE直管(1.0MPa)黑色 dn110 11.8M/根(IDN)</v>
          </cell>
          <cell r="E1077" t="str">
            <v>HDPE Water Supply Pipe (1.0Mpa) dn110 11.8M/pcs Black(IDN)</v>
          </cell>
        </row>
        <row r="1077">
          <cell r="G1077">
            <v>711841</v>
          </cell>
          <cell r="H1077">
            <v>711841</v>
          </cell>
          <cell r="I1077">
            <v>0.12</v>
          </cell>
          <cell r="J1077">
            <v>808911</v>
          </cell>
          <cell r="K1077">
            <v>0.1</v>
          </cell>
          <cell r="L1077">
            <v>790934</v>
          </cell>
        </row>
        <row r="1078">
          <cell r="C1078">
            <v>8010036675</v>
          </cell>
          <cell r="D1078" t="str">
            <v>给水用聚乙烯HDPE直管(1.0MPa)黑色 dn110 12M/根(IDN)</v>
          </cell>
          <cell r="E1078" t="str">
            <v>HDPE Water Supply Pipe (1.0Mpa) dn110 12M/pcs Black(IDN)</v>
          </cell>
        </row>
        <row r="1078">
          <cell r="G1078">
            <v>723917</v>
          </cell>
          <cell r="H1078">
            <v>723917</v>
          </cell>
          <cell r="I1078">
            <v>0.12</v>
          </cell>
          <cell r="J1078">
            <v>822633</v>
          </cell>
          <cell r="K1078">
            <v>0.1</v>
          </cell>
          <cell r="L1078">
            <v>804352</v>
          </cell>
        </row>
        <row r="1079">
          <cell r="C1079">
            <v>8010036700</v>
          </cell>
          <cell r="D1079" t="str">
            <v>给水用聚乙烯HDPE直管(1.0MPa)黑色 dn125 5.8M/根(IDN)</v>
          </cell>
          <cell r="E1079" t="str">
            <v>HDPE Water Supply Pipe (1.0Mpa) dn125 5.8M/pcs Black(IDN)</v>
          </cell>
        </row>
        <row r="1079">
          <cell r="G1079">
            <v>446271</v>
          </cell>
          <cell r="H1079">
            <v>446271</v>
          </cell>
          <cell r="I1079">
            <v>0.12</v>
          </cell>
          <cell r="J1079">
            <v>507127</v>
          </cell>
          <cell r="K1079">
            <v>0.1</v>
          </cell>
          <cell r="L1079">
            <v>495857</v>
          </cell>
        </row>
        <row r="1080">
          <cell r="C1080">
            <v>8010036701</v>
          </cell>
          <cell r="D1080" t="str">
            <v>给水用聚乙烯HDPE直管(1.0MPa)黑色 dn125 6M/根(IDN)</v>
          </cell>
          <cell r="E1080" t="str">
            <v>HDPE Water Supply Pipe (1.0Mpa) dn125 6M/pcs Black(IDN)</v>
          </cell>
        </row>
        <row r="1080">
          <cell r="G1080">
            <v>461671</v>
          </cell>
          <cell r="H1080">
            <v>461671</v>
          </cell>
          <cell r="I1080">
            <v>0.12</v>
          </cell>
          <cell r="J1080">
            <v>524627</v>
          </cell>
          <cell r="K1080">
            <v>0.1</v>
          </cell>
          <cell r="L1080">
            <v>512968</v>
          </cell>
        </row>
        <row r="1081">
          <cell r="C1081">
            <v>8010036702</v>
          </cell>
          <cell r="D1081" t="str">
            <v>给水用聚乙烯HDPE直管(1.0MPa)黑色 dn125 11.8M/根(IDN)</v>
          </cell>
          <cell r="E1081" t="str">
            <v>HDPE Water Supply Pipe (1.0Mpa) dn125 11.8M/pcs Black(IDN)</v>
          </cell>
        </row>
        <row r="1081">
          <cell r="G1081">
            <v>907943</v>
          </cell>
          <cell r="H1081">
            <v>907943</v>
          </cell>
          <cell r="I1081">
            <v>0.12</v>
          </cell>
          <cell r="J1081">
            <v>1031754</v>
          </cell>
          <cell r="K1081">
            <v>0.1</v>
          </cell>
          <cell r="L1081">
            <v>1008826</v>
          </cell>
        </row>
        <row r="1082">
          <cell r="C1082">
            <v>8010036703</v>
          </cell>
          <cell r="D1082" t="str">
            <v>给水用聚乙烯HDPE直管(1.0MPa)黑色 dn125 12M/根(IDN)</v>
          </cell>
          <cell r="E1082" t="str">
            <v>HDPE Water Supply Pipe (1.0Mpa) dn125 12M/pcs Black(IDN)</v>
          </cell>
        </row>
        <row r="1082">
          <cell r="G1082">
            <v>923343</v>
          </cell>
          <cell r="H1082">
            <v>923343</v>
          </cell>
          <cell r="I1082">
            <v>0.12</v>
          </cell>
          <cell r="J1082">
            <v>1049254</v>
          </cell>
          <cell r="K1082">
            <v>0.1</v>
          </cell>
          <cell r="L1082">
            <v>1025937</v>
          </cell>
        </row>
        <row r="1083">
          <cell r="C1083">
            <v>8010036728</v>
          </cell>
          <cell r="D1083" t="str">
            <v>给水用聚乙烯HDPE直管(1.0MPa)黑色 dn140 5.8M/根(IDN)</v>
          </cell>
          <cell r="E1083" t="str">
            <v>HDPE Water Supply Pipe (1.0Mpa) dn140 5.8M/pcs Black(IDN)</v>
          </cell>
        </row>
        <row r="1083">
          <cell r="G1083">
            <v>555208</v>
          </cell>
          <cell r="H1083">
            <v>555208</v>
          </cell>
          <cell r="I1083">
            <v>0.12</v>
          </cell>
          <cell r="J1083">
            <v>630919</v>
          </cell>
          <cell r="K1083">
            <v>0.1</v>
          </cell>
          <cell r="L1083">
            <v>616898</v>
          </cell>
        </row>
        <row r="1084">
          <cell r="C1084">
            <v>8010036729</v>
          </cell>
          <cell r="D1084" t="str">
            <v>给水用聚乙烯HDPE直管(1.0MPa)黑色 dn140 6M/根(IDN)</v>
          </cell>
          <cell r="E1084" t="str">
            <v>HDPE Water Supply Pipe (1.0Mpa) dn140 6M/pcs Black(IDN)</v>
          </cell>
        </row>
        <row r="1084">
          <cell r="G1084">
            <v>574347</v>
          </cell>
          <cell r="H1084">
            <v>574347</v>
          </cell>
          <cell r="I1084">
            <v>0.12</v>
          </cell>
          <cell r="J1084">
            <v>652668</v>
          </cell>
          <cell r="K1084">
            <v>0.1</v>
          </cell>
          <cell r="L1084">
            <v>638163</v>
          </cell>
        </row>
        <row r="1085">
          <cell r="C1085">
            <v>8010036730</v>
          </cell>
          <cell r="D1085" t="str">
            <v>给水用聚乙烯HDPE直管(1.0MPa)黑色 dn140 11.8M/根(IDN)</v>
          </cell>
          <cell r="E1085" t="str">
            <v>HDPE Water Supply Pipe (1.0Mpa) dn140 11.8M/pcs Black(IDN)</v>
          </cell>
        </row>
        <row r="1085">
          <cell r="G1085">
            <v>1129555</v>
          </cell>
          <cell r="H1085">
            <v>1129555</v>
          </cell>
          <cell r="I1085">
            <v>0.12</v>
          </cell>
          <cell r="J1085">
            <v>1283586</v>
          </cell>
          <cell r="K1085">
            <v>0.1</v>
          </cell>
          <cell r="L1085">
            <v>1255061</v>
          </cell>
        </row>
        <row r="1086">
          <cell r="C1086">
            <v>8010036731</v>
          </cell>
          <cell r="D1086" t="str">
            <v>给水用聚乙烯HDPE直管(1.0MPa)黑色 dn140 12M/根(IDN)</v>
          </cell>
          <cell r="E1086" t="str">
            <v>HDPE Water Supply Pipe (1.0Mpa) dn140 12M/pcs Black(IDN)</v>
          </cell>
        </row>
        <row r="1086">
          <cell r="G1086">
            <v>1148695</v>
          </cell>
          <cell r="H1086">
            <v>1148695</v>
          </cell>
          <cell r="I1086">
            <v>0.12</v>
          </cell>
          <cell r="J1086">
            <v>1305336</v>
          </cell>
          <cell r="K1086">
            <v>0.1</v>
          </cell>
          <cell r="L1086">
            <v>1276328</v>
          </cell>
        </row>
        <row r="1087">
          <cell r="C1087">
            <v>8010036756</v>
          </cell>
          <cell r="D1087" t="str">
            <v>给水用聚乙烯HDPE直管(1.0MPa)黑色 dn160 5.8M/根(IDN)</v>
          </cell>
          <cell r="E1087" t="str">
            <v>HDPE Water Supply Pipe (1.0Mpa) dn160 5.8M/pcs Black(IDN)</v>
          </cell>
        </row>
        <row r="1087">
          <cell r="G1087">
            <v>723252</v>
          </cell>
          <cell r="H1087">
            <v>723252</v>
          </cell>
          <cell r="I1087">
            <v>0.12</v>
          </cell>
          <cell r="J1087">
            <v>821878</v>
          </cell>
          <cell r="K1087">
            <v>0.1</v>
          </cell>
          <cell r="L1087">
            <v>803613</v>
          </cell>
        </row>
        <row r="1088">
          <cell r="C1088">
            <v>8010036757</v>
          </cell>
          <cell r="D1088" t="str">
            <v>给水用聚乙烯HDPE直管(1.0MPa)黑色 dn160 6M/根(IDN)</v>
          </cell>
          <cell r="E1088" t="str">
            <v>HDPE Water Supply Pipe (1.0Mpa) dn160 6M/pcs Black(IDN)</v>
          </cell>
        </row>
        <row r="1088">
          <cell r="G1088">
            <v>748180</v>
          </cell>
          <cell r="H1088">
            <v>748180</v>
          </cell>
          <cell r="I1088">
            <v>0.12</v>
          </cell>
          <cell r="J1088">
            <v>850205</v>
          </cell>
          <cell r="K1088">
            <v>0.1</v>
          </cell>
          <cell r="L1088">
            <v>831311</v>
          </cell>
        </row>
        <row r="1089">
          <cell r="C1089">
            <v>8010036758</v>
          </cell>
          <cell r="D1089" t="str">
            <v>给水用聚乙烯HDPE直管(1.0MPa)黑色 dn160 11.8M/根(IDN)</v>
          </cell>
          <cell r="E1089" t="str">
            <v>HDPE Water Supply Pipe (1.0Mpa) dn160 11.8M/pcs Black(IDN)</v>
          </cell>
        </row>
        <row r="1089">
          <cell r="G1089">
            <v>1471432</v>
          </cell>
          <cell r="H1089">
            <v>1471432</v>
          </cell>
          <cell r="I1089">
            <v>0.12</v>
          </cell>
          <cell r="J1089">
            <v>1672082</v>
          </cell>
          <cell r="K1089">
            <v>0.1</v>
          </cell>
          <cell r="L1089">
            <v>1634924</v>
          </cell>
        </row>
        <row r="1090">
          <cell r="C1090">
            <v>8010036759</v>
          </cell>
          <cell r="D1090" t="str">
            <v>给水用聚乙烯HDPE直管(1.0MPa)黑色 dn160 12M/根(IDN)</v>
          </cell>
          <cell r="E1090" t="str">
            <v>HDPE Water Supply Pipe (1.0Mpa) dn160 12M/pcs Black(IDN)</v>
          </cell>
        </row>
        <row r="1090">
          <cell r="G1090">
            <v>1496360</v>
          </cell>
          <cell r="H1090">
            <v>1496360</v>
          </cell>
          <cell r="I1090">
            <v>0.12</v>
          </cell>
          <cell r="J1090">
            <v>1700410</v>
          </cell>
          <cell r="K1090">
            <v>0.1</v>
          </cell>
          <cell r="L1090">
            <v>1662622</v>
          </cell>
        </row>
        <row r="1091">
          <cell r="C1091">
            <v>8010036784</v>
          </cell>
          <cell r="D1091" t="str">
            <v>给水用聚乙烯HDPE直管(1.0MPa)黑色 dn180 5.8M/根(IDN)</v>
          </cell>
          <cell r="E1091" t="str">
            <v>HDPE Water Supply Pipe (1.0Mpa) dn180 5.8M/pcs Black(IDN)</v>
          </cell>
        </row>
        <row r="1091">
          <cell r="G1091">
            <v>925005</v>
          </cell>
          <cell r="H1091">
            <v>925005</v>
          </cell>
          <cell r="I1091">
            <v>0.12</v>
          </cell>
          <cell r="J1091">
            <v>1051143</v>
          </cell>
          <cell r="K1091">
            <v>0.1</v>
          </cell>
          <cell r="L1091">
            <v>1027783</v>
          </cell>
        </row>
        <row r="1092">
          <cell r="C1092">
            <v>8010036785</v>
          </cell>
          <cell r="D1092" t="str">
            <v>给水用聚乙烯HDPE直管(1.0MPa)黑色 dn180 6M/根(IDN)</v>
          </cell>
          <cell r="E1092" t="str">
            <v>HDPE Water Supply Pipe (1.0Mpa) dn180 6M/pcs Black(IDN)</v>
          </cell>
        </row>
        <row r="1092">
          <cell r="G1092">
            <v>956913</v>
          </cell>
          <cell r="H1092">
            <v>956913</v>
          </cell>
          <cell r="I1092">
            <v>0.12</v>
          </cell>
          <cell r="J1092">
            <v>1087402</v>
          </cell>
          <cell r="K1092">
            <v>0.1</v>
          </cell>
          <cell r="L1092">
            <v>1063237</v>
          </cell>
        </row>
        <row r="1093">
          <cell r="C1093">
            <v>8010036786</v>
          </cell>
          <cell r="D1093" t="str">
            <v>给水用聚乙烯HDPE直管(1.0MPa)黑色 dn180 11.8M/根(IDN)</v>
          </cell>
          <cell r="E1093" t="str">
            <v>HDPE Water Supply Pipe (1.0Mpa) dn180 11.8M/pcs Black(IDN)</v>
          </cell>
        </row>
        <row r="1093">
          <cell r="G1093">
            <v>1881918</v>
          </cell>
          <cell r="H1093">
            <v>1881918</v>
          </cell>
          <cell r="I1093">
            <v>0.12</v>
          </cell>
          <cell r="J1093">
            <v>2138544</v>
          </cell>
          <cell r="K1093">
            <v>0.1</v>
          </cell>
          <cell r="L1093">
            <v>2091020</v>
          </cell>
        </row>
        <row r="1094">
          <cell r="C1094">
            <v>8010036787</v>
          </cell>
          <cell r="D1094" t="str">
            <v>给水用聚乙烯HDPE直管(1.0MPa)黑色 dn180 12M/根(IDN)</v>
          </cell>
          <cell r="E1094" t="str">
            <v>HDPE Water Supply Pipe (1.0Mpa) dn180 12M/pcs Black(IDN)</v>
          </cell>
        </row>
        <row r="1094">
          <cell r="G1094">
            <v>1913826</v>
          </cell>
          <cell r="H1094">
            <v>1913826</v>
          </cell>
          <cell r="I1094">
            <v>0.12</v>
          </cell>
          <cell r="J1094">
            <v>2174803</v>
          </cell>
          <cell r="K1094">
            <v>0.1</v>
          </cell>
          <cell r="L1094">
            <v>2126473</v>
          </cell>
        </row>
        <row r="1095">
          <cell r="C1095">
            <v>8010036812</v>
          </cell>
          <cell r="D1095" t="str">
            <v>给水用聚乙烯HDPE直管(1.0MPa)黑色 dn200 5.8M/根(IDN)</v>
          </cell>
          <cell r="E1095" t="str">
            <v>HDPE Water Supply Pipe (1.0Mpa) dn200 5.8M/pcs Black(IDN)</v>
          </cell>
        </row>
        <row r="1095">
          <cell r="G1095">
            <v>1129998</v>
          </cell>
          <cell r="H1095">
            <v>1129998</v>
          </cell>
          <cell r="I1095">
            <v>0.12</v>
          </cell>
          <cell r="J1095">
            <v>1284089</v>
          </cell>
          <cell r="K1095">
            <v>0.1</v>
          </cell>
          <cell r="L1095">
            <v>1255553</v>
          </cell>
        </row>
        <row r="1096">
          <cell r="C1096">
            <v>8010036813</v>
          </cell>
          <cell r="D1096" t="str">
            <v>给水用聚乙烯HDPE直管(1.0MPa)黑色 dn200 6M/根(IDN)</v>
          </cell>
          <cell r="E1096" t="str">
            <v>HDPE Water Supply Pipe (1.0Mpa) dn200 6M/pcs Black(IDN)</v>
          </cell>
        </row>
        <row r="1096">
          <cell r="G1096">
            <v>1168969</v>
          </cell>
          <cell r="H1096">
            <v>1168969</v>
          </cell>
          <cell r="I1096">
            <v>0.12</v>
          </cell>
          <cell r="J1096">
            <v>1328374</v>
          </cell>
          <cell r="K1096">
            <v>0.1</v>
          </cell>
          <cell r="L1096">
            <v>1298854</v>
          </cell>
        </row>
        <row r="1097">
          <cell r="C1097">
            <v>8010036814</v>
          </cell>
          <cell r="D1097" t="str">
            <v>给水用聚乙烯HDPE直管(1.0MPa)黑色 dn200 11.8M/根(IDN)</v>
          </cell>
          <cell r="E1097" t="str">
            <v>HDPE Water Supply Pipe (1.0Mpa) dn200 11.8M/pcs Black(IDN)</v>
          </cell>
        </row>
        <row r="1097">
          <cell r="G1097">
            <v>2298968</v>
          </cell>
          <cell r="H1097">
            <v>2298968</v>
          </cell>
          <cell r="I1097">
            <v>0.12</v>
          </cell>
          <cell r="J1097">
            <v>2612464</v>
          </cell>
          <cell r="K1097">
            <v>0.1</v>
          </cell>
          <cell r="L1097">
            <v>2554409</v>
          </cell>
        </row>
        <row r="1098">
          <cell r="C1098">
            <v>8010036815</v>
          </cell>
          <cell r="D1098" t="str">
            <v>给水用聚乙烯HDPE直管(1.0MPa)黑色 dn200 12M/根(IDN)</v>
          </cell>
          <cell r="E1098" t="str">
            <v>HDPE Water Supply Pipe (1.0Mpa) dn200 12M/pcs Black(IDN)</v>
          </cell>
        </row>
        <row r="1098">
          <cell r="G1098">
            <v>2337939</v>
          </cell>
          <cell r="H1098">
            <v>2337939</v>
          </cell>
          <cell r="I1098">
            <v>0.12</v>
          </cell>
          <cell r="J1098">
            <v>2656749</v>
          </cell>
          <cell r="K1098">
            <v>0.1</v>
          </cell>
          <cell r="L1098">
            <v>2597710</v>
          </cell>
        </row>
        <row r="1099">
          <cell r="C1099">
            <v>8010036840</v>
          </cell>
          <cell r="D1099" t="str">
            <v>给水用聚乙烯HDPE直管(1.0MPa)黑色 dn225 5.8M/根(IDN)</v>
          </cell>
          <cell r="E1099" t="str">
            <v>HDPE Water Supply Pipe (1.0Mpa) dn225 5.8M/pcs Black(IDN)</v>
          </cell>
        </row>
        <row r="1099">
          <cell r="G1099">
            <v>1447778</v>
          </cell>
          <cell r="H1099">
            <v>1447778</v>
          </cell>
          <cell r="I1099">
            <v>0.12</v>
          </cell>
          <cell r="J1099">
            <v>1645203</v>
          </cell>
          <cell r="K1099">
            <v>0.1</v>
          </cell>
          <cell r="L1099">
            <v>1608642</v>
          </cell>
        </row>
        <row r="1100">
          <cell r="C1100">
            <v>8010036841</v>
          </cell>
          <cell r="D1100" t="str">
            <v>给水用聚乙烯HDPE直管(1.0MPa)黑色 dn225 6M/根(IDN)</v>
          </cell>
          <cell r="E1100" t="str">
            <v>HDPE Water Supply Pipe (1.0Mpa) dn225 6M/pcs Black(IDN)</v>
          </cell>
        </row>
        <row r="1100">
          <cell r="G1100">
            <v>1497690</v>
          </cell>
          <cell r="H1100">
            <v>1497690</v>
          </cell>
          <cell r="I1100">
            <v>0.12</v>
          </cell>
          <cell r="J1100">
            <v>1701921</v>
          </cell>
          <cell r="K1100">
            <v>0.1</v>
          </cell>
          <cell r="L1100">
            <v>1664100</v>
          </cell>
        </row>
        <row r="1101">
          <cell r="C1101">
            <v>8010036842</v>
          </cell>
          <cell r="D1101" t="str">
            <v>给水用聚乙烯HDPE直管(1.0MPa)黑色 dn225 11.8M/根(IDN)</v>
          </cell>
          <cell r="E1101" t="str">
            <v>HDPE Water Supply Pipe (1.0Mpa) dn225 11.8M/pcs Black(IDN)</v>
          </cell>
        </row>
        <row r="1101">
          <cell r="G1101">
            <v>2945468</v>
          </cell>
          <cell r="H1101">
            <v>2945468</v>
          </cell>
          <cell r="I1101">
            <v>0.12</v>
          </cell>
          <cell r="J1101">
            <v>3347123</v>
          </cell>
          <cell r="K1101">
            <v>0.1</v>
          </cell>
          <cell r="L1101">
            <v>3272742</v>
          </cell>
        </row>
        <row r="1102">
          <cell r="C1102">
            <v>8010036843</v>
          </cell>
          <cell r="D1102" t="str">
            <v>给水用聚乙烯HDPE直管(1.0MPa)黑色 dn225 12M/根(IDN)</v>
          </cell>
          <cell r="E1102" t="str">
            <v>HDPE Water Supply Pipe (1.0Mpa) dn225 12M/pcs Black(IDN)</v>
          </cell>
        </row>
        <row r="1102">
          <cell r="G1102">
            <v>2995380</v>
          </cell>
          <cell r="H1102">
            <v>2995380</v>
          </cell>
          <cell r="I1102">
            <v>0.12</v>
          </cell>
          <cell r="J1102">
            <v>3403841</v>
          </cell>
          <cell r="K1102">
            <v>0.1</v>
          </cell>
          <cell r="L1102">
            <v>3328200</v>
          </cell>
        </row>
        <row r="1103">
          <cell r="C1103">
            <v>8010036868</v>
          </cell>
          <cell r="D1103" t="str">
            <v>给水用聚乙烯HDPE直管(1.0MPa)黑色 dn250 5.8M/根(IDN)</v>
          </cell>
          <cell r="E1103" t="str">
            <v>HDPE Water Supply Pipe (1.0Mpa) dn250 5.8M/pcs Black(IDN)</v>
          </cell>
        </row>
        <row r="1103">
          <cell r="G1103">
            <v>1774200</v>
          </cell>
          <cell r="H1103">
            <v>1774200</v>
          </cell>
          <cell r="I1103">
            <v>0.12</v>
          </cell>
          <cell r="J1103">
            <v>2016137</v>
          </cell>
          <cell r="K1103">
            <v>0.1</v>
          </cell>
          <cell r="L1103">
            <v>1971333</v>
          </cell>
        </row>
        <row r="1104">
          <cell r="C1104">
            <v>8010036869</v>
          </cell>
          <cell r="D1104" t="str">
            <v>给水用聚乙烯HDPE直管(1.0MPa)黑色 dn250 6M/根(IDN)</v>
          </cell>
          <cell r="E1104" t="str">
            <v>HDPE Water Supply Pipe (1.0Mpa) dn250 6M/pcs Black(IDN)</v>
          </cell>
        </row>
        <row r="1104">
          <cell r="G1104">
            <v>1835385</v>
          </cell>
          <cell r="H1104">
            <v>1835385</v>
          </cell>
          <cell r="I1104">
            <v>0.12</v>
          </cell>
          <cell r="J1104">
            <v>2085665</v>
          </cell>
          <cell r="K1104">
            <v>0.1</v>
          </cell>
          <cell r="L1104">
            <v>2039317</v>
          </cell>
        </row>
        <row r="1105">
          <cell r="C1105">
            <v>8010036870</v>
          </cell>
          <cell r="D1105" t="str">
            <v>给水用聚乙烯HDPE直管(1.0MPa)黑色 dn250 11.8M/根(IDN)</v>
          </cell>
          <cell r="E1105" t="str">
            <v>HDPE Water Supply Pipe (1.0Mpa) dn250 11.8M/pcs Black(IDN)</v>
          </cell>
        </row>
        <row r="1105">
          <cell r="G1105">
            <v>3609586</v>
          </cell>
          <cell r="H1105">
            <v>3609586</v>
          </cell>
          <cell r="I1105">
            <v>0.12</v>
          </cell>
          <cell r="J1105">
            <v>4101803</v>
          </cell>
          <cell r="K1105">
            <v>0.1</v>
          </cell>
          <cell r="L1105">
            <v>4010651</v>
          </cell>
        </row>
        <row r="1106">
          <cell r="C1106">
            <v>8010036871</v>
          </cell>
          <cell r="D1106" t="str">
            <v>给水用聚乙烯HDPE直管(1.0MPa)黑色 dn250 12M/根(IDN)</v>
          </cell>
          <cell r="E1106" t="str">
            <v>HDPE Water Supply Pipe (1.0Mpa) dn250 12M/pcs Black(IDN)</v>
          </cell>
        </row>
        <row r="1106">
          <cell r="G1106">
            <v>3670770</v>
          </cell>
          <cell r="H1106">
            <v>3670770</v>
          </cell>
          <cell r="I1106">
            <v>0.12</v>
          </cell>
          <cell r="J1106">
            <v>4171330</v>
          </cell>
          <cell r="K1106">
            <v>0.1</v>
          </cell>
          <cell r="L1106">
            <v>4078633</v>
          </cell>
        </row>
        <row r="1107">
          <cell r="C1107">
            <v>8010036896</v>
          </cell>
          <cell r="D1107" t="str">
            <v>给水用聚乙烯HDPE直管(1.0MPa)黑色 dn280 5.8M/根(IDN)</v>
          </cell>
          <cell r="E1107" t="str">
            <v>HDPE Water Supply Pipe (1.0Mpa) dn280 5.8M/pcs Black(IDN)</v>
          </cell>
        </row>
        <row r="1107">
          <cell r="G1107">
            <v>2229003</v>
          </cell>
          <cell r="H1107">
            <v>2229003</v>
          </cell>
          <cell r="I1107">
            <v>0.12</v>
          </cell>
          <cell r="J1107">
            <v>2532958</v>
          </cell>
          <cell r="K1107">
            <v>0.1</v>
          </cell>
          <cell r="L1107">
            <v>2476670</v>
          </cell>
        </row>
        <row r="1108">
          <cell r="C1108">
            <v>8010036897</v>
          </cell>
          <cell r="D1108" t="str">
            <v>给水用聚乙烯HDPE直管(1.0MPa)黑色 dn280 6M/根(IDN)</v>
          </cell>
          <cell r="E1108" t="str">
            <v>HDPE Water Supply Pipe (1.0Mpa) dn280 6M/pcs Black(IDN)</v>
          </cell>
        </row>
        <row r="1108">
          <cell r="G1108">
            <v>2305865</v>
          </cell>
          <cell r="H1108">
            <v>2305865</v>
          </cell>
          <cell r="I1108">
            <v>0.12</v>
          </cell>
          <cell r="J1108">
            <v>2620302</v>
          </cell>
          <cell r="K1108">
            <v>0.1</v>
          </cell>
          <cell r="L1108">
            <v>2562072</v>
          </cell>
        </row>
        <row r="1109">
          <cell r="C1109">
            <v>8010036898</v>
          </cell>
          <cell r="D1109" t="str">
            <v>给水用聚乙烯HDPE直管(1.0MPa)黑色 dn280 11.8M/根(IDN)</v>
          </cell>
          <cell r="E1109" t="str">
            <v>HDPE Water Supply Pipe (1.0Mpa) dn280 11.8M/pcs Black(IDN)</v>
          </cell>
        </row>
        <row r="1109">
          <cell r="G1109">
            <v>4534868</v>
          </cell>
          <cell r="H1109">
            <v>4534868</v>
          </cell>
          <cell r="I1109">
            <v>0.12</v>
          </cell>
          <cell r="J1109">
            <v>5153260</v>
          </cell>
          <cell r="K1109">
            <v>0.1</v>
          </cell>
          <cell r="L1109">
            <v>5038742</v>
          </cell>
        </row>
        <row r="1110">
          <cell r="C1110">
            <v>8010036899</v>
          </cell>
          <cell r="D1110" t="str">
            <v>给水用聚乙烯HDPE直管(1.0MPa)黑色 dn280 12M/根(IDN)</v>
          </cell>
          <cell r="E1110" t="str">
            <v>HDPE Water Supply Pipe (1.0Mpa) dn280 12M/pcs Black(IDN)</v>
          </cell>
        </row>
        <row r="1110">
          <cell r="G1110">
            <v>4611730</v>
          </cell>
          <cell r="H1110">
            <v>4611730</v>
          </cell>
          <cell r="I1110">
            <v>0.12</v>
          </cell>
          <cell r="J1110">
            <v>5240603</v>
          </cell>
          <cell r="K1110">
            <v>0.1</v>
          </cell>
          <cell r="L1110">
            <v>5124144</v>
          </cell>
        </row>
        <row r="1111">
          <cell r="C1111">
            <v>8010036924</v>
          </cell>
          <cell r="D1111" t="str">
            <v>给水用聚乙烯HDPE直管(1.0MPa)黑色 dn315 11.8M/根(IDN)</v>
          </cell>
          <cell r="E1111" t="str">
            <v>HDPE Water Supply Pipe (1.0Mpa) dn315 11.8M/pcs Black(IDN)</v>
          </cell>
        </row>
        <row r="1111">
          <cell r="G1111">
            <v>5742863</v>
          </cell>
          <cell r="H1111">
            <v>5742863</v>
          </cell>
          <cell r="I1111">
            <v>0.12</v>
          </cell>
          <cell r="J1111">
            <v>6525981</v>
          </cell>
          <cell r="K1111">
            <v>0.1</v>
          </cell>
          <cell r="L1111">
            <v>6380959</v>
          </cell>
        </row>
        <row r="1112">
          <cell r="C1112">
            <v>8010036925</v>
          </cell>
          <cell r="D1112" t="str">
            <v>给水用聚乙烯HDPE直管(1.0MPa)黑色 dn315 12M/根(IDN)</v>
          </cell>
          <cell r="E1112" t="str">
            <v>HDPE Water Supply Pipe (1.0Mpa) dn315 12M/pcs Black(IDN)</v>
          </cell>
        </row>
        <row r="1112">
          <cell r="G1112">
            <v>5840195</v>
          </cell>
          <cell r="H1112">
            <v>5840195</v>
          </cell>
          <cell r="I1112">
            <v>0.12</v>
          </cell>
          <cell r="J1112">
            <v>6636586</v>
          </cell>
          <cell r="K1112">
            <v>0.1</v>
          </cell>
          <cell r="L1112">
            <v>6489106</v>
          </cell>
        </row>
        <row r="1113">
          <cell r="C1113">
            <v>8010036926</v>
          </cell>
          <cell r="D1113" t="str">
            <v>给水用聚乙烯HDPE直管(1.0MPa)黑色 dn315 5.8M/根(IDN)</v>
          </cell>
          <cell r="E1113" t="str">
            <v>HDPE Water Supply Pipe (1.0Mpa) dn315 5.8M/pcs Black(IDN)</v>
          </cell>
        </row>
        <row r="1113">
          <cell r="G1113">
            <v>2822766</v>
          </cell>
          <cell r="H1113">
            <v>2822766</v>
          </cell>
          <cell r="I1113">
            <v>0.12</v>
          </cell>
          <cell r="J1113">
            <v>3207689</v>
          </cell>
          <cell r="K1113">
            <v>0.1</v>
          </cell>
          <cell r="L1113">
            <v>3136407</v>
          </cell>
        </row>
        <row r="1114">
          <cell r="C1114">
            <v>8010036927</v>
          </cell>
          <cell r="D1114" t="str">
            <v>给水用聚乙烯HDPE直管(1.0MPa)黑色 dn315 6M/根(IDN)</v>
          </cell>
          <cell r="E1114" t="str">
            <v>HDPE Water Supply Pipe (1.0Mpa) dn315 6M/pcs Black(IDN)</v>
          </cell>
        </row>
        <row r="1114">
          <cell r="G1114">
            <v>2920097</v>
          </cell>
          <cell r="H1114">
            <v>2920097</v>
          </cell>
          <cell r="I1114">
            <v>0.12</v>
          </cell>
          <cell r="J1114">
            <v>3318293</v>
          </cell>
          <cell r="K1114">
            <v>0.1</v>
          </cell>
          <cell r="L1114">
            <v>3244552</v>
          </cell>
        </row>
        <row r="1115">
          <cell r="C1115">
            <v>8010036952</v>
          </cell>
          <cell r="D1115" t="str">
            <v>给水用聚乙烯HDPE直管(1.0MPa)黑色 dn355 5.8M/根(IDN)</v>
          </cell>
          <cell r="E1115" t="str">
            <v>HDPE Water Supply Pipe (1.0Mpa) dn355 5.8M/pcs Black(IDN)</v>
          </cell>
        </row>
        <row r="1115">
          <cell r="G1115">
            <v>3592745</v>
          </cell>
          <cell r="H1115">
            <v>3592745</v>
          </cell>
          <cell r="I1115">
            <v>0.12</v>
          </cell>
          <cell r="J1115">
            <v>4082665</v>
          </cell>
          <cell r="K1115">
            <v>0.1</v>
          </cell>
          <cell r="L1115">
            <v>3991939</v>
          </cell>
        </row>
        <row r="1116">
          <cell r="C1116">
            <v>8010036953</v>
          </cell>
          <cell r="D1116" t="str">
            <v>给水用聚乙烯HDPE直管(1.0MPa)黑色 dn355 6M/根(IDN)</v>
          </cell>
          <cell r="E1116" t="str">
            <v>HDPE Water Supply Pipe (1.0Mpa) dn355 6M/pcs Black(IDN)</v>
          </cell>
        </row>
        <row r="1116">
          <cell r="G1116">
            <v>3716639</v>
          </cell>
          <cell r="H1116">
            <v>3716639</v>
          </cell>
          <cell r="I1116">
            <v>0.12</v>
          </cell>
          <cell r="J1116">
            <v>4223454</v>
          </cell>
          <cell r="K1116">
            <v>0.1</v>
          </cell>
          <cell r="L1116">
            <v>4129599</v>
          </cell>
        </row>
        <row r="1117">
          <cell r="C1117">
            <v>8010036954</v>
          </cell>
          <cell r="D1117" t="str">
            <v>给水用聚乙烯HDPE直管(1.0MPa)黑色 dn355 11.8M/根(IDN)</v>
          </cell>
          <cell r="E1117" t="str">
            <v>HDPE Water Supply Pipe (1.0Mpa) dn355 11.8M/pcs Black(IDN)</v>
          </cell>
        </row>
        <row r="1117">
          <cell r="G1117">
            <v>7309384</v>
          </cell>
          <cell r="H1117">
            <v>7309384</v>
          </cell>
          <cell r="I1117">
            <v>0.12</v>
          </cell>
          <cell r="J1117">
            <v>8306119</v>
          </cell>
          <cell r="K1117">
            <v>0.1</v>
          </cell>
          <cell r="L1117">
            <v>8121538</v>
          </cell>
        </row>
        <row r="1118">
          <cell r="C1118">
            <v>8010036955</v>
          </cell>
          <cell r="D1118" t="str">
            <v>给水用聚乙烯HDPE直管(1.0MPa)黑色 dn355 12M/根(IDN)</v>
          </cell>
          <cell r="E1118" t="str">
            <v>HDPE Water Supply Pipe (1.0Mpa) dn355 12M/pcs Black(IDN)</v>
          </cell>
        </row>
        <row r="1118">
          <cell r="G1118">
            <v>7433277</v>
          </cell>
          <cell r="H1118">
            <v>7433277</v>
          </cell>
          <cell r="I1118">
            <v>0.12</v>
          </cell>
          <cell r="J1118">
            <v>8446906</v>
          </cell>
          <cell r="K1118">
            <v>0.1</v>
          </cell>
          <cell r="L1118">
            <v>8259197</v>
          </cell>
        </row>
        <row r="1119">
          <cell r="C1119">
            <v>8010036980</v>
          </cell>
          <cell r="D1119" t="str">
            <v>给水用聚乙烯HDPE直管(1.0MPa)黑色 dn400 5.8M/根(IDN)</v>
          </cell>
          <cell r="E1119" t="str">
            <v>HDPE Water Supply Pipe (1.0Mpa) dn400 5.8M/pcs Black(IDN)</v>
          </cell>
        </row>
        <row r="1119">
          <cell r="G1119">
            <v>4540407</v>
          </cell>
          <cell r="H1119">
            <v>4540407</v>
          </cell>
          <cell r="I1119">
            <v>0.12</v>
          </cell>
          <cell r="J1119">
            <v>5159554</v>
          </cell>
          <cell r="K1119">
            <v>0.1</v>
          </cell>
          <cell r="L1119">
            <v>5044897</v>
          </cell>
        </row>
        <row r="1120">
          <cell r="C1120">
            <v>8010036981</v>
          </cell>
          <cell r="D1120" t="str">
            <v>给水用聚乙烯HDPE直管(1.0MPa)黑色 dn400 6M/根(IDN)</v>
          </cell>
          <cell r="E1120" t="str">
            <v>HDPE Water Supply Pipe (1.0Mpa) dn400 6M/pcs Black(IDN)</v>
          </cell>
        </row>
        <row r="1120">
          <cell r="G1120">
            <v>4696984</v>
          </cell>
          <cell r="H1120">
            <v>4696984</v>
          </cell>
          <cell r="I1120">
            <v>0.12</v>
          </cell>
          <cell r="J1120">
            <v>5337482</v>
          </cell>
          <cell r="K1120">
            <v>0.1</v>
          </cell>
          <cell r="L1120">
            <v>5218871</v>
          </cell>
        </row>
        <row r="1121">
          <cell r="C1121">
            <v>8010036982</v>
          </cell>
          <cell r="D1121" t="str">
            <v>给水用聚乙烯HDPE直管(1.0MPa)黑色 dn400 11.8M/根(IDN)</v>
          </cell>
          <cell r="E1121" t="str">
            <v>HDPE Water Supply Pipe (1.0Mpa) dn400 11.8M/pcs Black(IDN)</v>
          </cell>
        </row>
        <row r="1121">
          <cell r="G1121">
            <v>9237391</v>
          </cell>
          <cell r="H1121">
            <v>9237391</v>
          </cell>
          <cell r="I1121">
            <v>0.12</v>
          </cell>
          <cell r="J1121">
            <v>10497036</v>
          </cell>
          <cell r="K1121">
            <v>0.1</v>
          </cell>
          <cell r="L1121">
            <v>10263768</v>
          </cell>
        </row>
        <row r="1122">
          <cell r="C1122">
            <v>8010036983</v>
          </cell>
          <cell r="D1122" t="str">
            <v>给水用聚乙烯HDPE直管(1.0MPa)黑色 dn400 12M/根(IDN)</v>
          </cell>
          <cell r="E1122" t="str">
            <v>HDPE Water Supply Pipe (1.0Mpa) dn400 12M/pcs Black(IDN)</v>
          </cell>
        </row>
        <row r="1122">
          <cell r="G1122">
            <v>9393968</v>
          </cell>
          <cell r="H1122">
            <v>9393968</v>
          </cell>
          <cell r="I1122">
            <v>0.12</v>
          </cell>
          <cell r="J1122">
            <v>10674964</v>
          </cell>
          <cell r="K1122">
            <v>0.1</v>
          </cell>
          <cell r="L1122">
            <v>10437742</v>
          </cell>
        </row>
        <row r="1123">
          <cell r="C1123">
            <v>8010037008</v>
          </cell>
          <cell r="D1123" t="str">
            <v>给水用聚乙烯HDPE直管(1.0MPa)黑色 dn450 5.8M/根(IDN)</v>
          </cell>
          <cell r="E1123" t="str">
            <v>HDPE Water Supply Pipe (1.0Mpa) dn450 5.8M/pcs Black(IDN)</v>
          </cell>
        </row>
        <row r="1123">
          <cell r="G1123">
            <v>5752364</v>
          </cell>
          <cell r="H1123">
            <v>5752364</v>
          </cell>
          <cell r="I1123">
            <v>0.12</v>
          </cell>
          <cell r="J1123">
            <v>6536778</v>
          </cell>
          <cell r="K1123">
            <v>0.1</v>
          </cell>
          <cell r="L1123">
            <v>6391516</v>
          </cell>
        </row>
        <row r="1124">
          <cell r="C1124">
            <v>8010037009</v>
          </cell>
          <cell r="D1124" t="str">
            <v>给水用聚乙烯HDPE直管(1.0MPa)黑色 dn450 6M/根(IDN)</v>
          </cell>
          <cell r="E1124" t="str">
            <v>HDPE Water Supply Pipe (1.0Mpa) dn450 6M/pcs Black(IDN)</v>
          </cell>
        </row>
        <row r="1124">
          <cell r="G1124">
            <v>5950710</v>
          </cell>
          <cell r="H1124">
            <v>5950710</v>
          </cell>
          <cell r="I1124">
            <v>0.12</v>
          </cell>
          <cell r="J1124">
            <v>6762171</v>
          </cell>
          <cell r="K1124">
            <v>0.1</v>
          </cell>
          <cell r="L1124">
            <v>6611900</v>
          </cell>
        </row>
        <row r="1125">
          <cell r="C1125">
            <v>8010037010</v>
          </cell>
          <cell r="D1125" t="str">
            <v>给水用聚乙烯HDPE直管(1.0MPa)黑色 dn450 11.8M/根(IDN)</v>
          </cell>
          <cell r="E1125" t="str">
            <v>HDPE Water Supply Pipe (1.0Mpa) dn450 11.8M/pcs Black(IDN)</v>
          </cell>
        </row>
        <row r="1125">
          <cell r="G1125">
            <v>11703074</v>
          </cell>
          <cell r="H1125">
            <v>11703074</v>
          </cell>
          <cell r="I1125">
            <v>0.12</v>
          </cell>
          <cell r="J1125">
            <v>13298948</v>
          </cell>
          <cell r="K1125">
            <v>0.1</v>
          </cell>
          <cell r="L1125">
            <v>13003416</v>
          </cell>
        </row>
        <row r="1126">
          <cell r="C1126">
            <v>8010037011</v>
          </cell>
          <cell r="D1126" t="str">
            <v>给水用聚乙烯HDPE直管(1.0MPa)黑色 dn450 12M/根(IDN)</v>
          </cell>
          <cell r="E1126" t="str">
            <v>HDPE Water Supply Pipe (1.0Mpa) dn450 12M/pcs Black(IDN)</v>
          </cell>
        </row>
        <row r="1126">
          <cell r="G1126">
            <v>11901420</v>
          </cell>
          <cell r="H1126">
            <v>11901420</v>
          </cell>
          <cell r="I1126">
            <v>0.12</v>
          </cell>
          <cell r="J1126">
            <v>13524341</v>
          </cell>
          <cell r="K1126">
            <v>0.1</v>
          </cell>
          <cell r="L1126">
            <v>13223800</v>
          </cell>
        </row>
        <row r="1127">
          <cell r="C1127">
            <v>8010037036</v>
          </cell>
          <cell r="D1127" t="str">
            <v>给水用聚乙烯HDPE直管(1.0MPa)黑色 dn500 5.8M/根(IDN)</v>
          </cell>
          <cell r="E1127" t="str">
            <v>HDPE Water Supply Pipe (1.0Mpa) dn500 5.8M/pcs Black(IDN)</v>
          </cell>
        </row>
        <row r="1127">
          <cell r="G1127">
            <v>7109680</v>
          </cell>
          <cell r="H1127">
            <v>7109680</v>
          </cell>
          <cell r="I1127">
            <v>0.12</v>
          </cell>
          <cell r="J1127">
            <v>8079182</v>
          </cell>
          <cell r="K1127">
            <v>0.1</v>
          </cell>
          <cell r="L1127">
            <v>7899644</v>
          </cell>
        </row>
        <row r="1128">
          <cell r="C1128">
            <v>8010037037</v>
          </cell>
          <cell r="D1128" t="str">
            <v>给水用聚乙烯HDPE直管(1.0MPa)黑色 dn500 6M/根(IDN)</v>
          </cell>
          <cell r="E1128" t="str">
            <v>HDPE Water Supply Pipe (1.0Mpa) dn500 6M/pcs Black(IDN)</v>
          </cell>
        </row>
        <row r="1128">
          <cell r="G1128">
            <v>7354836</v>
          </cell>
          <cell r="H1128">
            <v>7354836</v>
          </cell>
          <cell r="I1128">
            <v>0.12</v>
          </cell>
          <cell r="J1128">
            <v>8357769</v>
          </cell>
          <cell r="K1128">
            <v>0.1</v>
          </cell>
          <cell r="L1128">
            <v>8172040</v>
          </cell>
        </row>
        <row r="1129">
          <cell r="C1129">
            <v>8010037038</v>
          </cell>
          <cell r="D1129" t="str">
            <v>给水用聚乙烯HDPE直管(1.0MPa)黑色 dn500 11.8M/根(IDN)</v>
          </cell>
          <cell r="E1129" t="str">
            <v>HDPE Water Supply Pipe (1.0Mpa) dn500 11.8M/pcs Black(IDN)</v>
          </cell>
        </row>
        <row r="1129">
          <cell r="G1129">
            <v>14464516</v>
          </cell>
          <cell r="H1129">
            <v>14464516</v>
          </cell>
          <cell r="I1129">
            <v>0.12</v>
          </cell>
          <cell r="J1129">
            <v>16436950</v>
          </cell>
          <cell r="K1129">
            <v>0.1</v>
          </cell>
          <cell r="L1129">
            <v>16071684</v>
          </cell>
        </row>
        <row r="1130">
          <cell r="C1130">
            <v>8010037039</v>
          </cell>
          <cell r="D1130" t="str">
            <v>给水用聚乙烯HDPE直管(1.0MPa)黑色 dn500 12M/根(IDN)</v>
          </cell>
          <cell r="E1130" t="str">
            <v>HDPE Water Supply Pipe (1.0Mpa) dn500 12M/pcs Black(IDN)</v>
          </cell>
        </row>
        <row r="1130">
          <cell r="G1130">
            <v>14709672</v>
          </cell>
          <cell r="H1130">
            <v>14709672</v>
          </cell>
          <cell r="I1130">
            <v>0.12</v>
          </cell>
          <cell r="J1130">
            <v>16715537</v>
          </cell>
          <cell r="K1130">
            <v>0.1</v>
          </cell>
          <cell r="L1130">
            <v>16344080</v>
          </cell>
        </row>
        <row r="1131">
          <cell r="C1131">
            <v>8010037060</v>
          </cell>
          <cell r="D1131" t="str">
            <v>给水用聚乙烯HDPE直管(1.0MPa)黑色 dn560 5.8M/根(IDN)</v>
          </cell>
          <cell r="E1131" t="str">
            <v>HDPE Water Supply Pipe (1.0Mpa) dn560 5.8M/pcs Black(IDN)</v>
          </cell>
        </row>
        <row r="1131">
          <cell r="G1131">
            <v>8904294</v>
          </cell>
          <cell r="H1131">
            <v>8904294</v>
          </cell>
          <cell r="I1131">
            <v>0.12</v>
          </cell>
          <cell r="J1131">
            <v>10118516</v>
          </cell>
          <cell r="K1131">
            <v>0.1</v>
          </cell>
          <cell r="L1131">
            <v>9893660</v>
          </cell>
        </row>
        <row r="1132">
          <cell r="C1132">
            <v>8010037061</v>
          </cell>
          <cell r="D1132" t="str">
            <v>给水用聚乙烯HDPE直管(1.0MPa)黑色 dn560 6M/根(IDN)</v>
          </cell>
          <cell r="E1132" t="str">
            <v>HDPE Water Supply Pipe (1.0Mpa) dn560 6M/pcs Black(IDN)</v>
          </cell>
        </row>
        <row r="1132">
          <cell r="G1132">
            <v>9211327</v>
          </cell>
          <cell r="H1132">
            <v>9211327</v>
          </cell>
          <cell r="I1132">
            <v>0.12</v>
          </cell>
          <cell r="J1132">
            <v>10467418</v>
          </cell>
          <cell r="K1132">
            <v>0.1</v>
          </cell>
          <cell r="L1132">
            <v>10234808</v>
          </cell>
        </row>
        <row r="1133">
          <cell r="C1133">
            <v>8010037062</v>
          </cell>
          <cell r="D1133" t="str">
            <v>给水用聚乙烯HDPE直管(1.0MPa)黑色 dn560 11.8M/根(IDN)</v>
          </cell>
          <cell r="E1133" t="str">
            <v>HDPE Water Supply Pipe (1.0Mpa) dn560 11.8M/pcs Black(IDN)</v>
          </cell>
        </row>
        <row r="1133">
          <cell r="G1133">
            <v>18115621</v>
          </cell>
          <cell r="H1133">
            <v>18115621</v>
          </cell>
          <cell r="I1133">
            <v>0.12</v>
          </cell>
          <cell r="J1133">
            <v>20585933</v>
          </cell>
          <cell r="K1133">
            <v>0.1</v>
          </cell>
          <cell r="L1133">
            <v>20128468</v>
          </cell>
        </row>
        <row r="1134">
          <cell r="C1134">
            <v>8010037063</v>
          </cell>
          <cell r="D1134" t="str">
            <v>给水用聚乙烯HDPE直管(1.0MPa)黑色 dn560 12M/根(IDN)</v>
          </cell>
          <cell r="E1134" t="str">
            <v>HDPE Water Supply Pipe (1.0Mpa) dn560 12M/pcs Black(IDN)</v>
          </cell>
        </row>
        <row r="1134">
          <cell r="G1134">
            <v>18422654</v>
          </cell>
          <cell r="H1134">
            <v>18422654</v>
          </cell>
          <cell r="I1134">
            <v>0.12</v>
          </cell>
          <cell r="J1134">
            <v>20934835</v>
          </cell>
          <cell r="K1134">
            <v>0.1</v>
          </cell>
          <cell r="L1134">
            <v>20469616</v>
          </cell>
        </row>
        <row r="1135">
          <cell r="C1135">
            <v>8010037084</v>
          </cell>
          <cell r="D1135" t="str">
            <v>给水用聚乙烯HDPE直管(1.0MPa)黑色 dn630 5.8M/根(IDN)</v>
          </cell>
          <cell r="E1135" t="str">
            <v>HDPE Water Supply Pipe (1.0Mpa) dn630 5.8M/pcs Black(IDN)</v>
          </cell>
        </row>
        <row r="1135">
          <cell r="G1135">
            <v>11277548</v>
          </cell>
          <cell r="H1135">
            <v>11277548</v>
          </cell>
          <cell r="I1135">
            <v>0.12</v>
          </cell>
          <cell r="J1135">
            <v>12815396</v>
          </cell>
          <cell r="K1135">
            <v>0.1</v>
          </cell>
          <cell r="L1135">
            <v>12530609</v>
          </cell>
        </row>
        <row r="1136">
          <cell r="C1136">
            <v>8010037085</v>
          </cell>
          <cell r="D1136" t="str">
            <v>给水用聚乙烯HDPE直管(1.0MPa)黑色 dn630 6M/根(IDN)</v>
          </cell>
          <cell r="E1136" t="str">
            <v>HDPE Water Supply Pipe (1.0Mpa) dn630 6M/pcs Black(IDN)</v>
          </cell>
        </row>
        <row r="1136">
          <cell r="G1136">
            <v>11666429</v>
          </cell>
          <cell r="H1136">
            <v>11666429</v>
          </cell>
          <cell r="I1136">
            <v>0.12</v>
          </cell>
          <cell r="J1136">
            <v>13257306</v>
          </cell>
          <cell r="K1136">
            <v>0.1</v>
          </cell>
          <cell r="L1136">
            <v>12962699</v>
          </cell>
        </row>
        <row r="1137">
          <cell r="C1137">
            <v>8010037086</v>
          </cell>
          <cell r="D1137" t="str">
            <v>给水用聚乙烯HDPE直管(1.0MPa)黑色 dn630 11.8M/根(IDN)</v>
          </cell>
          <cell r="E1137" t="str">
            <v>HDPE Water Supply Pipe (1.0Mpa) dn630 11.8M/pcs Black(IDN)</v>
          </cell>
        </row>
        <row r="1137">
          <cell r="G1137">
            <v>22943977</v>
          </cell>
          <cell r="H1137">
            <v>22943977</v>
          </cell>
          <cell r="I1137">
            <v>0.12</v>
          </cell>
          <cell r="J1137">
            <v>26072702</v>
          </cell>
          <cell r="K1137">
            <v>0.1</v>
          </cell>
          <cell r="L1137">
            <v>25493308</v>
          </cell>
        </row>
        <row r="1138">
          <cell r="C1138">
            <v>8010037087</v>
          </cell>
          <cell r="D1138" t="str">
            <v>给水用聚乙烯HDPE直管(1.0MPa)黑色 dn630 12M/根(IDN)</v>
          </cell>
          <cell r="E1138" t="str">
            <v>HDPE Water Supply Pipe (1.0Mpa) dn630 12M/pcs Black(IDN)</v>
          </cell>
        </row>
        <row r="1138">
          <cell r="G1138">
            <v>23332858</v>
          </cell>
          <cell r="H1138">
            <v>23332858</v>
          </cell>
          <cell r="I1138">
            <v>0.12</v>
          </cell>
          <cell r="J1138">
            <v>26514612</v>
          </cell>
          <cell r="K1138">
            <v>0.1</v>
          </cell>
          <cell r="L1138">
            <v>25925398</v>
          </cell>
        </row>
        <row r="1139">
          <cell r="C1139">
            <v>8010037132</v>
          </cell>
          <cell r="D1139" t="str">
            <v>给水用聚乙烯HDPE直管(1.0MPa)黑色 dn800 5.8M/根(IDN)</v>
          </cell>
          <cell r="E1139" t="str">
            <v>HDPE Water Supply Pipe (1.0Mpa) dn800 5.8M/pcs Black(IDN)</v>
          </cell>
        </row>
        <row r="1139">
          <cell r="G1139">
            <v>18173399</v>
          </cell>
          <cell r="H1139">
            <v>18173399</v>
          </cell>
          <cell r="I1139">
            <v>0.12</v>
          </cell>
          <cell r="J1139">
            <v>20651590</v>
          </cell>
          <cell r="K1139">
            <v>0.1</v>
          </cell>
          <cell r="L1139">
            <v>20192666</v>
          </cell>
        </row>
        <row r="1140">
          <cell r="C1140">
            <v>8010037133</v>
          </cell>
          <cell r="D1140" t="str">
            <v>给水用聚乙烯HDPE直管(1.0MPa)黑色 dn800 6M/根(IDN)</v>
          </cell>
          <cell r="E1140" t="str">
            <v>HDPE Water Supply Pipe (1.0Mpa) dn800 6M/pcs Black(IDN)</v>
          </cell>
        </row>
        <row r="1140">
          <cell r="G1140">
            <v>18800068</v>
          </cell>
          <cell r="H1140">
            <v>18800068</v>
          </cell>
          <cell r="I1140">
            <v>0.12</v>
          </cell>
          <cell r="J1140">
            <v>21363714</v>
          </cell>
          <cell r="K1140">
            <v>0.1</v>
          </cell>
          <cell r="L1140">
            <v>20888964</v>
          </cell>
        </row>
        <row r="1141">
          <cell r="C1141">
            <v>8010037134</v>
          </cell>
          <cell r="D1141" t="str">
            <v>给水用聚乙烯HDPE直管(1.0MPa)黑色 dn800 11.8M/根(IDN)</v>
          </cell>
          <cell r="E1141" t="str">
            <v>HDPE Water Supply Pipe (1.0Mpa) dn800 11.8M/pcs Black(IDN)</v>
          </cell>
        </row>
        <row r="1141">
          <cell r="G1141">
            <v>36973468</v>
          </cell>
          <cell r="H1141">
            <v>36973468</v>
          </cell>
          <cell r="I1141">
            <v>0.12</v>
          </cell>
          <cell r="J1141">
            <v>42015305</v>
          </cell>
          <cell r="K1141">
            <v>0.1</v>
          </cell>
          <cell r="L1141">
            <v>41081631</v>
          </cell>
        </row>
        <row r="1142">
          <cell r="C1142">
            <v>8010037135</v>
          </cell>
          <cell r="D1142" t="str">
            <v>给水用聚乙烯HDPE直管(1.0MPa)黑色 dn800 12M/根(IDN)</v>
          </cell>
          <cell r="E1142" t="str">
            <v>HDPE Water Supply Pipe (1.0Mpa) dn800 12M/pcs Black(IDN)</v>
          </cell>
        </row>
        <row r="1142">
          <cell r="G1142">
            <v>37600136</v>
          </cell>
          <cell r="H1142">
            <v>37600136</v>
          </cell>
          <cell r="I1142">
            <v>0.12</v>
          </cell>
          <cell r="J1142">
            <v>42727428</v>
          </cell>
          <cell r="K1142">
            <v>0.1</v>
          </cell>
          <cell r="L1142">
            <v>41777929</v>
          </cell>
        </row>
        <row r="1143">
          <cell r="C1143">
            <v>8010037171</v>
          </cell>
          <cell r="D1143" t="str">
            <v>给水用聚乙烯HDPE直管(1.0MPa)黑色 dn710 5.8M/根(IDN)</v>
          </cell>
          <cell r="E1143" t="str">
            <v>HDPE Water Supply Pipe (1.0Mpa) dn710 5.8M/pcs Black(IDN)</v>
          </cell>
        </row>
        <row r="1143">
          <cell r="G1143">
            <v>14332120</v>
          </cell>
          <cell r="H1143">
            <v>14332120</v>
          </cell>
          <cell r="I1143">
            <v>0.12</v>
          </cell>
          <cell r="J1143">
            <v>16286500</v>
          </cell>
          <cell r="K1143">
            <v>0.1</v>
          </cell>
          <cell r="L1143">
            <v>15924578</v>
          </cell>
        </row>
        <row r="1144">
          <cell r="C1144">
            <v>8010037172</v>
          </cell>
          <cell r="D1144" t="str">
            <v>给水用聚乙烯HDPE直管(1.0MPa)黑色 dn710 6M/根(IDN)</v>
          </cell>
          <cell r="E1144" t="str">
            <v>HDPE Water Supply Pipe (1.0Mpa) dn710 6M/pcs Black(IDN)</v>
          </cell>
        </row>
        <row r="1144">
          <cell r="G1144">
            <v>14826336</v>
          </cell>
          <cell r="H1144">
            <v>14826336</v>
          </cell>
          <cell r="I1144">
            <v>0.12</v>
          </cell>
          <cell r="J1144">
            <v>16848110</v>
          </cell>
          <cell r="K1144">
            <v>0.1</v>
          </cell>
          <cell r="L1144">
            <v>16473707</v>
          </cell>
        </row>
        <row r="1145">
          <cell r="C1145">
            <v>8010037173</v>
          </cell>
          <cell r="D1145" t="str">
            <v>给水用聚乙烯HDPE直管(1.0MPa)黑色 dn710 11.8M/根(IDN)</v>
          </cell>
          <cell r="E1145" t="str">
            <v>HDPE Water Supply Pipe (1.0Mpa) dn710 11.8M/pcs Black(IDN)</v>
          </cell>
        </row>
        <row r="1145">
          <cell r="G1145">
            <v>29158456</v>
          </cell>
          <cell r="H1145">
            <v>29158456</v>
          </cell>
          <cell r="I1145">
            <v>0.12</v>
          </cell>
          <cell r="J1145">
            <v>33134610</v>
          </cell>
          <cell r="K1145">
            <v>0.1</v>
          </cell>
          <cell r="L1145">
            <v>32398284</v>
          </cell>
        </row>
        <row r="1146">
          <cell r="C1146">
            <v>8010037174</v>
          </cell>
          <cell r="D1146" t="str">
            <v>给水用聚乙烯HDPE直管(1.0MPa)黑色 dn710 12M/根(IDN)</v>
          </cell>
          <cell r="E1146" t="str">
            <v>HDPE Water Supply Pipe (1.0Mpa) dn710 12M/pcs Black(IDN)</v>
          </cell>
        </row>
        <row r="1146">
          <cell r="G1146">
            <v>29652672</v>
          </cell>
          <cell r="H1146">
            <v>29652672</v>
          </cell>
          <cell r="I1146">
            <v>0.12</v>
          </cell>
          <cell r="J1146">
            <v>33696219</v>
          </cell>
          <cell r="K1146">
            <v>0.1</v>
          </cell>
          <cell r="L1146">
            <v>32947413</v>
          </cell>
        </row>
        <row r="1147">
          <cell r="C1147">
            <v>8010037105</v>
          </cell>
          <cell r="D1147" t="str">
            <v>给水用聚乙烯HDPE直管(1.0MPa)黑色 dn1000 5.8M/根(IDN)</v>
          </cell>
          <cell r="E1147" t="str">
            <v>HDPE Water Supply Pipe (1.0Mpa) dn1000 5.8M/pcs Black(IDN)</v>
          </cell>
        </row>
        <row r="1147">
          <cell r="G1147">
            <v>28411882</v>
          </cell>
          <cell r="H1147">
            <v>28411882</v>
          </cell>
          <cell r="I1147">
            <v>0.12</v>
          </cell>
          <cell r="J1147">
            <v>32286230</v>
          </cell>
          <cell r="K1147">
            <v>0.1</v>
          </cell>
          <cell r="L1147">
            <v>31568758</v>
          </cell>
        </row>
        <row r="1148">
          <cell r="C1148">
            <v>8010037106</v>
          </cell>
          <cell r="D1148" t="str">
            <v>给水用聚乙烯HDPE直管(1.0MPa)黑色 dn1000 6M/根(IDN)</v>
          </cell>
          <cell r="E1148" t="str">
            <v>HDPE Water Supply Pipe (1.0Mpa) dn1000 6M/pcs Black(IDN)</v>
          </cell>
        </row>
        <row r="1148">
          <cell r="G1148">
            <v>29391590</v>
          </cell>
          <cell r="H1148">
            <v>29391590</v>
          </cell>
          <cell r="I1148">
            <v>0.12</v>
          </cell>
          <cell r="J1148">
            <v>33399535</v>
          </cell>
          <cell r="K1148">
            <v>0.1</v>
          </cell>
          <cell r="L1148">
            <v>32657322</v>
          </cell>
        </row>
        <row r="1149">
          <cell r="C1149">
            <v>8010037107</v>
          </cell>
          <cell r="D1149" t="str">
            <v>给水用聚乙烯HDPE直管(1.0MPa)黑色 dn1000 11.8M/根(IDN)</v>
          </cell>
          <cell r="E1149" t="str">
            <v>HDPE Water Supply Pipe (1.0Mpa) dn1000 11.8M/pcs Black(IDN)</v>
          </cell>
        </row>
        <row r="1149">
          <cell r="G1149">
            <v>57803472</v>
          </cell>
          <cell r="H1149">
            <v>57803472</v>
          </cell>
          <cell r="I1149">
            <v>0.12</v>
          </cell>
          <cell r="J1149">
            <v>65685764</v>
          </cell>
          <cell r="K1149">
            <v>0.1</v>
          </cell>
          <cell r="L1149">
            <v>64226080</v>
          </cell>
        </row>
        <row r="1150">
          <cell r="C1150">
            <v>8010037108</v>
          </cell>
          <cell r="D1150" t="str">
            <v>给水用聚乙烯HDPE直管(1.0MPa)黑色 dn1000 12M/根(IDN)</v>
          </cell>
          <cell r="E1150" t="str">
            <v>HDPE Water Supply Pipe (1.0Mpa) dn1000 12M/pcs Black(IDN)</v>
          </cell>
        </row>
        <row r="1150">
          <cell r="G1150">
            <v>58783181</v>
          </cell>
          <cell r="H1150">
            <v>58783181</v>
          </cell>
          <cell r="I1150">
            <v>0.12</v>
          </cell>
          <cell r="J1150">
            <v>66799070</v>
          </cell>
          <cell r="K1150">
            <v>0.1</v>
          </cell>
          <cell r="L1150">
            <v>65314646</v>
          </cell>
        </row>
        <row r="1151">
          <cell r="C1151">
            <v>8010037156</v>
          </cell>
          <cell r="D1151" t="str">
            <v>给水用聚乙烯HDPE直管(1.0MPa)黑色 dn900 5.8M/根(IDN)</v>
          </cell>
          <cell r="E1151" t="str">
            <v>HDPE Water Supply Pipe (1.0Mpa) dn900 5.8M/pcs Black(IDN)</v>
          </cell>
        </row>
        <row r="1151">
          <cell r="G1151">
            <v>22988848</v>
          </cell>
          <cell r="H1151">
            <v>22988848</v>
          </cell>
          <cell r="I1151">
            <v>0.12</v>
          </cell>
          <cell r="J1151">
            <v>26123691</v>
          </cell>
          <cell r="K1151">
            <v>0.1</v>
          </cell>
          <cell r="L1151">
            <v>25543164</v>
          </cell>
        </row>
        <row r="1152">
          <cell r="C1152">
            <v>8010037157</v>
          </cell>
          <cell r="D1152" t="str">
            <v>给水用聚乙烯HDPE直管(1.0MPa)黑色 dn900 6M/根(IDN)</v>
          </cell>
          <cell r="E1152" t="str">
            <v>HDPE Water Supply Pipe (1.0Mpa) dn900 6M/pcs Black(IDN)</v>
          </cell>
        </row>
        <row r="1152">
          <cell r="G1152">
            <v>23781567</v>
          </cell>
          <cell r="H1152">
            <v>23781567</v>
          </cell>
          <cell r="I1152">
            <v>0.12</v>
          </cell>
          <cell r="J1152">
            <v>27024508</v>
          </cell>
          <cell r="K1152">
            <v>0.1</v>
          </cell>
          <cell r="L1152">
            <v>26423963</v>
          </cell>
        </row>
        <row r="1153">
          <cell r="C1153">
            <v>8010037158</v>
          </cell>
          <cell r="D1153" t="str">
            <v>给水用聚乙烯HDPE直管(1.0MPa)黑色 dn900 11.8M/根(IDN)</v>
          </cell>
          <cell r="E1153" t="str">
            <v>HDPE Water Supply Pipe (1.0Mpa) dn900 11.8M/pcs Black(IDN)</v>
          </cell>
        </row>
        <row r="1153">
          <cell r="G1153">
            <v>46770415</v>
          </cell>
          <cell r="H1153">
            <v>46770415</v>
          </cell>
          <cell r="I1153">
            <v>0.12</v>
          </cell>
          <cell r="J1153">
            <v>53148199</v>
          </cell>
          <cell r="K1153">
            <v>0.1</v>
          </cell>
          <cell r="L1153">
            <v>51967128</v>
          </cell>
        </row>
        <row r="1154">
          <cell r="C1154">
            <v>8010037159</v>
          </cell>
          <cell r="D1154" t="str">
            <v>给水用聚乙烯HDPE直管(1.0MPa)黑色 dn900 12M/根(IDN)</v>
          </cell>
          <cell r="E1154" t="str">
            <v>HDPE Water Supply Pipe (1.0Mpa) dn900 12M/pcs Black(IDN)</v>
          </cell>
        </row>
        <row r="1154">
          <cell r="G1154">
            <v>47563134</v>
          </cell>
          <cell r="H1154">
            <v>47563134</v>
          </cell>
          <cell r="I1154">
            <v>0.12</v>
          </cell>
          <cell r="J1154">
            <v>54049016</v>
          </cell>
          <cell r="K1154">
            <v>0.1</v>
          </cell>
          <cell r="L1154">
            <v>52847927</v>
          </cell>
        </row>
        <row r="1155">
          <cell r="C1155">
            <v>8010036428</v>
          </cell>
          <cell r="D1155" t="str">
            <v>给水用聚乙烯HDPE管盘管(1.6MPa)黑色 dn20 100M(IDN)</v>
          </cell>
          <cell r="E1155" t="str">
            <v>Pipa Coil HDPE Polyethylene untuk Suplai Air (1.6 MPa) Warna Hitam dn20 100M(IDN)</v>
          </cell>
          <cell r="F1155" t="str">
            <v>需要外采，数量少的时候。报价是要把物流费用加上</v>
          </cell>
          <cell r="G1155">
            <v>304685</v>
          </cell>
          <cell r="H1155">
            <v>304685</v>
          </cell>
          <cell r="I1155">
            <v>0.12</v>
          </cell>
          <cell r="J1155">
            <v>346233</v>
          </cell>
          <cell r="K1155">
            <v>0.1</v>
          </cell>
          <cell r="L1155">
            <v>338539</v>
          </cell>
        </row>
        <row r="1156">
          <cell r="C1156">
            <v>8010036429</v>
          </cell>
          <cell r="D1156" t="str">
            <v>给水用聚乙烯HDPE管盘管(1.6MPa)黑色 dn20 50M(IDN)</v>
          </cell>
          <cell r="E1156" t="str">
            <v>Pipa Coil HDPE Polyethylene untuk Suplai Air (1.6 MPa) Warna Hitam dn20 50M(IDN)</v>
          </cell>
        </row>
        <row r="1156">
          <cell r="G1156">
            <v>152342</v>
          </cell>
          <cell r="H1156">
            <v>152342</v>
          </cell>
          <cell r="I1156">
            <v>0.12</v>
          </cell>
          <cell r="J1156">
            <v>173116</v>
          </cell>
          <cell r="K1156">
            <v>0.1</v>
          </cell>
          <cell r="L1156">
            <v>169269</v>
          </cell>
        </row>
        <row r="1157">
          <cell r="C1157">
            <v>8010036436</v>
          </cell>
          <cell r="D1157" t="str">
            <v>给水用聚乙烯HDPE管盘管(1.6MPa)黑色 dn25 100M(IDN)</v>
          </cell>
          <cell r="E1157" t="str">
            <v>Pipa Coil HDPE Polyethylene untuk Suplai Air (1.6 MPa MPa) Warna Hitam dn25 100M(IDN)</v>
          </cell>
        </row>
        <row r="1157">
          <cell r="G1157">
            <v>470901</v>
          </cell>
          <cell r="H1157">
            <v>470901</v>
          </cell>
          <cell r="I1157">
            <v>0.12</v>
          </cell>
          <cell r="J1157">
            <v>535115</v>
          </cell>
          <cell r="K1157">
            <v>0.1</v>
          </cell>
          <cell r="L1157">
            <v>523223</v>
          </cell>
        </row>
        <row r="1158">
          <cell r="C1158">
            <v>8010036437</v>
          </cell>
          <cell r="D1158" t="str">
            <v>给水用聚乙烯HDPE管盘管(1.6MPa)黑色 dn25 50M(IDN)</v>
          </cell>
          <cell r="E1158" t="str">
            <v>Pipa Coil HDPE Polyethylene untuk Suplai Air (1.6 MPa  MPa) Warna Hitam dn25 50M(IDN)</v>
          </cell>
        </row>
        <row r="1158">
          <cell r="G1158">
            <v>235450</v>
          </cell>
          <cell r="H1158">
            <v>235450</v>
          </cell>
          <cell r="I1158">
            <v>0.12</v>
          </cell>
          <cell r="J1158">
            <v>267557</v>
          </cell>
          <cell r="K1158">
            <v>0.1</v>
          </cell>
          <cell r="L1158">
            <v>261611</v>
          </cell>
        </row>
        <row r="1159">
          <cell r="C1159">
            <v>8010036446</v>
          </cell>
          <cell r="D1159" t="str">
            <v>给水用聚乙烯HDPE管盘管(1.6MPa)黑色 dn32 100M(IDN)</v>
          </cell>
          <cell r="E1159" t="str">
            <v>Pipa Coil HDPE Polyethylene untuk Suplai Air (1.6 MPa) Warna Hitam dn32 100M(IDN)</v>
          </cell>
        </row>
        <row r="1159">
          <cell r="G1159">
            <v>772793</v>
          </cell>
          <cell r="H1159">
            <v>772793</v>
          </cell>
          <cell r="I1159">
            <v>0.12</v>
          </cell>
          <cell r="J1159">
            <v>878174</v>
          </cell>
          <cell r="K1159">
            <v>0.1</v>
          </cell>
          <cell r="L1159">
            <v>858659</v>
          </cell>
        </row>
        <row r="1160">
          <cell r="C1160">
            <v>8010036447</v>
          </cell>
          <cell r="D1160" t="str">
            <v>给水用聚乙烯HDPE管盘管(1.6MPa)黑色 dn32 50M(IDN)</v>
          </cell>
          <cell r="E1160" t="str">
            <v>Pipa Coil HDPE Polyethylene untuk Suplai Air (1.6 MPa) Warna Hitam dn32 50M(IDN)</v>
          </cell>
        </row>
        <row r="1160">
          <cell r="G1160">
            <v>386396</v>
          </cell>
          <cell r="H1160">
            <v>386396</v>
          </cell>
          <cell r="I1160">
            <v>0.12</v>
          </cell>
          <cell r="J1160">
            <v>439087</v>
          </cell>
          <cell r="K1160">
            <v>0.1</v>
          </cell>
          <cell r="L1160">
            <v>429329</v>
          </cell>
        </row>
        <row r="1161">
          <cell r="C1161">
            <v>8010036456</v>
          </cell>
          <cell r="D1161" t="str">
            <v>给水用聚乙烯HDPE管盘管(1.6MPa)黑色 dn40 100M(IDN)</v>
          </cell>
          <cell r="E1161" t="str">
            <v>Pipa Coil HDPE Polyethylene untuk Suplai Air (1.6 MPa) Warna Hitam dn40 100M(IDN)</v>
          </cell>
        </row>
        <row r="1161">
          <cell r="G1161">
            <v>1199279</v>
          </cell>
          <cell r="H1161">
            <v>1199279</v>
          </cell>
          <cell r="I1161">
            <v>0.12</v>
          </cell>
          <cell r="J1161">
            <v>1362818</v>
          </cell>
          <cell r="K1161">
            <v>0.1</v>
          </cell>
          <cell r="L1161">
            <v>1332532</v>
          </cell>
        </row>
        <row r="1162">
          <cell r="C1162">
            <v>8010036457</v>
          </cell>
          <cell r="D1162" t="str">
            <v>给水用聚乙烯HDPE管盘管(1.6MPa)黑色 dn40 50M(IDN)</v>
          </cell>
          <cell r="E1162" t="str">
            <v>Pipa Coil HDPE Polyethylene untuk Suplai Air (1.6 MPa) Warna Hitam dn40 50M(IDN)</v>
          </cell>
        </row>
        <row r="1162">
          <cell r="G1162">
            <v>599640</v>
          </cell>
          <cell r="H1162">
            <v>599640</v>
          </cell>
          <cell r="I1162">
            <v>0.12</v>
          </cell>
          <cell r="J1162">
            <v>681410</v>
          </cell>
          <cell r="K1162">
            <v>0.1</v>
          </cell>
          <cell r="L1162">
            <v>666267</v>
          </cell>
        </row>
        <row r="1163">
          <cell r="C1163">
            <v>8010036466</v>
          </cell>
          <cell r="D1163" t="str">
            <v>给水用聚乙烯HDPE管盘管(1.6MPa)黑色 dn50 100M(IDN)</v>
          </cell>
          <cell r="E1163" t="str">
            <v>Pipa Coil HDPE Polyethylene untuk Suplai Air (1.6 MPa) Warna Hitam dn50 100M(IDN)</v>
          </cell>
        </row>
        <row r="1163">
          <cell r="G1163">
            <v>1850270</v>
          </cell>
          <cell r="H1163">
            <v>1850270</v>
          </cell>
          <cell r="I1163">
            <v>0.12</v>
          </cell>
          <cell r="J1163">
            <v>2102580</v>
          </cell>
          <cell r="K1163">
            <v>0.1</v>
          </cell>
          <cell r="L1163">
            <v>2055856</v>
          </cell>
        </row>
        <row r="1164">
          <cell r="C1164">
            <v>8010036467</v>
          </cell>
          <cell r="D1164" t="str">
            <v>给水用聚乙烯HDPE管盘管(1.6MPa)黑色 dn50 50M(IDN)</v>
          </cell>
          <cell r="E1164" t="str">
            <v>Pipa Coil HDPE Polyethylene untuk Suplai Air (1.6 MPa) Warna Hitam dn50 50M(IDN)</v>
          </cell>
        </row>
        <row r="1164">
          <cell r="G1164">
            <v>925135</v>
          </cell>
          <cell r="H1164">
            <v>925135</v>
          </cell>
          <cell r="I1164">
            <v>0.12</v>
          </cell>
          <cell r="J1164">
            <v>1051290</v>
          </cell>
          <cell r="K1164">
            <v>0.1</v>
          </cell>
          <cell r="L1164">
            <v>1027928</v>
          </cell>
        </row>
        <row r="1165">
          <cell r="C1165">
            <v>8010036476</v>
          </cell>
          <cell r="D1165" t="str">
            <v>给水用聚乙烯HDPE管盘管(1.6MPa)黑色 dn63 100M(IDN)</v>
          </cell>
          <cell r="E1165" t="str">
            <v>Pipa Coil HDPE Polyethylene untuk Suplai Air (1.6 MPa) Warna Hitam dn63 100M(IDN)</v>
          </cell>
        </row>
        <row r="1165">
          <cell r="G1165">
            <v>2924955</v>
          </cell>
          <cell r="H1165">
            <v>2924955</v>
          </cell>
          <cell r="I1165">
            <v>0.12</v>
          </cell>
          <cell r="J1165">
            <v>3323813</v>
          </cell>
          <cell r="K1165">
            <v>0.1</v>
          </cell>
          <cell r="L1165">
            <v>3249950</v>
          </cell>
        </row>
        <row r="1166">
          <cell r="C1166">
            <v>8010036477</v>
          </cell>
          <cell r="D1166" t="str">
            <v>给水用聚乙烯HDPE管盘管(1.6MPa)黑色 dn63 50M(IDN)</v>
          </cell>
          <cell r="E1166" t="str">
            <v>Pipa Coil HDPE Polyethylene untuk Suplai Air (1.6 MPa) Warna Hitam dn63 50M(IDN)</v>
          </cell>
        </row>
        <row r="1166">
          <cell r="G1166">
            <v>1462477</v>
          </cell>
          <cell r="H1166">
            <v>1462477</v>
          </cell>
          <cell r="I1166">
            <v>0.12</v>
          </cell>
          <cell r="J1166">
            <v>1661906</v>
          </cell>
          <cell r="K1166">
            <v>0.1</v>
          </cell>
          <cell r="L1166">
            <v>1624974</v>
          </cell>
        </row>
        <row r="1167">
          <cell r="C1167">
            <v>8010036486</v>
          </cell>
          <cell r="D1167" t="str">
            <v>给水用聚乙烯HDPE管盘管(1.6MPa)黑色 dn75 50M(IDN)</v>
          </cell>
          <cell r="E1167" t="str">
            <v>Pipa Coil HDPE Polyethylene untuk Suplai Air (1.6 MPa) Warna Hitam dn75 50M(IDN)</v>
          </cell>
        </row>
        <row r="1167">
          <cell r="G1167">
            <v>2042748</v>
          </cell>
          <cell r="H1167">
            <v>2042748</v>
          </cell>
          <cell r="I1167">
            <v>0.12</v>
          </cell>
          <cell r="J1167">
            <v>2321305</v>
          </cell>
          <cell r="K1167">
            <v>0.1</v>
          </cell>
          <cell r="L1167">
            <v>2269720</v>
          </cell>
        </row>
        <row r="1168">
          <cell r="C1168">
            <v>8010036487</v>
          </cell>
          <cell r="D1168" t="str">
            <v>给水用聚乙烯HDPE管盘管(1.6MPa)黑色 dn75 100M(IDN)</v>
          </cell>
          <cell r="E1168" t="str">
            <v>Pipa Coil HDPE Polyethylene untuk Suplai Air (1.6 MPa) Warna Hitam dn75 100M(IDN)</v>
          </cell>
        </row>
        <row r="1168">
          <cell r="G1168">
            <v>4085495</v>
          </cell>
          <cell r="H1168">
            <v>4085495</v>
          </cell>
          <cell r="I1168">
            <v>0.12</v>
          </cell>
          <cell r="J1168">
            <v>4642608</v>
          </cell>
          <cell r="K1168">
            <v>0.1</v>
          </cell>
          <cell r="L1168">
            <v>4539439</v>
          </cell>
        </row>
        <row r="1169">
          <cell r="C1169">
            <v>8010036496</v>
          </cell>
          <cell r="D1169" t="str">
            <v>给水用聚乙烯HDPE管盘管(1.6MPa)黑色 dn90 100M(IDN)</v>
          </cell>
          <cell r="E1169" t="str">
            <v>Pipa Coil HDPE Polyethylene untuk Suplai Air (1.6 MPa) Warna Hitam dn90 100M(IDN)</v>
          </cell>
        </row>
        <row r="1169">
          <cell r="G1169">
            <v>5919099</v>
          </cell>
          <cell r="H1169">
            <v>5919099</v>
          </cell>
          <cell r="I1169">
            <v>0.12</v>
          </cell>
          <cell r="J1169">
            <v>6726249</v>
          </cell>
          <cell r="K1169">
            <v>0.1</v>
          </cell>
          <cell r="L1169">
            <v>6576777</v>
          </cell>
        </row>
        <row r="1170">
          <cell r="C1170">
            <v>8010036497</v>
          </cell>
          <cell r="D1170" t="str">
            <v>给水用聚乙烯HDPE管盘管(1.6MPa)黑色 dn90 50M(IDN)</v>
          </cell>
          <cell r="E1170" t="str">
            <v>Pipa Coil HDPE Polyethylene untuk Suplai Air (1.6 MPa) Warna Hitam dn90 50M(IDN)</v>
          </cell>
        </row>
        <row r="1170">
          <cell r="G1170">
            <v>2959550</v>
          </cell>
          <cell r="H1170">
            <v>2959550</v>
          </cell>
          <cell r="I1170">
            <v>0.12</v>
          </cell>
          <cell r="J1170">
            <v>3363125</v>
          </cell>
          <cell r="K1170">
            <v>0.1</v>
          </cell>
          <cell r="L1170">
            <v>3288389</v>
          </cell>
        </row>
        <row r="1171">
          <cell r="C1171">
            <v>8010036506</v>
          </cell>
          <cell r="D1171" t="str">
            <v>给水用聚乙烯HDPE管盘管(1.6MPa)黑色 dn110 100M(IDN)</v>
          </cell>
          <cell r="E1171" t="str">
            <v>Pipa Coil HDPE Polyethylene untuk Suplai Air (1.6 MPa) Warna Hitam dn110 100M(IDN)</v>
          </cell>
        </row>
        <row r="1171">
          <cell r="G1171">
            <v>8758108</v>
          </cell>
          <cell r="H1171">
            <v>8758108</v>
          </cell>
          <cell r="I1171">
            <v>0.12</v>
          </cell>
          <cell r="J1171">
            <v>9952396</v>
          </cell>
          <cell r="K1171">
            <v>0.1</v>
          </cell>
          <cell r="L1171">
            <v>9731231</v>
          </cell>
        </row>
        <row r="1172">
          <cell r="C1172">
            <v>8010036507</v>
          </cell>
          <cell r="D1172" t="str">
            <v>给水用聚乙烯HDPE管盘管(1.6MPa)黑色 dn110 50M(IDN)</v>
          </cell>
          <cell r="E1172" t="str">
            <v>Pipa Coil HDPE Polyethylene untuk Suplai Air (1.6 MPa) Warna Hitam dn110 50M(IDN)</v>
          </cell>
        </row>
        <row r="1172">
          <cell r="G1172">
            <v>4379054</v>
          </cell>
          <cell r="H1172">
            <v>4379054</v>
          </cell>
          <cell r="I1172">
            <v>0.12</v>
          </cell>
          <cell r="J1172">
            <v>4976198</v>
          </cell>
          <cell r="K1172">
            <v>0.1</v>
          </cell>
          <cell r="L1172">
            <v>4865616</v>
          </cell>
        </row>
        <row r="1173">
          <cell r="C1173">
            <v>8010036512</v>
          </cell>
          <cell r="D1173" t="str">
            <v>给水用聚乙烯HDPE直管(1.6MPa)黑色 dn20 5.8M(IDN)</v>
          </cell>
          <cell r="E1173" t="str">
            <v>Pipa HDPE Polyethylene untuk Suplai Air (1.6 MPa) Warna Hitam dn20 5.8M(IDN)</v>
          </cell>
        </row>
        <row r="1173">
          <cell r="G1173">
            <v>17671</v>
          </cell>
          <cell r="H1173">
            <v>17671</v>
          </cell>
          <cell r="I1173">
            <v>0.12</v>
          </cell>
          <cell r="J1173">
            <v>20081</v>
          </cell>
          <cell r="K1173">
            <v>0.1</v>
          </cell>
          <cell r="L1173">
            <v>19634</v>
          </cell>
        </row>
        <row r="1174">
          <cell r="C1174">
            <v>8010036513</v>
          </cell>
          <cell r="D1174" t="str">
            <v>给水用聚乙烯HDPE直管(1.6MPa)黑色 dn20 6M(IDN)</v>
          </cell>
          <cell r="E1174" t="str">
            <v>Pipa HDPE Polyethylene untuk Suplai Air (1.6 MPa) Warna Hitam dn20 6M(IDN)</v>
          </cell>
        </row>
        <row r="1174">
          <cell r="G1174">
            <v>18281</v>
          </cell>
          <cell r="H1174">
            <v>18281</v>
          </cell>
          <cell r="I1174">
            <v>0.12</v>
          </cell>
          <cell r="J1174">
            <v>20774</v>
          </cell>
          <cell r="K1174">
            <v>0.1</v>
          </cell>
          <cell r="L1174">
            <v>20312</v>
          </cell>
        </row>
        <row r="1175">
          <cell r="C1175">
            <v>8010036514</v>
          </cell>
          <cell r="D1175" t="str">
            <v>给水用聚乙烯HDPE直管(1.6MPa)黑色 dn20 11.8M(IDN)</v>
          </cell>
          <cell r="E1175" t="str">
            <v>Pipa HDPE Polyethylene untuk Suplai Air (1.6 MPa) Warna Hitam dn20 11.8M(IDN)</v>
          </cell>
        </row>
        <row r="1175">
          <cell r="G1175">
            <v>35952</v>
          </cell>
          <cell r="H1175">
            <v>35952</v>
          </cell>
          <cell r="I1175">
            <v>0.12</v>
          </cell>
          <cell r="J1175">
            <v>40855</v>
          </cell>
          <cell r="K1175">
            <v>0.1</v>
          </cell>
          <cell r="L1175">
            <v>39947</v>
          </cell>
        </row>
        <row r="1176">
          <cell r="C1176">
            <v>8010036515</v>
          </cell>
          <cell r="D1176" t="str">
            <v>给水用聚乙烯HDPE直管(1.6MPa)黑色 dn20 12M(IDN)</v>
          </cell>
          <cell r="E1176" t="str">
            <v>Pipa HDPE Polyethylene untuk Suplai Air (1.6 MPa) Warna Hitam dn20 12M(IDN)</v>
          </cell>
        </row>
        <row r="1176">
          <cell r="G1176">
            <v>36561</v>
          </cell>
          <cell r="H1176">
            <v>36561</v>
          </cell>
          <cell r="I1176">
            <v>0.12</v>
          </cell>
          <cell r="J1176">
            <v>41547</v>
          </cell>
          <cell r="K1176">
            <v>0.1</v>
          </cell>
          <cell r="L1176">
            <v>40623</v>
          </cell>
        </row>
        <row r="1177">
          <cell r="C1177">
            <v>8010036528</v>
          </cell>
          <cell r="D1177" t="str">
            <v>给水用聚乙烯HDPE直管(1.6MPa)黑色 dn25 5.8M(IDN)</v>
          </cell>
          <cell r="E1177" t="str">
            <v>Pipa HDPE Polyethylene untuk Suplai Air (1.6 MPa) Warna Hitam dn25 5.8M(IDN)</v>
          </cell>
        </row>
        <row r="1177">
          <cell r="G1177">
            <v>27310</v>
          </cell>
          <cell r="H1177">
            <v>27310</v>
          </cell>
          <cell r="I1177">
            <v>0.12</v>
          </cell>
          <cell r="J1177">
            <v>31035</v>
          </cell>
          <cell r="K1177">
            <v>0.1</v>
          </cell>
          <cell r="L1177">
            <v>30344</v>
          </cell>
        </row>
        <row r="1178">
          <cell r="C1178">
            <v>8010036529</v>
          </cell>
          <cell r="D1178" t="str">
            <v>给水用聚乙烯HDPE直管(1.6MPa)黑色 dn25 6M(IDN)</v>
          </cell>
          <cell r="E1178" t="str">
            <v>Pipa HDPE Polyethylene untuk Suplai Air (1.6 MPa) Warna Hitam dn25 6M(IDN)</v>
          </cell>
        </row>
        <row r="1178">
          <cell r="G1178">
            <v>28252</v>
          </cell>
          <cell r="H1178">
            <v>28252</v>
          </cell>
          <cell r="I1178">
            <v>0.12</v>
          </cell>
          <cell r="J1178">
            <v>32105</v>
          </cell>
          <cell r="K1178">
            <v>0.1</v>
          </cell>
          <cell r="L1178">
            <v>31391</v>
          </cell>
        </row>
        <row r="1179">
          <cell r="C1179">
            <v>8010036530</v>
          </cell>
          <cell r="D1179" t="str">
            <v>给水用聚乙烯HDPE直管(1.6MPa)黑色 DN25 11.8M(IDN)</v>
          </cell>
          <cell r="E1179" t="str">
            <v>Pipa HDPE Polyethylene untuk Suplai Air (1.6 MPa) Warna Hitam dn25 11.8M(IDN)</v>
          </cell>
        </row>
        <row r="1179">
          <cell r="G1179">
            <v>55562</v>
          </cell>
          <cell r="H1179">
            <v>55562</v>
          </cell>
          <cell r="I1179">
            <v>0.12</v>
          </cell>
          <cell r="J1179">
            <v>63139</v>
          </cell>
          <cell r="K1179">
            <v>0.1</v>
          </cell>
          <cell r="L1179">
            <v>61736</v>
          </cell>
        </row>
        <row r="1180">
          <cell r="C1180">
            <v>8010036531</v>
          </cell>
          <cell r="D1180" t="str">
            <v>给水用聚乙烯HDPE直管(1.6MPa)黑色 dn25 12M(IDN)</v>
          </cell>
          <cell r="E1180" t="str">
            <v>Pipa HDPE Polyethylene untuk Suplai Air (1.6 MPa) Warna Hitam dn25 12M(IDN)</v>
          </cell>
        </row>
        <row r="1180">
          <cell r="G1180">
            <v>56504</v>
          </cell>
          <cell r="H1180">
            <v>56504</v>
          </cell>
          <cell r="I1180">
            <v>0.12</v>
          </cell>
          <cell r="J1180">
            <v>64210</v>
          </cell>
          <cell r="K1180">
            <v>0.1</v>
          </cell>
          <cell r="L1180">
            <v>62782</v>
          </cell>
        </row>
        <row r="1181">
          <cell r="C1181">
            <v>8010036548</v>
          </cell>
          <cell r="D1181" t="str">
            <v>给水用聚乙烯HDPE直管(1.6MPa)黑色 dn32 5.8M(IDN)</v>
          </cell>
          <cell r="E1181" t="str">
            <v>Pipa HDPE Polyethylene untuk Suplai Air (1.6 MPa) Warna Hitam dn32 5.8M(IDN)</v>
          </cell>
        </row>
        <row r="1181">
          <cell r="G1181">
            <v>44815</v>
          </cell>
          <cell r="H1181">
            <v>44815</v>
          </cell>
          <cell r="I1181">
            <v>0.12</v>
          </cell>
          <cell r="J1181">
            <v>50927</v>
          </cell>
          <cell r="K1181">
            <v>0.1</v>
          </cell>
          <cell r="L1181">
            <v>49794</v>
          </cell>
        </row>
        <row r="1182">
          <cell r="C1182">
            <v>8010036549</v>
          </cell>
          <cell r="D1182" t="str">
            <v>给水用聚乙烯HDPE直管(1.6MPa)黑色 dn32 6M(IDN)</v>
          </cell>
          <cell r="E1182" t="str">
            <v>Pipa HDPE Polyethylene untuk Suplai Air (1.6 MPa) Warna Hitam dn32 6M(IDN)</v>
          </cell>
        </row>
        <row r="1182">
          <cell r="G1182">
            <v>46367</v>
          </cell>
          <cell r="H1182">
            <v>46367</v>
          </cell>
          <cell r="I1182">
            <v>0.12</v>
          </cell>
          <cell r="J1182">
            <v>52690</v>
          </cell>
          <cell r="K1182">
            <v>0.1</v>
          </cell>
          <cell r="L1182">
            <v>51519</v>
          </cell>
        </row>
        <row r="1183">
          <cell r="C1183">
            <v>8010036550</v>
          </cell>
          <cell r="D1183" t="str">
            <v>给水用聚乙烯HDPE直管(1.6MPa)黑色 dn32 11.8M(IDN)</v>
          </cell>
          <cell r="E1183" t="str">
            <v>Pipa HDPE Polyethylene untuk Suplai Air (1.6 MPa) Warna Hitam dn32 11.8M(IDN)</v>
          </cell>
        </row>
        <row r="1183">
          <cell r="G1183">
            <v>91182</v>
          </cell>
          <cell r="H1183">
            <v>91182</v>
          </cell>
          <cell r="I1183">
            <v>0.12</v>
          </cell>
          <cell r="J1183">
            <v>103616</v>
          </cell>
          <cell r="K1183">
            <v>0.1</v>
          </cell>
          <cell r="L1183">
            <v>101313</v>
          </cell>
        </row>
        <row r="1184">
          <cell r="C1184">
            <v>8010036551</v>
          </cell>
          <cell r="D1184" t="str">
            <v>给水用聚乙烯HDPE直管(1.6MPa)黑色 dn32 12M(IDN)</v>
          </cell>
          <cell r="E1184" t="str">
            <v>Pipa HDPE Polyethylene untuk Suplai Air (1.6 MPa) Warna Hitam dn32 12M(IDN)</v>
          </cell>
        </row>
        <row r="1184">
          <cell r="G1184">
            <v>92733</v>
          </cell>
          <cell r="H1184">
            <v>92733</v>
          </cell>
          <cell r="I1184">
            <v>0.12</v>
          </cell>
          <cell r="J1184">
            <v>105379</v>
          </cell>
          <cell r="K1184">
            <v>0.1</v>
          </cell>
          <cell r="L1184">
            <v>103037</v>
          </cell>
        </row>
        <row r="1185">
          <cell r="C1185">
            <v>8010036568</v>
          </cell>
          <cell r="D1185" t="str">
            <v>给水用聚乙烯HDPE直管(1.6MPa)黑色 dn40 5.8M(IDN)</v>
          </cell>
          <cell r="E1185" t="str">
            <v>Pipa HDPE Polyethylene untuk Suplai Air (1.6 MPa) Warna Hitam dn40 5.8M(IDN)</v>
          </cell>
        </row>
        <row r="1185">
          <cell r="G1185">
            <v>69550</v>
          </cell>
          <cell r="H1185">
            <v>69550</v>
          </cell>
          <cell r="I1185">
            <v>0.12</v>
          </cell>
          <cell r="J1185">
            <v>79035</v>
          </cell>
          <cell r="K1185">
            <v>0.1</v>
          </cell>
          <cell r="L1185">
            <v>77278</v>
          </cell>
        </row>
        <row r="1186">
          <cell r="C1186">
            <v>8010036569</v>
          </cell>
          <cell r="D1186" t="str">
            <v>给水用聚乙烯HDPE直管(1.6MPa)黑色 dn40 6M(IDN)</v>
          </cell>
          <cell r="E1186" t="str">
            <v>Pipa HDPE Polyethylene untuk Suplai Air (1.6 MPa) Warna Hitam dn40 6M(IDN)</v>
          </cell>
        </row>
        <row r="1186">
          <cell r="G1186">
            <v>71959</v>
          </cell>
          <cell r="H1186">
            <v>71959</v>
          </cell>
          <cell r="I1186">
            <v>0.12</v>
          </cell>
          <cell r="J1186">
            <v>81772</v>
          </cell>
          <cell r="K1186">
            <v>0.1</v>
          </cell>
          <cell r="L1186">
            <v>79954</v>
          </cell>
        </row>
        <row r="1187">
          <cell r="C1187">
            <v>8010036570</v>
          </cell>
          <cell r="D1187" t="str">
            <v>给水用聚乙烯HDPE直管(1.6MPa)黑色 dn40 11.8M(IDN)</v>
          </cell>
          <cell r="E1187" t="str">
            <v>Pipa HDPE Polyethylene untuk Suplai Air (1.6 MPa) Warna Hitam dn40 11.8M(IDN)</v>
          </cell>
        </row>
        <row r="1187">
          <cell r="G1187">
            <v>141509</v>
          </cell>
          <cell r="H1187">
            <v>141509</v>
          </cell>
          <cell r="I1187">
            <v>0.12</v>
          </cell>
          <cell r="J1187">
            <v>160806</v>
          </cell>
          <cell r="K1187">
            <v>0.1</v>
          </cell>
          <cell r="L1187">
            <v>157232</v>
          </cell>
        </row>
        <row r="1188">
          <cell r="C1188">
            <v>8010036571</v>
          </cell>
          <cell r="D1188" t="str">
            <v>给水用聚乙烯HDPE直管(1.6MPa)黑色 dn40 12M(IDN)</v>
          </cell>
          <cell r="E1188" t="str">
            <v>Pipa HDPE Polyethylene untuk Suplai Air (1.6 MPa) Warna Hitam dn40 12M(IDN)</v>
          </cell>
        </row>
        <row r="1188">
          <cell r="G1188">
            <v>143919</v>
          </cell>
          <cell r="H1188">
            <v>143919</v>
          </cell>
          <cell r="I1188">
            <v>0.12</v>
          </cell>
          <cell r="J1188">
            <v>163545</v>
          </cell>
          <cell r="K1188">
            <v>0.1</v>
          </cell>
          <cell r="L1188">
            <v>159910</v>
          </cell>
        </row>
        <row r="1189">
          <cell r="C1189">
            <v>8010036588</v>
          </cell>
          <cell r="D1189" t="str">
            <v>给水用聚乙烯HDPE直管(1.6MPa)黑色 dn50 5.8M(IDN)</v>
          </cell>
          <cell r="E1189" t="str">
            <v>Pipa HDPE Polyethylene untuk Suplai Air (1.6 MPa) Warna Hitam dn50 5.8M(IDN)</v>
          </cell>
        </row>
        <row r="1189">
          <cell r="G1189">
            <v>107303</v>
          </cell>
          <cell r="H1189">
            <v>107303</v>
          </cell>
          <cell r="I1189">
            <v>0.12</v>
          </cell>
          <cell r="J1189">
            <v>121936</v>
          </cell>
          <cell r="K1189">
            <v>0.1</v>
          </cell>
          <cell r="L1189">
            <v>119226</v>
          </cell>
        </row>
        <row r="1190">
          <cell r="C1190">
            <v>8010036589</v>
          </cell>
          <cell r="D1190" t="str">
            <v>给水用聚乙烯HDPE直管(1.6MPa)黑色 dn50 6M(IDN)</v>
          </cell>
          <cell r="E1190" t="str">
            <v>Pipa HDPE Polyethylene untuk Suplai Air (1.6 MPa) Warna Hitam dn50 6M(IDN)</v>
          </cell>
        </row>
        <row r="1190">
          <cell r="G1190">
            <v>111014</v>
          </cell>
          <cell r="H1190">
            <v>111014</v>
          </cell>
          <cell r="I1190">
            <v>0.12</v>
          </cell>
          <cell r="J1190">
            <v>126153</v>
          </cell>
          <cell r="K1190">
            <v>0.1</v>
          </cell>
          <cell r="L1190">
            <v>123349</v>
          </cell>
        </row>
        <row r="1191">
          <cell r="C1191">
            <v>8010036590</v>
          </cell>
          <cell r="D1191" t="str">
            <v>给水用聚乙烯HDPE直管(1.6MPa)黑色 dn50 11.8M(IDN)</v>
          </cell>
          <cell r="E1191" t="str">
            <v>Pipa HDPE Polyethylene untuk Suplai Air (1.6 MPa) Warna Hitam dn50 11.8M(IDN)</v>
          </cell>
        </row>
        <row r="1191">
          <cell r="G1191">
            <v>218316</v>
          </cell>
          <cell r="H1191">
            <v>218316</v>
          </cell>
          <cell r="I1191">
            <v>0.12</v>
          </cell>
          <cell r="J1191">
            <v>248087</v>
          </cell>
          <cell r="K1191">
            <v>0.1</v>
          </cell>
          <cell r="L1191">
            <v>242573</v>
          </cell>
        </row>
        <row r="1192">
          <cell r="C1192">
            <v>8010036591</v>
          </cell>
          <cell r="D1192" t="str">
            <v>给水用聚乙烯HDPE直管(1.6MPa)黑色 dn50 12M(IDN)</v>
          </cell>
          <cell r="E1192" t="str">
            <v>Pipa HDPE Polyethylene untuk Suplai Air (1.6 MPa) Warna Hitam dn50 12M(IDN)</v>
          </cell>
        </row>
        <row r="1192">
          <cell r="G1192">
            <v>222028</v>
          </cell>
          <cell r="H1192">
            <v>222028</v>
          </cell>
          <cell r="I1192">
            <v>0.12</v>
          </cell>
          <cell r="J1192">
            <v>252305</v>
          </cell>
          <cell r="K1192">
            <v>0.1</v>
          </cell>
          <cell r="L1192">
            <v>246698</v>
          </cell>
        </row>
        <row r="1193">
          <cell r="C1193">
            <v>8010036608</v>
          </cell>
          <cell r="D1193" t="str">
            <v>给水用聚乙烯HDPE直管(1.6MPa)黑色 dn63 5.8M(IDN)</v>
          </cell>
          <cell r="E1193" t="str">
            <v>Pipa HDPE Polyethylene untuk Suplai Air (1.6 MPa) Warna Hitam dn63 5.8M(IDN)</v>
          </cell>
        </row>
        <row r="1193">
          <cell r="G1193">
            <v>169650</v>
          </cell>
          <cell r="H1193">
            <v>169650</v>
          </cell>
          <cell r="I1193">
            <v>0.12</v>
          </cell>
          <cell r="J1193">
            <v>192785</v>
          </cell>
          <cell r="K1193">
            <v>0.1</v>
          </cell>
          <cell r="L1193">
            <v>188500</v>
          </cell>
        </row>
        <row r="1194">
          <cell r="C1194">
            <v>8010036609</v>
          </cell>
          <cell r="D1194" t="str">
            <v>给水用聚乙烯HDPE直管(1.6MPa)黑色 dn63 6M(IDN)</v>
          </cell>
          <cell r="E1194" t="str">
            <v>Pipa HDPE Polyethylene untuk Suplai Air (1.6 MPa) Warna Hitam dn63 6M(IDN)</v>
          </cell>
        </row>
        <row r="1194">
          <cell r="G1194">
            <v>175495</v>
          </cell>
          <cell r="H1194">
            <v>175495</v>
          </cell>
          <cell r="I1194">
            <v>0.12</v>
          </cell>
          <cell r="J1194">
            <v>199427</v>
          </cell>
          <cell r="K1194">
            <v>0.1</v>
          </cell>
          <cell r="L1194">
            <v>194994</v>
          </cell>
        </row>
        <row r="1195">
          <cell r="C1195">
            <v>8010036610</v>
          </cell>
          <cell r="D1195" t="str">
            <v>给水用聚乙烯HDPE直管(1.6MPa)黑色 dn63 11.8M(IDN)</v>
          </cell>
          <cell r="E1195" t="str">
            <v>Pipa HDPE Polyethylene untuk Suplai Air (1.6 MPa) Warna Hitam dn63 11.8M(IDN)</v>
          </cell>
        </row>
        <row r="1195">
          <cell r="G1195">
            <v>345146</v>
          </cell>
          <cell r="H1195">
            <v>345146</v>
          </cell>
          <cell r="I1195">
            <v>0.12</v>
          </cell>
          <cell r="J1195">
            <v>392212</v>
          </cell>
          <cell r="K1195">
            <v>0.1</v>
          </cell>
          <cell r="L1195">
            <v>383496</v>
          </cell>
        </row>
        <row r="1196">
          <cell r="C1196">
            <v>8010036611</v>
          </cell>
          <cell r="D1196" t="str">
            <v>给水用聚乙烯HDPE直管(1.6MPa)黑色 dn63 12M(IDN)</v>
          </cell>
          <cell r="E1196" t="str">
            <v>Pipa HDPE Polyethylene untuk Suplai Air (1.6 MPa) Warna Hitam dn63 12M(IDN)</v>
          </cell>
        </row>
        <row r="1196">
          <cell r="G1196">
            <v>350990</v>
          </cell>
          <cell r="H1196">
            <v>350990</v>
          </cell>
          <cell r="I1196">
            <v>0.12</v>
          </cell>
          <cell r="J1196">
            <v>398853</v>
          </cell>
          <cell r="K1196">
            <v>0.1</v>
          </cell>
          <cell r="L1196">
            <v>389989</v>
          </cell>
        </row>
        <row r="1197">
          <cell r="C1197">
            <v>8010036628</v>
          </cell>
          <cell r="D1197" t="str">
            <v>给水用聚乙烯HDPE直管(1.6MPa)黑色 dn75 5.8M(IDN)</v>
          </cell>
          <cell r="E1197" t="str">
            <v>Pipa HDPE Polyethylene untuk Suplai Air (1.6 MPa) Warna Hitam dn75 5.8M(IDN)</v>
          </cell>
        </row>
        <row r="1197">
          <cell r="G1197">
            <v>236957</v>
          </cell>
          <cell r="H1197">
            <v>236957</v>
          </cell>
          <cell r="I1197">
            <v>0.12</v>
          </cell>
          <cell r="J1197">
            <v>269270</v>
          </cell>
          <cell r="K1197">
            <v>0.1</v>
          </cell>
          <cell r="L1197">
            <v>263286</v>
          </cell>
        </row>
        <row r="1198">
          <cell r="C1198">
            <v>8010036629</v>
          </cell>
          <cell r="D1198" t="str">
            <v>给水用聚乙烯HDPE直管(1.6MPa)黑色 dn75 6M(IDN)</v>
          </cell>
          <cell r="E1198" t="str">
            <v>Pipa HDPE Polyethylene untuk Suplai Air (1.6 MPa) Warna Hitam dn75 6M(IDN)</v>
          </cell>
        </row>
        <row r="1198">
          <cell r="G1198">
            <v>245128</v>
          </cell>
          <cell r="H1198">
            <v>245128</v>
          </cell>
          <cell r="I1198">
            <v>0.12</v>
          </cell>
          <cell r="J1198">
            <v>278555</v>
          </cell>
          <cell r="K1198">
            <v>0.1</v>
          </cell>
          <cell r="L1198">
            <v>272364</v>
          </cell>
        </row>
        <row r="1199">
          <cell r="C1199">
            <v>8010036630</v>
          </cell>
          <cell r="D1199" t="str">
            <v>给水用聚乙烯HDPE直管(1.6MPa)黑色 dn75 11.8M(IDN)</v>
          </cell>
          <cell r="E1199" t="str">
            <v>Pipa HDPE Polyethylene untuk Suplai Air (1.6 MPa) Warna Hitam dn75 11.8M(IDN)</v>
          </cell>
        </row>
        <row r="1199">
          <cell r="G1199">
            <v>482085</v>
          </cell>
          <cell r="H1199">
            <v>482085</v>
          </cell>
          <cell r="I1199">
            <v>0.12</v>
          </cell>
          <cell r="J1199">
            <v>547824</v>
          </cell>
          <cell r="K1199">
            <v>0.1</v>
          </cell>
          <cell r="L1199">
            <v>535650</v>
          </cell>
        </row>
        <row r="1200">
          <cell r="C1200">
            <v>8010036631</v>
          </cell>
          <cell r="D1200" t="str">
            <v>给水用聚乙烯HDPE直管(1.6MPa)黑色 dn75 12M(IDN)</v>
          </cell>
          <cell r="E1200" t="str">
            <v>Pipa HDPE Polyethylene untuk Suplai Air (1.6 MPa) Warna Hitam dn75 12M(IDN)</v>
          </cell>
        </row>
        <row r="1200">
          <cell r="G1200">
            <v>490256</v>
          </cell>
          <cell r="H1200">
            <v>490256</v>
          </cell>
          <cell r="I1200">
            <v>0.12</v>
          </cell>
          <cell r="J1200">
            <v>557110</v>
          </cell>
          <cell r="K1200">
            <v>0.1</v>
          </cell>
          <cell r="L1200">
            <v>544729</v>
          </cell>
        </row>
        <row r="1201">
          <cell r="C1201">
            <v>8010036652</v>
          </cell>
          <cell r="D1201" t="str">
            <v>给水用聚乙烯HDPE直管(1.6MPa)黑色 dn90 5.8M(IDN)</v>
          </cell>
          <cell r="E1201" t="str">
            <v>Pipa HDPE Polyethylene untuk Suplai Air (1.6 MPa) Warna Hitam dn90 5.8M(IDN)</v>
          </cell>
        </row>
        <row r="1201">
          <cell r="G1201">
            <v>343317</v>
          </cell>
          <cell r="H1201">
            <v>343317</v>
          </cell>
          <cell r="I1201">
            <v>0.12</v>
          </cell>
          <cell r="J1201">
            <v>390133</v>
          </cell>
          <cell r="K1201">
            <v>0.1</v>
          </cell>
          <cell r="L1201">
            <v>381463</v>
          </cell>
        </row>
        <row r="1202">
          <cell r="C1202">
            <v>8010036653</v>
          </cell>
          <cell r="D1202" t="str">
            <v>给水用聚乙烯HDPE直管(1.6MPa)黑色 dn90 6M(IDN)</v>
          </cell>
          <cell r="E1202" t="str">
            <v>Pipa HDPE Polyethylene untuk Suplai Air (1.6 MPa) Warna Hitam dn90 6M(IDN)</v>
          </cell>
        </row>
        <row r="1202">
          <cell r="G1202">
            <v>355144</v>
          </cell>
          <cell r="H1202">
            <v>355144</v>
          </cell>
          <cell r="I1202">
            <v>0.12</v>
          </cell>
          <cell r="J1202">
            <v>403573</v>
          </cell>
          <cell r="K1202">
            <v>0.1</v>
          </cell>
          <cell r="L1202">
            <v>394604</v>
          </cell>
        </row>
        <row r="1203">
          <cell r="C1203">
            <v>8010036654</v>
          </cell>
          <cell r="D1203" t="str">
            <v>给水用聚乙烯HDPE直管(1.6MPa)黑色 dn90 11.8M(IDN)</v>
          </cell>
          <cell r="E1203" t="str">
            <v>Pipa HDPE Polyethylene untuk Suplai Air (1.6 MPa) Warna Hitam dn90 11.8M(IDN)</v>
          </cell>
        </row>
        <row r="1203">
          <cell r="G1203">
            <v>698462</v>
          </cell>
          <cell r="H1203">
            <v>698462</v>
          </cell>
          <cell r="I1203">
            <v>0.12</v>
          </cell>
          <cell r="J1203">
            <v>793707</v>
          </cell>
          <cell r="K1203">
            <v>0.1</v>
          </cell>
          <cell r="L1203">
            <v>776069</v>
          </cell>
        </row>
        <row r="1204">
          <cell r="C1204">
            <v>8010036655</v>
          </cell>
          <cell r="D1204" t="str">
            <v>给水用聚乙烯HDPE直管(1.6MPa)黑色 dn90 12M(IDN)</v>
          </cell>
          <cell r="E1204" t="str">
            <v>Pipa HDPE Polyethylene untuk Suplai Air (1.6 MPa) Warna Hitam dn90 12M(IDN)</v>
          </cell>
        </row>
        <row r="1204">
          <cell r="G1204">
            <v>710289</v>
          </cell>
          <cell r="H1204">
            <v>710289</v>
          </cell>
          <cell r="I1204">
            <v>0.12</v>
          </cell>
          <cell r="J1204">
            <v>807147</v>
          </cell>
          <cell r="K1204">
            <v>0.1</v>
          </cell>
          <cell r="L1204">
            <v>789210</v>
          </cell>
        </row>
        <row r="1205">
          <cell r="C1205">
            <v>8010036680</v>
          </cell>
          <cell r="D1205" t="str">
            <v>给水用聚乙烯HDPE直管(1.6MPa)黑色 dn110 5.8M(IDN)</v>
          </cell>
          <cell r="E1205" t="str">
            <v>Pipa HDPE Polyethylene untuk Suplai Air (1.6 MPa) Warna Hitam dn110 5.8M(IDN)</v>
          </cell>
        </row>
        <row r="1205">
          <cell r="G1205">
            <v>507983</v>
          </cell>
          <cell r="H1205">
            <v>507983</v>
          </cell>
          <cell r="I1205">
            <v>0.12</v>
          </cell>
          <cell r="J1205">
            <v>577254</v>
          </cell>
          <cell r="K1205">
            <v>0.1</v>
          </cell>
          <cell r="L1205">
            <v>564426</v>
          </cell>
        </row>
        <row r="1206">
          <cell r="C1206">
            <v>8010036681</v>
          </cell>
          <cell r="D1206" t="str">
            <v>给水用聚乙烯HDPE直管(1.6MPa)黑色 dn110 6M(IDN)</v>
          </cell>
          <cell r="E1206" t="str">
            <v>Pipa HDPE Polyethylene untuk Suplai Air (1.6 MPa) Warna Hitam dn110 6M(IDN)</v>
          </cell>
        </row>
        <row r="1206">
          <cell r="G1206">
            <v>525487</v>
          </cell>
          <cell r="H1206">
            <v>525487</v>
          </cell>
          <cell r="I1206">
            <v>0.12</v>
          </cell>
          <cell r="J1206">
            <v>597145</v>
          </cell>
          <cell r="K1206">
            <v>0.1</v>
          </cell>
          <cell r="L1206">
            <v>583874</v>
          </cell>
        </row>
        <row r="1207">
          <cell r="C1207">
            <v>8010036682</v>
          </cell>
          <cell r="D1207" t="str">
            <v>给水用聚乙烯HDPE直管(1.6MPa)黑色 dn110 11.8M(IDN)</v>
          </cell>
          <cell r="E1207" t="str">
            <v>Pipa HDPE Polyethylene untuk Suplai Air (1.6 MPa) Warna Hitam dn110 11.8M(IDN)</v>
          </cell>
        </row>
        <row r="1207">
          <cell r="G1207">
            <v>1033470</v>
          </cell>
          <cell r="H1207">
            <v>1033470</v>
          </cell>
          <cell r="I1207">
            <v>0.12</v>
          </cell>
          <cell r="J1207">
            <v>1174398</v>
          </cell>
          <cell r="K1207">
            <v>0.1</v>
          </cell>
          <cell r="L1207">
            <v>1148300</v>
          </cell>
        </row>
        <row r="1208">
          <cell r="C1208">
            <v>8010036683</v>
          </cell>
          <cell r="D1208" t="str">
            <v>给水用聚乙烯HDPE直管(1.6MPa)黑色 dn110 12M(IDN)</v>
          </cell>
          <cell r="E1208" t="str">
            <v>Pipa HDPE Polyethylene untuk Suplai Air (1.6 MPa) Warna Hitam dn110 12M(IDN)</v>
          </cell>
        </row>
        <row r="1208">
          <cell r="G1208">
            <v>1050976</v>
          </cell>
          <cell r="H1208">
            <v>1050976</v>
          </cell>
          <cell r="I1208">
            <v>0.12</v>
          </cell>
          <cell r="J1208">
            <v>1194291</v>
          </cell>
          <cell r="K1208">
            <v>0.1</v>
          </cell>
          <cell r="L1208">
            <v>1167751</v>
          </cell>
        </row>
        <row r="1209">
          <cell r="C1209">
            <v>8010036708</v>
          </cell>
          <cell r="D1209" t="str">
            <v>给水用聚乙烯HDPE直管(1.6MPa)黑色 dn125 5.8M(IDN)</v>
          </cell>
          <cell r="E1209" t="str">
            <v>Pipa HDPE Polyethylene untuk Suplai Air (1.6 MPa) Warna Hitam dn125 5.8M(IDN)</v>
          </cell>
        </row>
        <row r="1209">
          <cell r="G1209">
            <v>660599</v>
          </cell>
          <cell r="H1209">
            <v>660599</v>
          </cell>
          <cell r="I1209">
            <v>0.12</v>
          </cell>
          <cell r="J1209">
            <v>750681</v>
          </cell>
          <cell r="K1209">
            <v>0.1</v>
          </cell>
          <cell r="L1209">
            <v>733999</v>
          </cell>
        </row>
        <row r="1210">
          <cell r="C1210">
            <v>8010036709</v>
          </cell>
          <cell r="D1210" t="str">
            <v>给水用聚乙烯HDPE直管(1.6MPa)黑色 dn125 6M(IDN)</v>
          </cell>
          <cell r="E1210" t="str">
            <v>Pipa HDPE Polyethylene untuk Suplai Air (1.6 MPa) Warna Hitam dn125 6M(IDN)</v>
          </cell>
        </row>
        <row r="1210">
          <cell r="G1210">
            <v>683367</v>
          </cell>
          <cell r="H1210">
            <v>683367</v>
          </cell>
          <cell r="I1210">
            <v>0.12</v>
          </cell>
          <cell r="J1210">
            <v>776554</v>
          </cell>
          <cell r="K1210">
            <v>0.1</v>
          </cell>
          <cell r="L1210">
            <v>759297</v>
          </cell>
        </row>
        <row r="1211">
          <cell r="C1211">
            <v>8010036710</v>
          </cell>
          <cell r="D1211" t="str">
            <v>给水用聚乙烯HDPE直管(1.6MPa)黑色 dn125 11.8M(IDN)</v>
          </cell>
          <cell r="E1211" t="str">
            <v>Pipa HDPE Polyethylene untuk Suplai Air (1.6 MPa) Warna Hitam dn125 11.8M(IDN)</v>
          </cell>
        </row>
        <row r="1211">
          <cell r="G1211">
            <v>1343966</v>
          </cell>
          <cell r="H1211">
            <v>1343966</v>
          </cell>
          <cell r="I1211">
            <v>0.12</v>
          </cell>
          <cell r="J1211">
            <v>1527235</v>
          </cell>
          <cell r="K1211">
            <v>0.1</v>
          </cell>
          <cell r="L1211">
            <v>1493296</v>
          </cell>
        </row>
        <row r="1212">
          <cell r="C1212">
            <v>8010036711</v>
          </cell>
          <cell r="D1212" t="str">
            <v>给水用聚乙烯HDPE直管(1.6MPa)黑色 dn125 12M(IDN)</v>
          </cell>
          <cell r="E1212" t="str">
            <v>Pipa HDPE Polyethylene untuk Suplai Air (1.6 MPa) Warna Hitam dn125 12M(IDN)</v>
          </cell>
        </row>
        <row r="1212">
          <cell r="G1212">
            <v>1366733</v>
          </cell>
          <cell r="H1212">
            <v>1366733</v>
          </cell>
          <cell r="I1212">
            <v>0.12</v>
          </cell>
          <cell r="J1212">
            <v>1553106</v>
          </cell>
          <cell r="K1212">
            <v>0.1</v>
          </cell>
          <cell r="L1212">
            <v>1518592</v>
          </cell>
        </row>
        <row r="1213">
          <cell r="C1213">
            <v>8010036736</v>
          </cell>
          <cell r="D1213" t="str">
            <v>给水用聚乙烯HDPE直管(1.6MPa)黑色 dn140 5.8M(IDN)</v>
          </cell>
          <cell r="E1213" t="str">
            <v>Pipa HDPE Polyethylene untuk Suplai Air (1.6 MPa) Warna Hitam dn140 5.8M(IDN)</v>
          </cell>
        </row>
        <row r="1213">
          <cell r="G1213">
            <v>823491</v>
          </cell>
          <cell r="H1213">
            <v>823491</v>
          </cell>
          <cell r="I1213">
            <v>0.12</v>
          </cell>
          <cell r="J1213">
            <v>935786</v>
          </cell>
          <cell r="K1213">
            <v>0.1</v>
          </cell>
          <cell r="L1213">
            <v>914990</v>
          </cell>
        </row>
        <row r="1214">
          <cell r="C1214">
            <v>8010036737</v>
          </cell>
          <cell r="D1214" t="str">
            <v>给水用聚乙烯HDPE直管(1.6MPa)黑色 dn140 6M(IDN)</v>
          </cell>
          <cell r="E1214" t="str">
            <v>Pipa HDPE Polyethylene untuk Suplai Air (1.6 MPa) Warna Hitam dn140 6M(IDN)</v>
          </cell>
        </row>
        <row r="1214">
          <cell r="G1214">
            <v>851882</v>
          </cell>
          <cell r="H1214">
            <v>851882</v>
          </cell>
          <cell r="I1214">
            <v>0.12</v>
          </cell>
          <cell r="J1214">
            <v>968048</v>
          </cell>
          <cell r="K1214">
            <v>0.1</v>
          </cell>
          <cell r="L1214">
            <v>946536</v>
          </cell>
        </row>
        <row r="1215">
          <cell r="C1215">
            <v>8010036738</v>
          </cell>
          <cell r="D1215" t="str">
            <v>给水用聚乙烯HDPE直管(1.6MPa)黑色 dn140 11.8M(IDN)</v>
          </cell>
          <cell r="E1215" t="str">
            <v>Pipa HDPE Polyethylene untuk Suplai Air (1.6 MPa) Warna Hitam dn140 11.8M(IDN)</v>
          </cell>
        </row>
        <row r="1215">
          <cell r="G1215">
            <v>1675374</v>
          </cell>
          <cell r="H1215">
            <v>1675374</v>
          </cell>
          <cell r="I1215">
            <v>0.12</v>
          </cell>
          <cell r="J1215">
            <v>1903835</v>
          </cell>
          <cell r="K1215">
            <v>0.1</v>
          </cell>
          <cell r="L1215">
            <v>1861527</v>
          </cell>
        </row>
        <row r="1216">
          <cell r="C1216">
            <v>8010036739</v>
          </cell>
          <cell r="D1216" t="str">
            <v>给水用聚乙烯HDPE直管(1.6MPa)黑色 dn140 12M(IDN)</v>
          </cell>
          <cell r="E1216" t="str">
            <v>Pipa HDPE Polyethylene untuk Suplai Air (1.6 MPa) Warna Hitam dn140 12M(IDN)</v>
          </cell>
        </row>
        <row r="1216">
          <cell r="G1216">
            <v>1703764</v>
          </cell>
          <cell r="H1216">
            <v>1703764</v>
          </cell>
          <cell r="I1216">
            <v>0.12</v>
          </cell>
          <cell r="J1216">
            <v>1936096</v>
          </cell>
          <cell r="K1216">
            <v>0.1</v>
          </cell>
          <cell r="L1216">
            <v>1893071</v>
          </cell>
        </row>
        <row r="1217">
          <cell r="C1217">
            <v>8010036764</v>
          </cell>
          <cell r="D1217" t="str">
            <v>给水用聚乙烯HDPE直管(1.6MPa)黑色 dn160 5.8M(IDN)</v>
          </cell>
          <cell r="E1217" t="str">
            <v>Pipa HDPE Polyethylene untuk Suplai Air (1.6 MPa) Warna Hitam dn160 5.8M(IDN)</v>
          </cell>
        </row>
        <row r="1217">
          <cell r="G1217">
            <v>1073771</v>
          </cell>
          <cell r="H1217">
            <v>1073771</v>
          </cell>
          <cell r="I1217">
            <v>0.12</v>
          </cell>
          <cell r="J1217">
            <v>1220195</v>
          </cell>
          <cell r="K1217">
            <v>0.1</v>
          </cell>
          <cell r="L1217">
            <v>1193079</v>
          </cell>
        </row>
        <row r="1218">
          <cell r="C1218">
            <v>8010036765</v>
          </cell>
          <cell r="D1218" t="str">
            <v>给水用聚乙烯HDPE直管(1.6MPa)黑色 dn160 6M(IDN)</v>
          </cell>
          <cell r="E1218" t="str">
            <v>Pipa HDPE Polyethylene untuk Suplai Air (1.6 MPa) Warna Hitam dn160 6M(IDN)</v>
          </cell>
        </row>
        <row r="1218">
          <cell r="G1218">
            <v>1110804</v>
          </cell>
          <cell r="H1218">
            <v>1110804</v>
          </cell>
          <cell r="I1218">
            <v>0.12</v>
          </cell>
          <cell r="J1218">
            <v>1262278</v>
          </cell>
          <cell r="K1218">
            <v>0.1</v>
          </cell>
          <cell r="L1218">
            <v>1234227</v>
          </cell>
        </row>
        <row r="1219">
          <cell r="C1219">
            <v>8010036766</v>
          </cell>
          <cell r="D1219" t="str">
            <v>给水用聚乙烯HDPE直管(1.6MPa)黑色 dn160 11.8M(IDN)</v>
          </cell>
          <cell r="E1219" t="str">
            <v>Pipa HDPE Polyethylene untuk Suplai Air (1.6 MPa) Warna Hitam dn160 11.8M(IDN)</v>
          </cell>
        </row>
        <row r="1219">
          <cell r="G1219">
            <v>2184575</v>
          </cell>
          <cell r="H1219">
            <v>2184575</v>
          </cell>
          <cell r="I1219">
            <v>0.12</v>
          </cell>
          <cell r="J1219">
            <v>2482472</v>
          </cell>
          <cell r="K1219">
            <v>0.1</v>
          </cell>
          <cell r="L1219">
            <v>2427306</v>
          </cell>
        </row>
        <row r="1220">
          <cell r="C1220">
            <v>8010036767</v>
          </cell>
          <cell r="D1220" t="str">
            <v>给水用聚乙烯HDPE直管(1.6MPa)黑色 dn160 12M(IDN)</v>
          </cell>
          <cell r="E1220" t="str">
            <v>Pipa HDPE Polyethylene untuk Suplai Air (1.6 MPa) Warna Hitam dn160 12M(IDN)</v>
          </cell>
        </row>
        <row r="1220">
          <cell r="G1220">
            <v>2221607</v>
          </cell>
          <cell r="H1220">
            <v>2221607</v>
          </cell>
          <cell r="I1220">
            <v>0.12</v>
          </cell>
          <cell r="J1220">
            <v>2524554</v>
          </cell>
          <cell r="K1220">
            <v>0.1</v>
          </cell>
          <cell r="L1220">
            <v>2468452</v>
          </cell>
        </row>
        <row r="1221">
          <cell r="C1221">
            <v>8010036792</v>
          </cell>
          <cell r="D1221" t="str">
            <v>给水用聚乙烯HDPE直管(1.6MPa)黑色 dn180 5.8M(IDN)</v>
          </cell>
          <cell r="E1221" t="str">
            <v>Pipa HDPE Polyethylene untuk Suplai Air (1.6 MPa) Warna Hitam dn180 5.8M(IDN)</v>
          </cell>
        </row>
        <row r="1221">
          <cell r="G1221">
            <v>1365986</v>
          </cell>
          <cell r="H1221">
            <v>1365986</v>
          </cell>
          <cell r="I1221">
            <v>0.12</v>
          </cell>
          <cell r="J1221">
            <v>1552257</v>
          </cell>
          <cell r="K1221">
            <v>0.1</v>
          </cell>
          <cell r="L1221">
            <v>1517762</v>
          </cell>
        </row>
        <row r="1222">
          <cell r="C1222">
            <v>8010036793</v>
          </cell>
          <cell r="D1222" t="str">
            <v>给水用聚乙烯HDPE直管(1.6MPa)黑色 dn180 6M(IDN)</v>
          </cell>
          <cell r="E1222" t="str">
            <v>Pipa HDPE Polyethylene untuk Suplai Air (1.6 MPa) Warna Hitam dn180 6M(IDN)</v>
          </cell>
        </row>
        <row r="1222">
          <cell r="G1222">
            <v>1413100</v>
          </cell>
          <cell r="H1222">
            <v>1413100</v>
          </cell>
          <cell r="I1222">
            <v>0.12</v>
          </cell>
          <cell r="J1222">
            <v>1605796</v>
          </cell>
          <cell r="K1222">
            <v>0.1</v>
          </cell>
          <cell r="L1222">
            <v>1570111</v>
          </cell>
        </row>
        <row r="1223">
          <cell r="C1223">
            <v>8010036794</v>
          </cell>
          <cell r="D1223" t="str">
            <v>给水用聚乙烯HDPE直管(1.6MPa)黑色 dn180 11.8M(IDN)</v>
          </cell>
          <cell r="E1223" t="str">
            <v>Pipa HDPE Polyethylene untuk Suplai Air (1.6 MPa) Warna Hitam dn180 11.8M(IDN)</v>
          </cell>
        </row>
        <row r="1223">
          <cell r="G1223">
            <v>2779086</v>
          </cell>
          <cell r="H1223">
            <v>2779086</v>
          </cell>
          <cell r="I1223">
            <v>0.12</v>
          </cell>
          <cell r="J1223">
            <v>3158053</v>
          </cell>
          <cell r="K1223">
            <v>0.1</v>
          </cell>
          <cell r="L1223">
            <v>3087873</v>
          </cell>
        </row>
        <row r="1224">
          <cell r="C1224">
            <v>8010036795</v>
          </cell>
          <cell r="D1224" t="str">
            <v>给水用聚乙烯HDPE直管(1.6MPa)黑色 dn180 12M(IDN)</v>
          </cell>
          <cell r="E1224" t="str">
            <v>Pipa HDPE Polyethylene untuk Suplai Air (1.6 MPa) Warna Hitam dn180 12M(IDN)</v>
          </cell>
        </row>
        <row r="1224">
          <cell r="G1224">
            <v>2826201</v>
          </cell>
          <cell r="H1224">
            <v>2826201</v>
          </cell>
          <cell r="I1224">
            <v>0.12</v>
          </cell>
          <cell r="J1224">
            <v>3211593</v>
          </cell>
          <cell r="K1224">
            <v>0.1</v>
          </cell>
          <cell r="L1224">
            <v>3140223</v>
          </cell>
        </row>
        <row r="1225">
          <cell r="C1225">
            <v>8010036820</v>
          </cell>
          <cell r="D1225" t="str">
            <v>给水用聚乙烯HDPE直管(1.6MPa)黑色 dn200 5.8M(IDN)</v>
          </cell>
          <cell r="E1225" t="str">
            <v>Pipa HDPE Polyethylene untuk Suplai Air (1.6 MPa) Warna Hitam dn200 5.8M(IDN)</v>
          </cell>
        </row>
        <row r="1225">
          <cell r="G1225">
            <v>1684569</v>
          </cell>
          <cell r="H1225">
            <v>1684569</v>
          </cell>
          <cell r="I1225">
            <v>0.12</v>
          </cell>
          <cell r="J1225">
            <v>1914283</v>
          </cell>
          <cell r="K1225">
            <v>0.1</v>
          </cell>
          <cell r="L1225">
            <v>1871743</v>
          </cell>
        </row>
        <row r="1226">
          <cell r="C1226">
            <v>8010036821</v>
          </cell>
          <cell r="D1226" t="str">
            <v>给水用聚乙烯HDPE直管(1.6MPa)黑色 dn200 6M(IDN)</v>
          </cell>
          <cell r="E1226" t="str">
            <v>Pipa HDPE Polyethylene untuk Suplai Air (1.6 MPa) Warna Hitam dn200 6M(IDN)</v>
          </cell>
        </row>
        <row r="1226">
          <cell r="G1226">
            <v>1742652</v>
          </cell>
          <cell r="H1226">
            <v>1742652</v>
          </cell>
          <cell r="I1226">
            <v>0.12</v>
          </cell>
          <cell r="J1226">
            <v>1980287</v>
          </cell>
          <cell r="K1226">
            <v>0.1</v>
          </cell>
          <cell r="L1226">
            <v>1936280</v>
          </cell>
        </row>
        <row r="1227">
          <cell r="C1227">
            <v>8010036822</v>
          </cell>
          <cell r="D1227" t="str">
            <v>给水用聚乙烯HDPE直管(1.6MPa)黑色 dn200 11.8M(IDN)</v>
          </cell>
          <cell r="E1227" t="str">
            <v>Pipa HDPE Polyethylene untuk Suplai Air (1.6 MPa) Warna Hitam dn200 11.8M(IDN)</v>
          </cell>
        </row>
        <row r="1227">
          <cell r="G1227">
            <v>3427222</v>
          </cell>
          <cell r="H1227">
            <v>3427222</v>
          </cell>
          <cell r="I1227">
            <v>0.12</v>
          </cell>
          <cell r="J1227">
            <v>3894571</v>
          </cell>
          <cell r="K1227">
            <v>0.1</v>
          </cell>
          <cell r="L1227">
            <v>3808024</v>
          </cell>
        </row>
        <row r="1228">
          <cell r="C1228">
            <v>8010036823</v>
          </cell>
          <cell r="D1228" t="str">
            <v>给水用聚乙烯HDPE直管(1.6MPa)黑色 dn200 12M(IDN)</v>
          </cell>
          <cell r="E1228" t="str">
            <v>Pipa HDPE Polyethylene untuk Suplai Air (1.6 MPa) Warna Hitam dn200 12M(IDN)</v>
          </cell>
        </row>
        <row r="1228">
          <cell r="G1228">
            <v>3485304</v>
          </cell>
          <cell r="H1228">
            <v>3485304</v>
          </cell>
          <cell r="I1228">
            <v>0.12</v>
          </cell>
          <cell r="J1228">
            <v>3960573</v>
          </cell>
          <cell r="K1228">
            <v>0.1</v>
          </cell>
          <cell r="L1228">
            <v>3872560</v>
          </cell>
        </row>
        <row r="1229">
          <cell r="C1229">
            <v>8010036848</v>
          </cell>
          <cell r="D1229" t="str">
            <v>给水用聚乙烯HDPE直管(1.6MPa)黑色 dn225 5.8M(IDN)</v>
          </cell>
          <cell r="E1229" t="str">
            <v>Pipa HDPE Polyethylene untuk Suplai Air (1.6 MPa) Warna Hitam dn225 5.8M(IDN)</v>
          </cell>
        </row>
        <row r="1229">
          <cell r="G1229">
            <v>2132281</v>
          </cell>
          <cell r="H1229">
            <v>2132281</v>
          </cell>
          <cell r="I1229">
            <v>0.12</v>
          </cell>
          <cell r="J1229">
            <v>2423047</v>
          </cell>
          <cell r="K1229">
            <v>0.1</v>
          </cell>
          <cell r="L1229">
            <v>2369201</v>
          </cell>
        </row>
        <row r="1230">
          <cell r="C1230">
            <v>8010036849</v>
          </cell>
          <cell r="D1230" t="str">
            <v>给水用聚乙烯HDPE直管(1.6MPa)黑色 dn225 6M(IDN)</v>
          </cell>
          <cell r="E1230" t="str">
            <v>Pipa HDPE Polyethylene untuk Suplai Air (1.6 MPa) Warna Hitam dn225 6M(IDN)</v>
          </cell>
        </row>
        <row r="1230">
          <cell r="G1230">
            <v>2205819</v>
          </cell>
          <cell r="H1230">
            <v>2205819</v>
          </cell>
          <cell r="I1230">
            <v>0.12</v>
          </cell>
          <cell r="J1230">
            <v>2506613</v>
          </cell>
          <cell r="K1230">
            <v>0.1</v>
          </cell>
          <cell r="L1230">
            <v>2450910</v>
          </cell>
        </row>
        <row r="1231">
          <cell r="C1231">
            <v>8010036850</v>
          </cell>
          <cell r="D1231" t="str">
            <v>给水用聚乙烯HDPE直管(1.6MPa)黑色 dn225 11.8M(IDN)</v>
          </cell>
          <cell r="E1231" t="str">
            <v>Pipa HDPE Polyethylene untuk Suplai Air (1.6 MPa) Warna Hitam dn225 11.8M(IDN)</v>
          </cell>
        </row>
        <row r="1231">
          <cell r="G1231">
            <v>4338100</v>
          </cell>
          <cell r="H1231">
            <v>4338100</v>
          </cell>
          <cell r="I1231">
            <v>0.12</v>
          </cell>
          <cell r="J1231">
            <v>4929660</v>
          </cell>
          <cell r="K1231">
            <v>0.1</v>
          </cell>
          <cell r="L1231">
            <v>4820111</v>
          </cell>
        </row>
        <row r="1232">
          <cell r="C1232">
            <v>8010036851</v>
          </cell>
          <cell r="D1232" t="str">
            <v>给水用聚乙烯HDPE直管(1.6MPa)黑色 dn225 12M(IDN)</v>
          </cell>
          <cell r="E1232" t="str">
            <v>Pipa HDPE Polyethylene untuk Suplai Air (1.6 MPa) Warna Hitam dn225 12M(IDN)</v>
          </cell>
        </row>
        <row r="1232">
          <cell r="G1232">
            <v>4411639</v>
          </cell>
          <cell r="H1232">
            <v>4411639</v>
          </cell>
          <cell r="I1232">
            <v>0.12</v>
          </cell>
          <cell r="J1232">
            <v>5013227</v>
          </cell>
          <cell r="K1232">
            <v>0.1</v>
          </cell>
          <cell r="L1232">
            <v>4901821</v>
          </cell>
        </row>
        <row r="1233">
          <cell r="C1233">
            <v>8010036876</v>
          </cell>
          <cell r="D1233" t="str">
            <v>给水用聚乙烯HDPE直管(1.6MPa)黑色 dn250 5.8M(IDN)</v>
          </cell>
          <cell r="E1233" t="str">
            <v>Pipa HDPE Polyethylene untuk Suplai Air (1.6 MPa) Warna Hitam dn250 5.8M(IDN)</v>
          </cell>
        </row>
        <row r="1233">
          <cell r="G1233">
            <v>2622259</v>
          </cell>
          <cell r="H1233">
            <v>2622259</v>
          </cell>
          <cell r="I1233">
            <v>0.12</v>
          </cell>
          <cell r="J1233">
            <v>2979840</v>
          </cell>
          <cell r="K1233">
            <v>0.1</v>
          </cell>
          <cell r="L1233">
            <v>2913621</v>
          </cell>
        </row>
        <row r="1234">
          <cell r="C1234">
            <v>8010036877</v>
          </cell>
          <cell r="D1234" t="str">
            <v>给水用聚乙烯HDPE直管(1.6MPa)黑色 dn250 6M(IDN)</v>
          </cell>
          <cell r="E1234" t="str">
            <v>Pipa HDPE Polyethylene untuk Suplai Air (1.6 MPa) Warna Hitam dn250 6M(IDN)</v>
          </cell>
        </row>
        <row r="1234">
          <cell r="G1234">
            <v>2712694</v>
          </cell>
          <cell r="H1234">
            <v>2712694</v>
          </cell>
          <cell r="I1234">
            <v>0.12</v>
          </cell>
          <cell r="J1234">
            <v>3082607</v>
          </cell>
          <cell r="K1234">
            <v>0.1</v>
          </cell>
          <cell r="L1234">
            <v>3014104</v>
          </cell>
        </row>
        <row r="1235">
          <cell r="C1235">
            <v>8010036878</v>
          </cell>
          <cell r="D1235" t="str">
            <v>给水用聚乙烯HDPE直管(1.6MPa)黑色 dn250 11.8M(IDN)</v>
          </cell>
          <cell r="E1235" t="str">
            <v>Pipa HDPE Polyethylene untuk Suplai Air (1.6 MPa) Warna Hitam dn250 11.8M(IDN)</v>
          </cell>
        </row>
        <row r="1235">
          <cell r="G1235">
            <v>5334954</v>
          </cell>
          <cell r="H1235">
            <v>5334954</v>
          </cell>
          <cell r="I1235">
            <v>0.12</v>
          </cell>
          <cell r="J1235">
            <v>6062448</v>
          </cell>
          <cell r="K1235">
            <v>0.1</v>
          </cell>
          <cell r="L1235">
            <v>5927727</v>
          </cell>
        </row>
        <row r="1236">
          <cell r="C1236">
            <v>8010036879</v>
          </cell>
          <cell r="D1236" t="str">
            <v>给水用聚乙烯HDPE直管(1.6MPa)黑色 dn250 12M(IDN)</v>
          </cell>
          <cell r="E1236" t="str">
            <v>Pipa HDPE Polyethylene untuk Suplai Air (1.6 MPa) Warna Hitam dn250 12M(IDN)</v>
          </cell>
        </row>
        <row r="1236">
          <cell r="G1236">
            <v>5425388</v>
          </cell>
          <cell r="H1236">
            <v>5425388</v>
          </cell>
          <cell r="I1236">
            <v>0.12</v>
          </cell>
          <cell r="J1236">
            <v>6165214</v>
          </cell>
          <cell r="K1236">
            <v>0.1</v>
          </cell>
          <cell r="L1236">
            <v>6028209</v>
          </cell>
        </row>
        <row r="1237">
          <cell r="C1237">
            <v>8010036904</v>
          </cell>
          <cell r="D1237" t="str">
            <v>给水用聚乙烯HDPE直管(1.6MPa)黑色 dn280 5.8M(IDN)</v>
          </cell>
          <cell r="E1237" t="str">
            <v>Pipa HDPE Polyethylene untuk Suplai Air (1.6 MPa) Warna Hitam dn280 5.8M(IDN)</v>
          </cell>
        </row>
        <row r="1237">
          <cell r="G1237">
            <v>3287512</v>
          </cell>
          <cell r="H1237">
            <v>3287512</v>
          </cell>
          <cell r="I1237">
            <v>0.12</v>
          </cell>
          <cell r="J1237">
            <v>3735810</v>
          </cell>
          <cell r="K1237">
            <v>0.1</v>
          </cell>
          <cell r="L1237">
            <v>3652791</v>
          </cell>
        </row>
        <row r="1238">
          <cell r="C1238">
            <v>8010036905</v>
          </cell>
          <cell r="D1238" t="str">
            <v>给水用聚乙烯HDPE直管(1.6MPa)黑色 dn280 6M(IDN)</v>
          </cell>
          <cell r="E1238" t="str">
            <v>Pipa HDPE Polyethylene untuk Suplai Air (1.6 MPa) Warna Hitam dn280 6M(IDN)</v>
          </cell>
        </row>
        <row r="1238">
          <cell r="G1238">
            <v>3400880</v>
          </cell>
          <cell r="H1238">
            <v>3400880</v>
          </cell>
          <cell r="I1238">
            <v>0.12</v>
          </cell>
          <cell r="J1238">
            <v>3864637</v>
          </cell>
          <cell r="K1238">
            <v>0.1</v>
          </cell>
          <cell r="L1238">
            <v>3778756</v>
          </cell>
        </row>
        <row r="1239">
          <cell r="C1239">
            <v>8010036906</v>
          </cell>
          <cell r="D1239" t="str">
            <v>给水用聚乙烯HDPE直管(1.6MPa)黑色 dn280 11.8M(IDN)</v>
          </cell>
          <cell r="E1239" t="str">
            <v>Pipa HDPE Polyethylene untuk Suplai Air (1.6 MPa) Warna Hitam dn280 11.8M(IDN)</v>
          </cell>
        </row>
        <row r="1239">
          <cell r="G1239">
            <v>6688393</v>
          </cell>
          <cell r="H1239">
            <v>6688393</v>
          </cell>
          <cell r="I1239">
            <v>0.12</v>
          </cell>
          <cell r="J1239">
            <v>7600447</v>
          </cell>
          <cell r="K1239">
            <v>0.1</v>
          </cell>
          <cell r="L1239">
            <v>7431548</v>
          </cell>
        </row>
        <row r="1240">
          <cell r="C1240">
            <v>8010036907</v>
          </cell>
          <cell r="D1240" t="str">
            <v>给水用聚乙烯HDPE直管(1.6MPa)黑色 dn280 12M(IDN)</v>
          </cell>
          <cell r="E1240" t="str">
            <v>Pipa HDPE Polyethylene untuk Suplai Air (1.6 MPa) Warna Hitam dn280 12M(IDN)</v>
          </cell>
        </row>
        <row r="1240">
          <cell r="G1240">
            <v>6801760</v>
          </cell>
          <cell r="H1240">
            <v>6801760</v>
          </cell>
          <cell r="I1240">
            <v>0.12</v>
          </cell>
          <cell r="J1240">
            <v>7729273</v>
          </cell>
          <cell r="K1240">
            <v>0.1</v>
          </cell>
          <cell r="L1240">
            <v>7557511</v>
          </cell>
        </row>
        <row r="1241">
          <cell r="C1241">
            <v>8010036932</v>
          </cell>
          <cell r="D1241" t="str">
            <v>给水用聚乙烯HDPE直管(1.6MPa)黑色 dn315 5.8M(IDN)</v>
          </cell>
          <cell r="E1241" t="str">
            <v>Pipa HDPE Polyethylene untuk Suplai Air (1.6 MPa) Warna Hitam dn315 5.8M(IDN)</v>
          </cell>
        </row>
        <row r="1241">
          <cell r="G1241">
            <v>4161441</v>
          </cell>
          <cell r="H1241">
            <v>4161441</v>
          </cell>
          <cell r="I1241">
            <v>0.12</v>
          </cell>
          <cell r="J1241">
            <v>4728911</v>
          </cell>
          <cell r="K1241">
            <v>0.1</v>
          </cell>
          <cell r="L1241">
            <v>4623823</v>
          </cell>
        </row>
        <row r="1242">
          <cell r="C1242">
            <v>8010036933</v>
          </cell>
          <cell r="D1242" t="str">
            <v>给水用聚乙烯HDPE直管(1.6MPa)黑色 dn315 6M(IDN)</v>
          </cell>
          <cell r="E1242" t="str">
            <v>Pipa HDPE Polyethylene untuk Suplai Air (1.6 MPa) Warna Hitam dn315 6M(IDN)</v>
          </cell>
        </row>
        <row r="1242">
          <cell r="G1242">
            <v>4304946</v>
          </cell>
          <cell r="H1242">
            <v>4304946</v>
          </cell>
          <cell r="I1242">
            <v>0.12</v>
          </cell>
          <cell r="J1242">
            <v>4891985</v>
          </cell>
          <cell r="K1242">
            <v>0.1</v>
          </cell>
          <cell r="L1242">
            <v>4783273</v>
          </cell>
        </row>
        <row r="1243">
          <cell r="C1243">
            <v>8010036934</v>
          </cell>
          <cell r="D1243" t="str">
            <v>给水用聚乙烯HDPE直管(1.6MPa)黑色 dn315 11.8M(IDN)</v>
          </cell>
          <cell r="E1243" t="str">
            <v>Pipa HDPE Polyethylene untuk Suplai Air (1.6 MPa) Warna Hitam dn315 11.8M(IDN)</v>
          </cell>
        </row>
        <row r="1243">
          <cell r="G1243">
            <v>8466387</v>
          </cell>
          <cell r="H1243">
            <v>8466387</v>
          </cell>
          <cell r="I1243">
            <v>0.12</v>
          </cell>
          <cell r="J1243">
            <v>9620895</v>
          </cell>
          <cell r="K1243">
            <v>0.1</v>
          </cell>
          <cell r="L1243">
            <v>9407097</v>
          </cell>
        </row>
        <row r="1244">
          <cell r="C1244">
            <v>8010036935</v>
          </cell>
          <cell r="D1244" t="str">
            <v>给水用聚乙烯HDPE直管(1.6MPa)黑色 dn315 12M(IDN)</v>
          </cell>
          <cell r="E1244" t="str">
            <v>Pipa HDPE Polyethylene untuk Suplai Air (1.6 MPa) Warna Hitam dn315 12M(IDN)</v>
          </cell>
        </row>
        <row r="1244">
          <cell r="G1244">
            <v>8609891</v>
          </cell>
          <cell r="H1244">
            <v>8609891</v>
          </cell>
          <cell r="I1244">
            <v>0.12</v>
          </cell>
          <cell r="J1244">
            <v>9783968</v>
          </cell>
          <cell r="K1244">
            <v>0.1</v>
          </cell>
          <cell r="L1244">
            <v>9566546</v>
          </cell>
        </row>
        <row r="1245">
          <cell r="C1245">
            <v>8010036960</v>
          </cell>
          <cell r="D1245" t="str">
            <v>给水用聚乙烯HDPE直管(1.6MPa)黑色 dn355 5.8M(IDN)</v>
          </cell>
          <cell r="E1245" t="str">
            <v>Pipa HDPE Polyethylene untuk Suplai Air (1.6 MPa) Warna Hitam dn355 5.8M(IDN)</v>
          </cell>
        </row>
        <row r="1245">
          <cell r="G1245">
            <v>5282937</v>
          </cell>
          <cell r="H1245">
            <v>5282937</v>
          </cell>
          <cell r="I1245">
            <v>0.12</v>
          </cell>
          <cell r="J1245">
            <v>6003338</v>
          </cell>
          <cell r="K1245">
            <v>0.1</v>
          </cell>
          <cell r="L1245">
            <v>5869930</v>
          </cell>
        </row>
        <row r="1246">
          <cell r="C1246">
            <v>8010036961</v>
          </cell>
          <cell r="D1246" t="str">
            <v>给水用聚乙烯HDPE直管(1.6MPa)黑色 dn355 6M(IDN)</v>
          </cell>
          <cell r="E1246" t="str">
            <v>Pipa HDPE Polyethylene untuk Suplai Air (1.6 MPa) Warna Hitam dn355 6M(IDN)</v>
          </cell>
        </row>
        <row r="1246">
          <cell r="G1246">
            <v>5465107</v>
          </cell>
          <cell r="H1246">
            <v>5465107</v>
          </cell>
          <cell r="I1246">
            <v>0.12</v>
          </cell>
          <cell r="J1246">
            <v>6210349</v>
          </cell>
          <cell r="K1246">
            <v>0.1</v>
          </cell>
          <cell r="L1246">
            <v>6072341</v>
          </cell>
        </row>
        <row r="1247">
          <cell r="C1247">
            <v>8010036962</v>
          </cell>
          <cell r="D1247" t="str">
            <v>给水用聚乙烯HDPE直管(1.6MPa)黑色 dn355 11.8M(IDN)</v>
          </cell>
          <cell r="E1247" t="str">
            <v>Pipa HDPE Polyethylene untuk Suplai Air (1.6 MPa) Warna Hitam dn355 11.8M(IDN)</v>
          </cell>
        </row>
        <row r="1247">
          <cell r="G1247">
            <v>10748044</v>
          </cell>
          <cell r="H1247">
            <v>10748044</v>
          </cell>
          <cell r="I1247">
            <v>0.12</v>
          </cell>
          <cell r="J1247">
            <v>12213687</v>
          </cell>
          <cell r="K1247">
            <v>0.1</v>
          </cell>
          <cell r="L1247">
            <v>11942271</v>
          </cell>
        </row>
        <row r="1248">
          <cell r="C1248">
            <v>8010036963</v>
          </cell>
          <cell r="D1248" t="str">
            <v>给水用聚乙烯HDPE直管(1.6MPa)黑色 dn355 12M(IDN)</v>
          </cell>
          <cell r="E1248" t="str">
            <v>Pipa HDPE Polyethylene untuk Suplai Air (1.6 MPa) Warna Hitam dn355 12M(IDN)</v>
          </cell>
        </row>
        <row r="1248">
          <cell r="G1248">
            <v>10930214</v>
          </cell>
          <cell r="H1248">
            <v>10930214</v>
          </cell>
          <cell r="I1248">
            <v>0.12</v>
          </cell>
          <cell r="J1248">
            <v>12420698</v>
          </cell>
          <cell r="K1248">
            <v>0.1</v>
          </cell>
          <cell r="L1248">
            <v>12144682</v>
          </cell>
        </row>
        <row r="1249">
          <cell r="C1249">
            <v>8010036988</v>
          </cell>
          <cell r="D1249" t="str">
            <v>给水用聚乙烯HDPE直管(1.6MPa)黑色 dn400 5.8M(IDN)</v>
          </cell>
          <cell r="E1249" t="str">
            <v>Pipa HDPE Polyethylene untuk Suplai Air (1.6 MPa) Warna Hitam dn400 5.8M(IDN)</v>
          </cell>
        </row>
        <row r="1249">
          <cell r="G1249">
            <v>6706757</v>
          </cell>
          <cell r="H1249">
            <v>6706757</v>
          </cell>
          <cell r="I1249">
            <v>0.12</v>
          </cell>
          <cell r="J1249">
            <v>7621315</v>
          </cell>
          <cell r="K1249">
            <v>0.1</v>
          </cell>
          <cell r="L1249">
            <v>7451952</v>
          </cell>
        </row>
        <row r="1250">
          <cell r="C1250">
            <v>8010036989</v>
          </cell>
          <cell r="D1250" t="str">
            <v>给水用聚乙烯HDPE直管(1.6MPa)黑色 dn400 6M(IDN)</v>
          </cell>
          <cell r="E1250" t="str">
            <v>Pipa HDPE Polyethylene untuk Suplai Air (1.6 MPa) Warna Hitam dn400 6M(IDN)</v>
          </cell>
        </row>
        <row r="1250">
          <cell r="G1250">
            <v>6938035</v>
          </cell>
          <cell r="H1250">
            <v>6938035</v>
          </cell>
          <cell r="I1250">
            <v>0.12</v>
          </cell>
          <cell r="J1250">
            <v>7884131</v>
          </cell>
          <cell r="K1250">
            <v>0.1</v>
          </cell>
          <cell r="L1250">
            <v>7708928</v>
          </cell>
        </row>
        <row r="1251">
          <cell r="C1251">
            <v>8010036990</v>
          </cell>
          <cell r="D1251" t="str">
            <v>给水用聚乙烯HDPE直管(1.6MPa)黑色 dn400 11.8M(IDN)</v>
          </cell>
          <cell r="E1251" t="str">
            <v>Pipa HDPE Polyethylene untuk Suplai Air (1.6 MPa) Warna Hitam dn400 11.8M(IDN)</v>
          </cell>
        </row>
        <row r="1251">
          <cell r="G1251">
            <v>13644792</v>
          </cell>
          <cell r="H1251">
            <v>13644792</v>
          </cell>
          <cell r="I1251">
            <v>0.12</v>
          </cell>
          <cell r="J1251">
            <v>15505446</v>
          </cell>
          <cell r="K1251">
            <v>0.1</v>
          </cell>
          <cell r="L1251">
            <v>15160880</v>
          </cell>
        </row>
        <row r="1252">
          <cell r="C1252">
            <v>8010036991</v>
          </cell>
          <cell r="D1252" t="str">
            <v>给水用聚乙烯HDPE直管(1.6MPa)黑色 dn400 12M(IDN)</v>
          </cell>
          <cell r="E1252" t="str">
            <v>Pipa HDPE Polyethylene untuk Suplai Air (1.6 MPa) Warna Hitam dn400 12M(IDN)</v>
          </cell>
        </row>
        <row r="1252">
          <cell r="G1252">
            <v>13876071</v>
          </cell>
          <cell r="H1252">
            <v>13876071</v>
          </cell>
          <cell r="I1252">
            <v>0.12</v>
          </cell>
          <cell r="J1252">
            <v>15768263</v>
          </cell>
          <cell r="K1252">
            <v>0.1</v>
          </cell>
          <cell r="L1252">
            <v>15417857</v>
          </cell>
        </row>
        <row r="1253">
          <cell r="C1253">
            <v>8010037016</v>
          </cell>
          <cell r="D1253" t="str">
            <v>给水用聚乙烯HDPE直管(1.6MPa)黑色 dn450 5.8M(IDN)</v>
          </cell>
          <cell r="E1253" t="str">
            <v>Pipa HDPE Polyethylene untuk Suplai Air (1.6 MPa) Warna Hitam dn450 5.8M(IDN)</v>
          </cell>
        </row>
        <row r="1253">
          <cell r="G1253">
            <v>8492701</v>
          </cell>
          <cell r="H1253">
            <v>8492701</v>
          </cell>
          <cell r="I1253">
            <v>0.12</v>
          </cell>
          <cell r="J1253">
            <v>9650797</v>
          </cell>
          <cell r="K1253">
            <v>0.1</v>
          </cell>
          <cell r="L1253">
            <v>9436334</v>
          </cell>
        </row>
        <row r="1254">
          <cell r="C1254">
            <v>8010037017</v>
          </cell>
          <cell r="D1254" t="str">
            <v>给水用聚乙烯HDPE直管(1.6MPa)黑色 dn450 6M(IDN)</v>
          </cell>
          <cell r="E1254" t="str">
            <v>Pipa HDPE Polyethylene untuk Suplai Air (1.6 MPa) Warna Hitam dn450 6M(IDN)</v>
          </cell>
        </row>
        <row r="1254">
          <cell r="G1254">
            <v>8785552</v>
          </cell>
          <cell r="H1254">
            <v>8785552</v>
          </cell>
          <cell r="I1254">
            <v>0.12</v>
          </cell>
          <cell r="J1254">
            <v>9983582</v>
          </cell>
          <cell r="K1254">
            <v>0.1</v>
          </cell>
          <cell r="L1254">
            <v>9761724</v>
          </cell>
        </row>
        <row r="1255">
          <cell r="C1255">
            <v>8010037018</v>
          </cell>
          <cell r="D1255" t="str">
            <v>给水用聚乙烯HDPE直管(1.6MPa)黑色 dn450 11.8M(IDN)</v>
          </cell>
          <cell r="E1255" t="str">
            <v>Pipa HDPE Polyethylene untuk Suplai Air (1.6 MPa) Warna Hitam dn450 11.8M(IDN)</v>
          </cell>
        </row>
        <row r="1255">
          <cell r="G1255">
            <v>17278253</v>
          </cell>
          <cell r="H1255">
            <v>17278253</v>
          </cell>
          <cell r="I1255">
            <v>0.12</v>
          </cell>
          <cell r="J1255">
            <v>19634379</v>
          </cell>
          <cell r="K1255">
            <v>0.1</v>
          </cell>
          <cell r="L1255">
            <v>19198059</v>
          </cell>
        </row>
        <row r="1256">
          <cell r="C1256">
            <v>8010037019</v>
          </cell>
          <cell r="D1256" t="str">
            <v>给水用聚乙烯HDPE直管(1.6MPa)黑色 dn450 12M(IDN)</v>
          </cell>
          <cell r="E1256" t="str">
            <v>Pipa HDPE Polyethylene untuk Suplai Air (1.6 MPa) Warna Hitam dn450 12M(IDN)</v>
          </cell>
        </row>
        <row r="1256">
          <cell r="G1256">
            <v>17571105</v>
          </cell>
          <cell r="H1256">
            <v>17571105</v>
          </cell>
          <cell r="I1256">
            <v>0.12</v>
          </cell>
          <cell r="J1256">
            <v>19967165</v>
          </cell>
          <cell r="K1256">
            <v>0.1</v>
          </cell>
          <cell r="L1256">
            <v>19523450</v>
          </cell>
        </row>
        <row r="1257">
          <cell r="C1257">
            <v>8010037044</v>
          </cell>
          <cell r="D1257" t="str">
            <v>给水用聚乙烯HDPE直管(1.6MPa)黑色 dn500 5.8M(IDN)</v>
          </cell>
          <cell r="E1257" t="str">
            <v>Pipa HDPE Polyethylene untuk Suplai Air (1.6 MPa) Warna Hitam dn500 5.8M(IDN)</v>
          </cell>
        </row>
        <row r="1257">
          <cell r="G1257">
            <v>10479290</v>
          </cell>
          <cell r="H1257">
            <v>10479290</v>
          </cell>
          <cell r="I1257">
            <v>0.12</v>
          </cell>
          <cell r="J1257">
            <v>11908285</v>
          </cell>
          <cell r="K1257">
            <v>0.1</v>
          </cell>
          <cell r="L1257">
            <v>11643656</v>
          </cell>
        </row>
        <row r="1258">
          <cell r="C1258">
            <v>8010037045</v>
          </cell>
          <cell r="D1258" t="str">
            <v>给水用聚乙烯HDPE直管(1.6MPa)黑色 dn500 6M(IDN)</v>
          </cell>
          <cell r="E1258" t="str">
            <v>Pipa HDPE Polyethylene untuk Suplai Air (1.6 MPa) Warna Hitam dn500 6M(IDN)</v>
          </cell>
        </row>
        <row r="1258">
          <cell r="G1258">
            <v>10840639</v>
          </cell>
          <cell r="H1258">
            <v>10840639</v>
          </cell>
          <cell r="I1258">
            <v>0.12</v>
          </cell>
          <cell r="J1258">
            <v>12318908</v>
          </cell>
          <cell r="K1258">
            <v>0.1</v>
          </cell>
          <cell r="L1258">
            <v>12045154</v>
          </cell>
        </row>
        <row r="1259">
          <cell r="C1259">
            <v>8010037046</v>
          </cell>
          <cell r="D1259" t="str">
            <v>给水用聚乙烯HDPE直管(1.6MPa)黑色 dn500 11.8M(IDN)</v>
          </cell>
          <cell r="E1259" t="str">
            <v>Pipa HDPE Polyethylene untuk Suplai Air (1.6 MPa) Warna Hitam dn500 11.8M(IDN)</v>
          </cell>
        </row>
        <row r="1259">
          <cell r="G1259">
            <v>21319928</v>
          </cell>
          <cell r="H1259">
            <v>21319928</v>
          </cell>
          <cell r="I1259">
            <v>0.12</v>
          </cell>
          <cell r="J1259">
            <v>24227191</v>
          </cell>
          <cell r="K1259">
            <v>0.1</v>
          </cell>
          <cell r="L1259">
            <v>23688809</v>
          </cell>
        </row>
        <row r="1260">
          <cell r="C1260">
            <v>8010037047</v>
          </cell>
          <cell r="D1260" t="str">
            <v>给水用聚乙烯HDPE直管(1.6MPa)黑色 dn500 12M(IDN)</v>
          </cell>
          <cell r="E1260" t="str">
            <v>Pipa HDPE Polyethylene untuk Suplai Air (1.6 MPa) Warna Hitam dn500 12M(IDN)</v>
          </cell>
        </row>
        <row r="1260">
          <cell r="G1260">
            <v>21681277</v>
          </cell>
          <cell r="H1260">
            <v>21681277</v>
          </cell>
          <cell r="I1260">
            <v>0.12</v>
          </cell>
          <cell r="J1260">
            <v>24637815</v>
          </cell>
          <cell r="K1260">
            <v>0.1</v>
          </cell>
          <cell r="L1260">
            <v>24090308</v>
          </cell>
        </row>
        <row r="1261">
          <cell r="C1261">
            <v>8010037068</v>
          </cell>
          <cell r="D1261" t="str">
            <v>给水用聚乙烯HDPE直管(1.6MPa)黑色 dn560 5.8M(IDN)</v>
          </cell>
          <cell r="E1261" t="str">
            <v>Pipa HDPE Polyethylene untuk Suplai Air (1.6 MPa) Warna Hitam dn560 5.8M(IDN)</v>
          </cell>
        </row>
        <row r="1261">
          <cell r="G1261">
            <v>13128223</v>
          </cell>
          <cell r="H1261">
            <v>13128223</v>
          </cell>
          <cell r="I1261">
            <v>0.12</v>
          </cell>
          <cell r="J1261">
            <v>14918436</v>
          </cell>
          <cell r="K1261">
            <v>0.1</v>
          </cell>
          <cell r="L1261">
            <v>14586914</v>
          </cell>
        </row>
        <row r="1262">
          <cell r="C1262">
            <v>8010037069</v>
          </cell>
          <cell r="D1262" t="str">
            <v>给水用聚乙烯HDPE直管(1.6MPa)黑色 dn560 6M(IDN)</v>
          </cell>
          <cell r="E1262" t="str">
            <v>Pipa HDPE Polyethylene untuk Suplai Air (1.6 MPa) Warna Hitam dn560 6M(IDN)</v>
          </cell>
        </row>
        <row r="1262">
          <cell r="G1262">
            <v>13580920</v>
          </cell>
          <cell r="H1262">
            <v>13580920</v>
          </cell>
          <cell r="I1262">
            <v>0.12</v>
          </cell>
          <cell r="J1262">
            <v>15432864</v>
          </cell>
          <cell r="K1262">
            <v>0.1</v>
          </cell>
          <cell r="L1262">
            <v>15089911</v>
          </cell>
        </row>
        <row r="1263">
          <cell r="C1263">
            <v>8010037070</v>
          </cell>
          <cell r="D1263" t="str">
            <v>给水用聚乙烯HDPE直管(1.6MPa)黑色 dn560 11.8M(IDN)</v>
          </cell>
          <cell r="E1263" t="str">
            <v>Pipa HDPE Polyethylene untuk Suplai Air (1.6 MPa) Warna Hitam dn560 11.8M(IDN)</v>
          </cell>
        </row>
        <row r="1263">
          <cell r="G1263">
            <v>26709142</v>
          </cell>
          <cell r="H1263">
            <v>26709142</v>
          </cell>
          <cell r="I1263">
            <v>0.12</v>
          </cell>
          <cell r="J1263">
            <v>30351298</v>
          </cell>
          <cell r="K1263">
            <v>0.1</v>
          </cell>
          <cell r="L1263">
            <v>29676824</v>
          </cell>
        </row>
        <row r="1264">
          <cell r="C1264">
            <v>8010037071</v>
          </cell>
          <cell r="D1264" t="str">
            <v>给水用聚乙烯HDPE直管(1.6MPa)黑色 dn560 12M(IDN)</v>
          </cell>
          <cell r="E1264" t="str">
            <v>Pipa HDPE Polyethylene untuk Suplai Air (1.6 MPa) Warna Hitam dn560 12M(IDN)</v>
          </cell>
        </row>
        <row r="1264">
          <cell r="G1264">
            <v>27161840</v>
          </cell>
          <cell r="H1264">
            <v>27161840</v>
          </cell>
          <cell r="I1264">
            <v>0.12</v>
          </cell>
          <cell r="J1264">
            <v>30865728</v>
          </cell>
          <cell r="K1264">
            <v>0.1</v>
          </cell>
          <cell r="L1264">
            <v>30179822</v>
          </cell>
        </row>
        <row r="1265">
          <cell r="C1265">
            <v>8010037092</v>
          </cell>
          <cell r="D1265" t="str">
            <v>给水用聚乙烯HDPE直管(1.6MPa)黑色 dn630 5.8M(IDN)</v>
          </cell>
          <cell r="E1265" t="str">
            <v>Pipa HDPE Polyethylene untuk Suplai Air (1.6 MPa) Warna Hitam dn630 5.8M(IDN)</v>
          </cell>
        </row>
        <row r="1265">
          <cell r="G1265">
            <v>16633580</v>
          </cell>
          <cell r="H1265">
            <v>16633580</v>
          </cell>
          <cell r="I1265">
            <v>0.12</v>
          </cell>
          <cell r="J1265">
            <v>18901796</v>
          </cell>
          <cell r="K1265">
            <v>0.1</v>
          </cell>
          <cell r="L1265">
            <v>18481756</v>
          </cell>
        </row>
        <row r="1266">
          <cell r="C1266">
            <v>8010037093</v>
          </cell>
          <cell r="D1266" t="str">
            <v>给水用聚乙烯HDPE直管(1.6MPa)黑色 dn630 6M(IDN)</v>
          </cell>
          <cell r="E1266" t="str">
            <v>Pipa HDPE Polyethylene untuk Suplai Air (1.6 MPa) Warna Hitam dn630 6M(IDN)</v>
          </cell>
        </row>
        <row r="1266">
          <cell r="G1266">
            <v>17207152</v>
          </cell>
          <cell r="H1266">
            <v>17207152</v>
          </cell>
          <cell r="I1266">
            <v>0.12</v>
          </cell>
          <cell r="J1266">
            <v>19553582</v>
          </cell>
          <cell r="K1266">
            <v>0.1</v>
          </cell>
          <cell r="L1266">
            <v>19119058</v>
          </cell>
        </row>
        <row r="1267">
          <cell r="C1267">
            <v>8010037094</v>
          </cell>
          <cell r="D1267" t="str">
            <v>给水用聚乙烯HDPE直管(1.6MPa)黑色 dn630 11.8M(IDN)</v>
          </cell>
          <cell r="E1267" t="str">
            <v>Pipa HDPE Polyethylene untuk Suplai Air (1.6 MPa) Warna Hitam dn630 11.8M(IDN)</v>
          </cell>
        </row>
        <row r="1267">
          <cell r="G1267">
            <v>33840732</v>
          </cell>
          <cell r="H1267">
            <v>33840732</v>
          </cell>
          <cell r="I1267">
            <v>0.12</v>
          </cell>
          <cell r="J1267">
            <v>38455378</v>
          </cell>
          <cell r="K1267">
            <v>0.1</v>
          </cell>
          <cell r="L1267">
            <v>37600813</v>
          </cell>
        </row>
        <row r="1268">
          <cell r="C1268">
            <v>8010037095</v>
          </cell>
          <cell r="D1268" t="str">
            <v>给水用聚乙烯HDPE直管(1.6MPa)黑色 dn630 12M(IDN)</v>
          </cell>
          <cell r="E1268" t="str">
            <v>Pipa HDPE Polyethylene untuk Suplai Air (1.6 MPa) Warna Hitam dn630 12M(IDN)</v>
          </cell>
        </row>
        <row r="1268">
          <cell r="G1268">
            <v>34414304</v>
          </cell>
          <cell r="H1268">
            <v>34414304</v>
          </cell>
          <cell r="I1268">
            <v>0.12</v>
          </cell>
          <cell r="J1268">
            <v>39107164</v>
          </cell>
          <cell r="K1268">
            <v>0.1</v>
          </cell>
          <cell r="L1268">
            <v>38238116</v>
          </cell>
        </row>
        <row r="1269">
          <cell r="C1269">
            <v>8010037117</v>
          </cell>
          <cell r="D1269" t="str">
            <v>给水用聚乙烯HDPE直管(1.6MPa)黑色 dn710 6M(IDN)</v>
          </cell>
          <cell r="E1269" t="str">
            <v>Pipa HDPE Polyethylene untuk Suplai Air (1.6 MPa) Warna Hitam dn710 6M(IDN)</v>
          </cell>
        </row>
        <row r="1269">
          <cell r="G1269">
            <v>21893998</v>
          </cell>
          <cell r="H1269">
            <v>21893998</v>
          </cell>
          <cell r="I1269">
            <v>0.12</v>
          </cell>
          <cell r="J1269">
            <v>24879544</v>
          </cell>
          <cell r="K1269">
            <v>0.1</v>
          </cell>
          <cell r="L1269">
            <v>24326664</v>
          </cell>
        </row>
        <row r="1270">
          <cell r="C1270">
            <v>8010037118</v>
          </cell>
          <cell r="D1270" t="str">
            <v>给水用聚乙烯HDPE直管(1.6MPa)黑色 dn710 11.8M(IDN)</v>
          </cell>
          <cell r="E1270" t="str">
            <v>Pipa HDPE Polyethylene untuk Suplai Air (1.6 MPa) Warna Hitam dn710 11.8M(IDN)</v>
          </cell>
        </row>
        <row r="1270">
          <cell r="G1270">
            <v>43058208</v>
          </cell>
          <cell r="H1270">
            <v>43058208</v>
          </cell>
          <cell r="I1270">
            <v>0.12</v>
          </cell>
          <cell r="J1270">
            <v>48929782</v>
          </cell>
          <cell r="K1270">
            <v>0.1</v>
          </cell>
          <cell r="L1270">
            <v>47842453</v>
          </cell>
        </row>
        <row r="1271">
          <cell r="C1271">
            <v>8010037119</v>
          </cell>
          <cell r="D1271" t="str">
            <v>给水用聚乙烯HDPE直管(1.6MPa)黑色 dn710 12M(IDN)</v>
          </cell>
          <cell r="E1271" t="str">
            <v>Pipa HDPE Polyethylene untuk Suplai Air (1.6 MPa) Warna Hitam dn710 12M(IDN)</v>
          </cell>
        </row>
        <row r="1271">
          <cell r="G1271">
            <v>43787997</v>
          </cell>
          <cell r="H1271">
            <v>43787997</v>
          </cell>
          <cell r="I1271">
            <v>0.12</v>
          </cell>
          <cell r="J1271">
            <v>49759088</v>
          </cell>
          <cell r="K1271">
            <v>0.1</v>
          </cell>
          <cell r="L1271">
            <v>48653330</v>
          </cell>
        </row>
        <row r="1272">
          <cell r="C1272">
            <v>8010037140</v>
          </cell>
          <cell r="D1272" t="str">
            <v>给水用聚乙烯HDPE直管(1.6MPa)黑色 dn800 5.8M(IDN)</v>
          </cell>
          <cell r="E1272" t="str">
            <v>Pipa HDPE Polyethylene untuk Suplai Air (1.6 MPa) Warna Hitam dn800 5.8M(IDN)</v>
          </cell>
        </row>
        <row r="1272">
          <cell r="G1272">
            <v>26584335</v>
          </cell>
          <cell r="H1272">
            <v>26584335</v>
          </cell>
          <cell r="I1272">
            <v>0.12</v>
          </cell>
          <cell r="J1272">
            <v>30209472</v>
          </cell>
          <cell r="K1272">
            <v>0.1</v>
          </cell>
          <cell r="L1272">
            <v>29538150</v>
          </cell>
        </row>
        <row r="1273">
          <cell r="C1273">
            <v>8010037141</v>
          </cell>
          <cell r="D1273" t="str">
            <v>给水用聚乙烯HDPE直管(1.6MPa)黑色 dn800 6M(IDN)</v>
          </cell>
          <cell r="E1273" t="str">
            <v>Pipa HDPE Polyethylene untuk Suplai Air (1.6 MPa) Warna Hitam dn800 6M(IDN)</v>
          </cell>
        </row>
        <row r="1273">
          <cell r="G1273">
            <v>27501031</v>
          </cell>
          <cell r="H1273">
            <v>27501031</v>
          </cell>
          <cell r="I1273">
            <v>0.12</v>
          </cell>
          <cell r="J1273">
            <v>31251172</v>
          </cell>
          <cell r="K1273">
            <v>0.1</v>
          </cell>
          <cell r="L1273">
            <v>30556701</v>
          </cell>
        </row>
        <row r="1274">
          <cell r="C1274">
            <v>8010037142</v>
          </cell>
          <cell r="D1274" t="str">
            <v>给水用聚乙烯HDPE直管(1.6MPa)黑色 dn800 11.8M(IDN)</v>
          </cell>
          <cell r="E1274" t="str">
            <v>Pipa HDPE Polyethylene untuk Suplai Air (1.6 MPa) Warna Hitam dn800 11.8M(IDN)</v>
          </cell>
        </row>
        <row r="1274">
          <cell r="G1274">
            <v>54085366</v>
          </cell>
          <cell r="H1274">
            <v>54085366</v>
          </cell>
          <cell r="I1274">
            <v>0.12</v>
          </cell>
          <cell r="J1274">
            <v>61460644</v>
          </cell>
          <cell r="K1274">
            <v>0.1</v>
          </cell>
          <cell r="L1274">
            <v>60094851</v>
          </cell>
        </row>
        <row r="1275">
          <cell r="C1275">
            <v>8010037143</v>
          </cell>
          <cell r="D1275" t="str">
            <v>给水用聚乙烯HDPE直管(1.6MPa)黑色 dn800 12M(IDN)</v>
          </cell>
          <cell r="E1275" t="str">
            <v>Pipa HDPE Polyethylene untuk Suplai Air (1.6 MPa) Warna Hitam dn800 12M(IDN)</v>
          </cell>
        </row>
        <row r="1275">
          <cell r="G1275">
            <v>55002061</v>
          </cell>
          <cell r="H1275">
            <v>55002061</v>
          </cell>
          <cell r="I1275">
            <v>0.12</v>
          </cell>
          <cell r="J1275">
            <v>62502343</v>
          </cell>
          <cell r="K1275">
            <v>0.1</v>
          </cell>
          <cell r="L1275">
            <v>61113401</v>
          </cell>
        </row>
        <row r="1276">
          <cell r="C1276">
            <v>8010037179</v>
          </cell>
          <cell r="D1276" t="str">
            <v>给水用聚乙烯HDPE直管(1.6MPa)黑色 dn710 5.8M(IDN)</v>
          </cell>
          <cell r="E1276" t="str">
            <v>Pipa HDPE Polyethylene untuk Suplai Air (1.6 MPa) Warna Hitam dn710 5.8M(IDN)</v>
          </cell>
        </row>
        <row r="1276">
          <cell r="G1276">
            <v>21164210</v>
          </cell>
          <cell r="H1276">
            <v>21164210</v>
          </cell>
          <cell r="I1276">
            <v>0.12</v>
          </cell>
          <cell r="J1276">
            <v>24050239</v>
          </cell>
          <cell r="K1276">
            <v>0.1</v>
          </cell>
          <cell r="L1276">
            <v>23515789</v>
          </cell>
        </row>
        <row r="1277">
          <cell r="C1277">
            <v>8010046179</v>
          </cell>
          <cell r="D1277" t="str">
            <v>新型电熔套管(PE配件)1.6MPa黑色 dn50</v>
          </cell>
          <cell r="E1277" t="str">
            <v>HDPE Electro-fusion Coupler (1.6MPa) dn50 Black</v>
          </cell>
        </row>
        <row r="1277">
          <cell r="G1277">
            <v>22760</v>
          </cell>
          <cell r="H1277">
            <v>22760</v>
          </cell>
          <cell r="I1277">
            <v>0.15</v>
          </cell>
          <cell r="J1277">
            <v>26777</v>
          </cell>
          <cell r="K1277">
            <v>0.14</v>
          </cell>
          <cell r="L1277">
            <v>26465</v>
          </cell>
        </row>
        <row r="1278">
          <cell r="C1278">
            <v>8010045560</v>
          </cell>
          <cell r="D1278" t="str">
            <v>新型电熔套管(PE配件)1.6MPa黑色 dn250</v>
          </cell>
          <cell r="E1278" t="str">
            <v>HDPE Electro-fusion Coupler (1.6MPa) dn250 Black</v>
          </cell>
        </row>
        <row r="1278">
          <cell r="G1278">
            <v>352592</v>
          </cell>
          <cell r="H1278">
            <v>352592</v>
          </cell>
          <cell r="I1278">
            <v>0.15</v>
          </cell>
          <cell r="J1278">
            <v>414815</v>
          </cell>
          <cell r="K1278">
            <v>0.14</v>
          </cell>
          <cell r="L1278">
            <v>409991</v>
          </cell>
        </row>
        <row r="1279">
          <cell r="C1279">
            <v>8010045561</v>
          </cell>
          <cell r="D1279" t="str">
            <v>新型电熔套管(PE配件)1.6MPa黑色 dn315</v>
          </cell>
          <cell r="E1279" t="str">
            <v>HDPE Electro-fusion Coupler (1.6MPa) dn315 Black</v>
          </cell>
        </row>
        <row r="1279">
          <cell r="G1279">
            <v>628723</v>
          </cell>
          <cell r="H1279">
            <v>628723</v>
          </cell>
          <cell r="I1279">
            <v>0.15</v>
          </cell>
          <cell r="J1279">
            <v>739675</v>
          </cell>
          <cell r="K1279">
            <v>0.14</v>
          </cell>
          <cell r="L1279">
            <v>731073</v>
          </cell>
        </row>
        <row r="1280">
          <cell r="C1280">
            <v>8010045492</v>
          </cell>
          <cell r="D1280" t="str">
            <v>新型电熔套管(PE配件)1.6MPa黑色 dn63</v>
          </cell>
          <cell r="E1280" t="str">
            <v>HDPE Electro-fusion Coupler (1.6MPa) dn63 Black</v>
          </cell>
        </row>
        <row r="1280">
          <cell r="G1280">
            <v>23441</v>
          </cell>
          <cell r="H1280">
            <v>23441</v>
          </cell>
          <cell r="I1280">
            <v>0.15</v>
          </cell>
          <cell r="J1280">
            <v>27578</v>
          </cell>
          <cell r="K1280">
            <v>0.14</v>
          </cell>
          <cell r="L1280">
            <v>27257</v>
          </cell>
        </row>
        <row r="1281">
          <cell r="C1281">
            <v>8010045493</v>
          </cell>
          <cell r="D1281" t="str">
            <v>新型电熔套管(PE配件)1.6MPa黑色 dn75</v>
          </cell>
          <cell r="E1281" t="str">
            <v>HDPE Electro-fusion Coupler (1.6MPa) dn75 Black</v>
          </cell>
        </row>
        <row r="1281">
          <cell r="G1281">
            <v>25232</v>
          </cell>
          <cell r="H1281">
            <v>25232</v>
          </cell>
          <cell r="I1281">
            <v>0.15</v>
          </cell>
          <cell r="J1281">
            <v>29685</v>
          </cell>
          <cell r="K1281">
            <v>0.14</v>
          </cell>
          <cell r="L1281">
            <v>29340</v>
          </cell>
        </row>
        <row r="1282">
          <cell r="C1282">
            <v>8010044891</v>
          </cell>
          <cell r="D1282" t="str">
            <v>新型电熔套管(PE配件)1.6MPa黑色 dn90</v>
          </cell>
          <cell r="E1282" t="str">
            <v>HDPE Electro-fusion Coupler (1.6MPa) dn90 Black</v>
          </cell>
        </row>
        <row r="1282">
          <cell r="G1282">
            <v>36152</v>
          </cell>
          <cell r="H1282">
            <v>36152</v>
          </cell>
          <cell r="I1282">
            <v>0.15</v>
          </cell>
          <cell r="J1282">
            <v>42532</v>
          </cell>
          <cell r="K1282">
            <v>0.14</v>
          </cell>
          <cell r="L1282">
            <v>42037</v>
          </cell>
        </row>
        <row r="1283">
          <cell r="C1283">
            <v>8010044821</v>
          </cell>
          <cell r="D1283" t="str">
            <v>新型电熔套管(PE配件)1.6MPa黑色 dn110</v>
          </cell>
          <cell r="E1283" t="str">
            <v>HDPE Electro-fusion Coupler (1.6MPa) dn110 Black</v>
          </cell>
        </row>
        <row r="1283">
          <cell r="G1283">
            <v>48735</v>
          </cell>
          <cell r="H1283">
            <v>48735</v>
          </cell>
          <cell r="I1283">
            <v>0.15</v>
          </cell>
          <cell r="J1283">
            <v>57336</v>
          </cell>
          <cell r="K1283">
            <v>0.14</v>
          </cell>
          <cell r="L1283">
            <v>56669</v>
          </cell>
        </row>
        <row r="1284">
          <cell r="C1284">
            <v>8010044825</v>
          </cell>
          <cell r="D1284" t="str">
            <v>新型电熔套管(PE配件)1.6MPa黑色 dn200</v>
          </cell>
          <cell r="E1284" t="str">
            <v>HDPE Electro-fusion Coupler (1.6MPa) dn200 Black</v>
          </cell>
        </row>
        <row r="1284">
          <cell r="G1284">
            <v>195434</v>
          </cell>
          <cell r="H1284">
            <v>195434</v>
          </cell>
          <cell r="I1284">
            <v>0.15</v>
          </cell>
          <cell r="J1284">
            <v>229923</v>
          </cell>
          <cell r="K1284">
            <v>0.14</v>
          </cell>
          <cell r="L1284">
            <v>227249</v>
          </cell>
        </row>
        <row r="1285">
          <cell r="C1285">
            <v>8010044468</v>
          </cell>
          <cell r="D1285" t="str">
            <v>新型电熔套管(PE配件)1.6MPa黑色 dn160</v>
          </cell>
          <cell r="E1285" t="str">
            <v>HDPE Electro-fusion Coupler (1.6MPa) dn160 Black</v>
          </cell>
        </row>
        <row r="1285">
          <cell r="G1285">
            <v>93607</v>
          </cell>
          <cell r="H1285">
            <v>93607</v>
          </cell>
          <cell r="I1285">
            <v>0.15</v>
          </cell>
          <cell r="J1285">
            <v>110126</v>
          </cell>
          <cell r="K1285">
            <v>0.14</v>
          </cell>
          <cell r="L1285">
            <v>108845</v>
          </cell>
        </row>
        <row r="1286">
          <cell r="C1286">
            <v>8010046195</v>
          </cell>
          <cell r="D1286" t="str">
            <v>45°新型电熔弯头(PE配件)1.6MPa黑色 dn200</v>
          </cell>
          <cell r="E1286" t="str">
            <v>HDPE Electro-fusion 45° Elbow (1.6MPa) dn200 Black</v>
          </cell>
        </row>
        <row r="1286">
          <cell r="G1286">
            <v>290085</v>
          </cell>
          <cell r="H1286">
            <v>290085</v>
          </cell>
          <cell r="I1286">
            <v>0.15</v>
          </cell>
          <cell r="J1286">
            <v>341277</v>
          </cell>
          <cell r="K1286">
            <v>0.14</v>
          </cell>
          <cell r="L1286">
            <v>337308</v>
          </cell>
        </row>
        <row r="1287">
          <cell r="C1287">
            <v>8010045597</v>
          </cell>
          <cell r="D1287" t="str">
            <v>45°新型电熔弯头(PE配件)1.6MPa黑色 dn160</v>
          </cell>
          <cell r="E1287" t="str">
            <v>HDPE Electro-fusion 45° Elbow (1.6MPa) dn160 Black</v>
          </cell>
        </row>
        <row r="1287">
          <cell r="G1287">
            <v>162871</v>
          </cell>
          <cell r="H1287">
            <v>162871</v>
          </cell>
          <cell r="I1287">
            <v>0.15</v>
          </cell>
          <cell r="J1287">
            <v>191613</v>
          </cell>
          <cell r="K1287">
            <v>0.14</v>
          </cell>
          <cell r="L1287">
            <v>189385</v>
          </cell>
        </row>
        <row r="1288">
          <cell r="C1288">
            <v>8010044959</v>
          </cell>
          <cell r="D1288" t="str">
            <v>45°电熔弯头(PE配件)1.6MPa黑色 dn225</v>
          </cell>
          <cell r="E1288" t="str">
            <v>HDPE Electro-fusion 45° Elbow (1.6MPa) dn225 Black</v>
          </cell>
        </row>
        <row r="1288">
          <cell r="G1288">
            <v>366839</v>
          </cell>
          <cell r="H1288">
            <v>366839</v>
          </cell>
          <cell r="I1288">
            <v>0.15</v>
          </cell>
          <cell r="J1288">
            <v>431576</v>
          </cell>
          <cell r="K1288">
            <v>0.14</v>
          </cell>
          <cell r="L1288">
            <v>426557</v>
          </cell>
        </row>
        <row r="1289">
          <cell r="C1289">
            <v>8010040355</v>
          </cell>
          <cell r="D1289" t="str">
            <v>45°电熔弯头(PE配件)1.6MPa黑色 dn110</v>
          </cell>
          <cell r="E1289" t="str">
            <v>HDPE Electro-fusion 45° Elbow (1.6MPa) dn110 Black</v>
          </cell>
        </row>
        <row r="1289">
          <cell r="G1289">
            <v>68495</v>
          </cell>
          <cell r="H1289">
            <v>68495</v>
          </cell>
          <cell r="I1289">
            <v>0.15</v>
          </cell>
          <cell r="J1289">
            <v>80583</v>
          </cell>
          <cell r="K1289">
            <v>0.14</v>
          </cell>
          <cell r="L1289">
            <v>79645</v>
          </cell>
        </row>
        <row r="1290">
          <cell r="C1290">
            <v>8010040356</v>
          </cell>
          <cell r="D1290" t="str">
            <v>45°电熔弯头(PE配件)1.6MPa黑色 dn125</v>
          </cell>
          <cell r="E1290" t="str">
            <v>HDPE Electro-fusion 45° Elbow (1.6MPa) dn125 Black</v>
          </cell>
        </row>
        <row r="1290">
          <cell r="G1290">
            <v>85368</v>
          </cell>
          <cell r="H1290">
            <v>85368</v>
          </cell>
          <cell r="I1290">
            <v>0.15</v>
          </cell>
          <cell r="J1290">
            <v>100433</v>
          </cell>
          <cell r="K1290">
            <v>0.14</v>
          </cell>
          <cell r="L1290">
            <v>99265</v>
          </cell>
        </row>
        <row r="1291">
          <cell r="C1291">
            <v>8010040358</v>
          </cell>
          <cell r="D1291" t="str">
            <v>45°电熔弯头(PE配件)1.6MPa黑色 dn180</v>
          </cell>
          <cell r="E1291" t="str">
            <v>HDPE Electro-fusion 45° Elbow (1.6MPa) dn180 Black</v>
          </cell>
        </row>
        <row r="1291">
          <cell r="G1291">
            <v>225498</v>
          </cell>
          <cell r="H1291">
            <v>225498</v>
          </cell>
          <cell r="I1291">
            <v>0.15</v>
          </cell>
          <cell r="J1291">
            <v>265292</v>
          </cell>
          <cell r="K1291">
            <v>0.14</v>
          </cell>
          <cell r="L1291">
            <v>262207</v>
          </cell>
        </row>
        <row r="1292">
          <cell r="C1292">
            <v>8010040360</v>
          </cell>
          <cell r="D1292" t="str">
            <v>45°电熔弯头(PE配件)1.6MPa黑色 dn250</v>
          </cell>
          <cell r="E1292" t="str">
            <v>HDPE Electro-fusion 45° Elbow (1.6MPa) dn250 Black</v>
          </cell>
        </row>
        <row r="1292">
          <cell r="G1292">
            <v>500888</v>
          </cell>
          <cell r="H1292">
            <v>500888</v>
          </cell>
          <cell r="I1292">
            <v>0.15</v>
          </cell>
          <cell r="J1292">
            <v>589280</v>
          </cell>
          <cell r="K1292">
            <v>0.14</v>
          </cell>
          <cell r="L1292">
            <v>582428</v>
          </cell>
        </row>
        <row r="1293">
          <cell r="C1293">
            <v>8010040361</v>
          </cell>
          <cell r="D1293" t="str">
            <v>45°电熔弯头(PE配件)1.6MPa黑色 dn315</v>
          </cell>
          <cell r="E1293" t="str">
            <v>HDPE Electro-fusion 45° Elbow (1.6MPa) dn315 Black</v>
          </cell>
        </row>
        <row r="1293">
          <cell r="G1293">
            <v>854155</v>
          </cell>
          <cell r="H1293">
            <v>854155</v>
          </cell>
          <cell r="I1293">
            <v>0.15</v>
          </cell>
          <cell r="J1293">
            <v>1004889</v>
          </cell>
          <cell r="K1293">
            <v>0.14</v>
          </cell>
          <cell r="L1293">
            <v>993203</v>
          </cell>
        </row>
        <row r="1294">
          <cell r="C1294">
            <v>8010040362</v>
          </cell>
          <cell r="D1294" t="str">
            <v>45°电熔弯头(PE配件)1.6MPa黑色 dn32</v>
          </cell>
          <cell r="E1294" t="str">
            <v>HDPE Electro-fusion 45° Elbow (1.6MPa) dn32 Black</v>
          </cell>
        </row>
        <row r="1294">
          <cell r="G1294">
            <v>11888</v>
          </cell>
          <cell r="H1294">
            <v>11888</v>
          </cell>
          <cell r="I1294">
            <v>0.15</v>
          </cell>
          <cell r="J1294">
            <v>13986</v>
          </cell>
          <cell r="K1294">
            <v>0.14</v>
          </cell>
          <cell r="L1294">
            <v>13823</v>
          </cell>
        </row>
        <row r="1295">
          <cell r="C1295">
            <v>8010040363</v>
          </cell>
          <cell r="D1295" t="str">
            <v>45°电熔弯头(PE配件)1.6MPa黑色 dn40</v>
          </cell>
          <cell r="E1295" t="str">
            <v>HDPE Electro-fusion 45° Elbow (1.6MPa) dn40 Black</v>
          </cell>
        </row>
        <row r="1295">
          <cell r="G1295">
            <v>17575</v>
          </cell>
          <cell r="H1295">
            <v>17575</v>
          </cell>
          <cell r="I1295">
            <v>0.15</v>
          </cell>
          <cell r="J1295">
            <v>20677</v>
          </cell>
          <cell r="K1295">
            <v>0.14</v>
          </cell>
          <cell r="L1295">
            <v>20436</v>
          </cell>
        </row>
        <row r="1296">
          <cell r="C1296">
            <v>8010040364</v>
          </cell>
          <cell r="D1296" t="str">
            <v>45°电熔弯头(PE配件)1.6MPa黑色 dn400</v>
          </cell>
          <cell r="E1296" t="str">
            <v>HDPE Electro-fusion 45° Elbow (1.6MPa) dn400 Black</v>
          </cell>
        </row>
        <row r="1296">
          <cell r="G1296">
            <v>1607005</v>
          </cell>
          <cell r="H1296">
            <v>1607005</v>
          </cell>
          <cell r="I1296">
            <v>0.15</v>
          </cell>
          <cell r="J1296">
            <v>1890595</v>
          </cell>
          <cell r="K1296">
            <v>0.14</v>
          </cell>
          <cell r="L1296">
            <v>1868610</v>
          </cell>
        </row>
        <row r="1297">
          <cell r="C1297">
            <v>8010040365</v>
          </cell>
          <cell r="D1297" t="str">
            <v>45°电熔弯头(PE配件)1.6MPa黑色 dn50</v>
          </cell>
          <cell r="E1297" t="str">
            <v>HDPE Electro-fusion 45° Elbow (1.6MPa) dn50 Black</v>
          </cell>
        </row>
        <row r="1297">
          <cell r="G1297">
            <v>24638</v>
          </cell>
          <cell r="H1297">
            <v>24638</v>
          </cell>
          <cell r="I1297">
            <v>0.15</v>
          </cell>
          <cell r="J1297">
            <v>28986</v>
          </cell>
          <cell r="K1297">
            <v>0.14</v>
          </cell>
          <cell r="L1297">
            <v>28649</v>
          </cell>
        </row>
        <row r="1298">
          <cell r="C1298">
            <v>8010040366</v>
          </cell>
          <cell r="D1298" t="str">
            <v>45°电熔弯头(PE配件)1.6MPa黑色 dn63</v>
          </cell>
          <cell r="E1298" t="str">
            <v>HDPE Electro-fusion 45° Elbow (1.6MPa) dn63 Black</v>
          </cell>
        </row>
        <row r="1298">
          <cell r="G1298">
            <v>26830</v>
          </cell>
          <cell r="H1298">
            <v>26830</v>
          </cell>
          <cell r="I1298">
            <v>0.15</v>
          </cell>
          <cell r="J1298">
            <v>31565</v>
          </cell>
          <cell r="K1298">
            <v>0.14</v>
          </cell>
          <cell r="L1298">
            <v>31198</v>
          </cell>
        </row>
        <row r="1299">
          <cell r="C1299">
            <v>8010040367</v>
          </cell>
          <cell r="D1299" t="str">
            <v>45°电熔弯头(PE配件)1.6MPa黑色 dn75</v>
          </cell>
          <cell r="E1299" t="str">
            <v>HDPE Electro-fusion 45° Elbow (1.6MPa) dn75 Black</v>
          </cell>
        </row>
        <row r="1299">
          <cell r="G1299">
            <v>34047</v>
          </cell>
          <cell r="H1299">
            <v>34047</v>
          </cell>
          <cell r="I1299">
            <v>0.15</v>
          </cell>
          <cell r="J1299">
            <v>40056</v>
          </cell>
          <cell r="K1299">
            <v>0.14</v>
          </cell>
          <cell r="L1299">
            <v>39590</v>
          </cell>
        </row>
        <row r="1300">
          <cell r="C1300">
            <v>8010040368</v>
          </cell>
          <cell r="D1300" t="str">
            <v>45°电熔弯头(PE配件)1.6MPa黑色 dn90</v>
          </cell>
          <cell r="E1300" t="str">
            <v>HDPE Electro-fusion 45° Elbow (1.6MPa) dn90 Black</v>
          </cell>
        </row>
        <row r="1300">
          <cell r="G1300">
            <v>44471</v>
          </cell>
          <cell r="H1300">
            <v>44471</v>
          </cell>
          <cell r="I1300">
            <v>0.15</v>
          </cell>
          <cell r="J1300">
            <v>52319</v>
          </cell>
          <cell r="K1300">
            <v>0.14</v>
          </cell>
          <cell r="L1300">
            <v>51710</v>
          </cell>
        </row>
        <row r="1301">
          <cell r="C1301">
            <v>8010045960</v>
          </cell>
          <cell r="D1301" t="str">
            <v>90°新型电熔弯头(PE配件)1.6MPa黑色 dn75</v>
          </cell>
          <cell r="E1301" t="str">
            <v>HDPE Electro-fusion 90° Elbow (1.6MPa) dn75 Black</v>
          </cell>
        </row>
        <row r="1301">
          <cell r="G1301">
            <v>35350</v>
          </cell>
          <cell r="H1301">
            <v>35350</v>
          </cell>
          <cell r="I1301">
            <v>0.15</v>
          </cell>
          <cell r="J1301">
            <v>41589</v>
          </cell>
          <cell r="K1301">
            <v>0.14</v>
          </cell>
          <cell r="L1301">
            <v>41105</v>
          </cell>
        </row>
        <row r="1302">
          <cell r="C1302">
            <v>8010045836</v>
          </cell>
          <cell r="D1302" t="str">
            <v>90°新型电熔弯头(PE配件)1.6MPa黑色 dn200</v>
          </cell>
          <cell r="E1302" t="str">
            <v>HDPE Electro-fusion 90° Elbow (1.6MPa) dn200 Black</v>
          </cell>
        </row>
        <row r="1302">
          <cell r="G1302">
            <v>340550</v>
          </cell>
          <cell r="H1302">
            <v>340550</v>
          </cell>
          <cell r="I1302">
            <v>0.15</v>
          </cell>
          <cell r="J1302">
            <v>400648</v>
          </cell>
          <cell r="K1302">
            <v>0.14</v>
          </cell>
          <cell r="L1302">
            <v>395988</v>
          </cell>
        </row>
        <row r="1303">
          <cell r="C1303">
            <v>8010045837</v>
          </cell>
          <cell r="D1303" t="str">
            <v>90°新型电熔弯头(PE配件)1.6MPa黑色 dn250</v>
          </cell>
          <cell r="E1303" t="str">
            <v>HDPE Electro-fusion 90° Elbow (1.6MPa) dn250 Black</v>
          </cell>
        </row>
        <row r="1303">
          <cell r="G1303">
            <v>564231</v>
          </cell>
          <cell r="H1303">
            <v>564231</v>
          </cell>
          <cell r="I1303">
            <v>0.15</v>
          </cell>
          <cell r="J1303">
            <v>663802</v>
          </cell>
          <cell r="K1303">
            <v>0.14</v>
          </cell>
          <cell r="L1303">
            <v>656083</v>
          </cell>
        </row>
        <row r="1304">
          <cell r="C1304">
            <v>8010045967</v>
          </cell>
          <cell r="D1304" t="str">
            <v>90°新型电熔弯头(PE配件)1.6MPa黑色 dn63</v>
          </cell>
          <cell r="E1304" t="str">
            <v>HDPE Electro-fusion 90° Elbow (1.6MPa) dn63 Black</v>
          </cell>
        </row>
        <row r="1304">
          <cell r="G1304">
            <v>24651</v>
          </cell>
          <cell r="H1304">
            <v>24651</v>
          </cell>
          <cell r="I1304">
            <v>0.15</v>
          </cell>
          <cell r="J1304">
            <v>29002</v>
          </cell>
          <cell r="K1304">
            <v>0.14</v>
          </cell>
          <cell r="L1304">
            <v>28664</v>
          </cell>
        </row>
        <row r="1305">
          <cell r="C1305">
            <v>8010045236</v>
          </cell>
          <cell r="D1305" t="str">
            <v>90°新型电熔弯头(PE配件)1.6MPa黑色 dn110</v>
          </cell>
          <cell r="E1305" t="str">
            <v>HDPE Electro-fusion 90° Elbow (1.6MPa) dn110 Black</v>
          </cell>
        </row>
        <row r="1305">
          <cell r="G1305">
            <v>68101</v>
          </cell>
          <cell r="H1305">
            <v>68101</v>
          </cell>
          <cell r="I1305">
            <v>0.15</v>
          </cell>
          <cell r="J1305">
            <v>80119</v>
          </cell>
          <cell r="K1305">
            <v>0.14</v>
          </cell>
          <cell r="L1305">
            <v>79187</v>
          </cell>
        </row>
        <row r="1306">
          <cell r="C1306">
            <v>8010044954</v>
          </cell>
          <cell r="D1306" t="str">
            <v>90°新型电熔弯头(PE配件)1.6MPa黑色 dn160</v>
          </cell>
          <cell r="E1306" t="str">
            <v>HDPE Electro-fusion 90° Elbow (1.6MPa) dn160 Black</v>
          </cell>
        </row>
        <row r="1306">
          <cell r="G1306">
            <v>163151</v>
          </cell>
          <cell r="H1306">
            <v>163151</v>
          </cell>
          <cell r="I1306">
            <v>0.15</v>
          </cell>
          <cell r="J1306">
            <v>191943</v>
          </cell>
          <cell r="K1306">
            <v>0.14</v>
          </cell>
          <cell r="L1306">
            <v>189710</v>
          </cell>
        </row>
        <row r="1307">
          <cell r="C1307">
            <v>8010044643</v>
          </cell>
          <cell r="D1307" t="str">
            <v>90°电熔弯头(PE配件)1.6MPa黑色 dn225</v>
          </cell>
          <cell r="E1307" t="str">
            <v>HDPE Electro-fusion 90° Elbow (1.6MPa) dn225 Black</v>
          </cell>
        </row>
        <row r="1307">
          <cell r="G1307">
            <v>445859</v>
          </cell>
          <cell r="H1307">
            <v>445859</v>
          </cell>
          <cell r="I1307">
            <v>0.15</v>
          </cell>
          <cell r="J1307">
            <v>524540</v>
          </cell>
          <cell r="K1307">
            <v>0.14</v>
          </cell>
          <cell r="L1307">
            <v>518441</v>
          </cell>
        </row>
        <row r="1308">
          <cell r="C1308">
            <v>8010044644</v>
          </cell>
          <cell r="D1308" t="str">
            <v>90°电熔弯头(PE配件)1.6MPa黑色 dn355</v>
          </cell>
          <cell r="E1308" t="str">
            <v>HDPE Electro-fusion 90° Elbow (1.6MPa) dn355 Black</v>
          </cell>
        </row>
        <row r="1308">
          <cell r="G1308">
            <v>1753310</v>
          </cell>
          <cell r="H1308">
            <v>1753310</v>
          </cell>
          <cell r="I1308">
            <v>0.15</v>
          </cell>
          <cell r="J1308">
            <v>2062718</v>
          </cell>
          <cell r="K1308">
            <v>0.14</v>
          </cell>
          <cell r="L1308">
            <v>2038733</v>
          </cell>
        </row>
        <row r="1309">
          <cell r="C1309">
            <v>8010040376</v>
          </cell>
          <cell r="D1309" t="str">
            <v>90°电熔弯头(PE配件)1.6MPa黑色 dn125</v>
          </cell>
          <cell r="E1309" t="str">
            <v>HDPE Electro-fusion 90° Elbow (1.6MPa) dn125 Black</v>
          </cell>
        </row>
        <row r="1309">
          <cell r="G1309">
            <v>95686</v>
          </cell>
          <cell r="H1309">
            <v>95686</v>
          </cell>
          <cell r="I1309">
            <v>0.15</v>
          </cell>
          <cell r="J1309">
            <v>112572</v>
          </cell>
          <cell r="K1309">
            <v>0.14</v>
          </cell>
          <cell r="L1309">
            <v>111263</v>
          </cell>
        </row>
        <row r="1310">
          <cell r="C1310">
            <v>8010040378</v>
          </cell>
          <cell r="D1310" t="str">
            <v>90°电熔弯头(PE配件)1.6MPa黑色 dn180</v>
          </cell>
          <cell r="E1310" t="str">
            <v>HDPE Electro-fusion 90° Elbow (1.6MPa) dn180 Black</v>
          </cell>
        </row>
        <row r="1310">
          <cell r="G1310">
            <v>265279</v>
          </cell>
          <cell r="H1310">
            <v>265279</v>
          </cell>
          <cell r="I1310">
            <v>0.15</v>
          </cell>
          <cell r="J1310">
            <v>312093</v>
          </cell>
          <cell r="K1310">
            <v>0.14</v>
          </cell>
          <cell r="L1310">
            <v>308464</v>
          </cell>
        </row>
        <row r="1311">
          <cell r="C1311">
            <v>8010040379</v>
          </cell>
          <cell r="D1311" t="str">
            <v>90°电熔弯头(PE配件)1.6MPa黑色 dn20</v>
          </cell>
          <cell r="E1311" t="str">
            <v>HDPE Electro-fusion 90° Elbow (1.6MPa) dn20 Black</v>
          </cell>
        </row>
        <row r="1311">
          <cell r="G1311">
            <v>9068</v>
          </cell>
          <cell r="H1311">
            <v>9068</v>
          </cell>
          <cell r="I1311">
            <v>0.15</v>
          </cell>
          <cell r="J1311">
            <v>10669</v>
          </cell>
          <cell r="K1311">
            <v>0.14</v>
          </cell>
          <cell r="L1311">
            <v>10544</v>
          </cell>
        </row>
        <row r="1312">
          <cell r="C1312">
            <v>8010040381</v>
          </cell>
          <cell r="D1312" t="str">
            <v>90°电熔弯头(PE配件)1.6MPa黑色 dn25</v>
          </cell>
          <cell r="E1312" t="str">
            <v>HDPE Electro-fusion 90° Elbow (1.6MPa) dn25 Black</v>
          </cell>
        </row>
        <row r="1312">
          <cell r="G1312">
            <v>9302</v>
          </cell>
          <cell r="H1312">
            <v>9302</v>
          </cell>
          <cell r="I1312">
            <v>0.15</v>
          </cell>
          <cell r="J1312">
            <v>10944</v>
          </cell>
          <cell r="K1312">
            <v>0.14</v>
          </cell>
          <cell r="L1312">
            <v>10816</v>
          </cell>
        </row>
        <row r="1313">
          <cell r="C1313">
            <v>8010040383</v>
          </cell>
          <cell r="D1313" t="str">
            <v>90°电熔弯头(PE配件)1.6MPa黑色 dn315</v>
          </cell>
          <cell r="E1313" t="str">
            <v>HDPE Electro-fusion 90° Elbow (1.6MPa) dn315 Black</v>
          </cell>
        </row>
        <row r="1313">
          <cell r="G1313">
            <v>1025640</v>
          </cell>
          <cell r="H1313">
            <v>1025640</v>
          </cell>
          <cell r="I1313">
            <v>0.15</v>
          </cell>
          <cell r="J1313">
            <v>1206636</v>
          </cell>
          <cell r="K1313">
            <v>0.14</v>
          </cell>
          <cell r="L1313">
            <v>1192605</v>
          </cell>
        </row>
        <row r="1314">
          <cell r="C1314">
            <v>8010040384</v>
          </cell>
          <cell r="D1314" t="str">
            <v>90°电熔弯头(PE配件)1.6MPa黑色 dn32</v>
          </cell>
          <cell r="E1314" t="str">
            <v>HDPE Electro-fusion 90° Elbow (1.6MPa) dn32 Black</v>
          </cell>
        </row>
        <row r="1314">
          <cell r="G1314">
            <v>12035</v>
          </cell>
          <cell r="H1314">
            <v>12035</v>
          </cell>
          <cell r="I1314">
            <v>0.15</v>
          </cell>
          <cell r="J1314">
            <v>14159</v>
          </cell>
          <cell r="K1314">
            <v>0.14</v>
          </cell>
          <cell r="L1314">
            <v>13994</v>
          </cell>
        </row>
        <row r="1315">
          <cell r="C1315">
            <v>8010040385</v>
          </cell>
          <cell r="D1315" t="str">
            <v>90°电熔弯头(PE配件)1.6MPa黑色 dn40</v>
          </cell>
          <cell r="E1315" t="str">
            <v>HDPE Electro-fusion 90° Elbow (1.6MPa) dn40 Black</v>
          </cell>
        </row>
        <row r="1315">
          <cell r="G1315">
            <v>17822</v>
          </cell>
          <cell r="H1315">
            <v>17822</v>
          </cell>
          <cell r="I1315">
            <v>0.15</v>
          </cell>
          <cell r="J1315">
            <v>20968</v>
          </cell>
          <cell r="K1315">
            <v>0.14</v>
          </cell>
          <cell r="L1315">
            <v>20723</v>
          </cell>
        </row>
        <row r="1316">
          <cell r="C1316">
            <v>8010040386</v>
          </cell>
          <cell r="D1316" t="str">
            <v>90°电熔弯头(PE配件)1.6MPa黑色 dn400</v>
          </cell>
          <cell r="E1316" t="str">
            <v>HDPE Electro-fusion 90° Elbow (1.6MPa) dn400 Black</v>
          </cell>
        </row>
        <row r="1316">
          <cell r="G1316">
            <v>2014132</v>
          </cell>
          <cell r="H1316">
            <v>2014132</v>
          </cell>
          <cell r="I1316">
            <v>0.15</v>
          </cell>
          <cell r="J1316">
            <v>2369568</v>
          </cell>
          <cell r="K1316">
            <v>0.14</v>
          </cell>
          <cell r="L1316">
            <v>2342014</v>
          </cell>
        </row>
        <row r="1317">
          <cell r="C1317">
            <v>8010040387</v>
          </cell>
          <cell r="D1317" t="str">
            <v>90°电熔弯头(PE配件)1.6MPa黑色 dn50</v>
          </cell>
          <cell r="E1317" t="str">
            <v>HDPE Electro-fusion 90° Elbow (1.6MPa) dn50 Black</v>
          </cell>
        </row>
        <row r="1317">
          <cell r="G1317">
            <v>26041</v>
          </cell>
          <cell r="H1317">
            <v>26041</v>
          </cell>
          <cell r="I1317">
            <v>0.15</v>
          </cell>
          <cell r="J1317">
            <v>30637</v>
          </cell>
          <cell r="K1317">
            <v>0.14</v>
          </cell>
          <cell r="L1317">
            <v>30280</v>
          </cell>
        </row>
        <row r="1318">
          <cell r="C1318">
            <v>8010040390</v>
          </cell>
          <cell r="D1318" t="str">
            <v>90°电熔弯头(PE配件)1.6MPa黑色 dn90</v>
          </cell>
          <cell r="E1318" t="str">
            <v>HDPE Electro-fusion 90° Elbow (1.6MPa) dn90 Black</v>
          </cell>
        </row>
        <row r="1318">
          <cell r="G1318">
            <v>49677</v>
          </cell>
          <cell r="H1318">
            <v>49677</v>
          </cell>
          <cell r="I1318">
            <v>0.15</v>
          </cell>
          <cell r="J1318">
            <v>58444</v>
          </cell>
          <cell r="K1318">
            <v>0.14</v>
          </cell>
          <cell r="L1318">
            <v>57764</v>
          </cell>
        </row>
        <row r="1319">
          <cell r="C1319">
            <v>8010045586</v>
          </cell>
          <cell r="D1319" t="str">
            <v>90°新型电熔三通(PE配件)1.6MPa黑色 dn200</v>
          </cell>
          <cell r="E1319" t="str">
            <v>HDPE Electro-fusion 90° Tee (1.6MPa) dn200 Black</v>
          </cell>
        </row>
        <row r="1319">
          <cell r="G1319">
            <v>438702</v>
          </cell>
          <cell r="H1319">
            <v>438702</v>
          </cell>
          <cell r="I1319">
            <v>0.15</v>
          </cell>
          <cell r="J1319">
            <v>516120</v>
          </cell>
          <cell r="K1319">
            <v>0.14</v>
          </cell>
          <cell r="L1319">
            <v>510119</v>
          </cell>
        </row>
        <row r="1320">
          <cell r="C1320">
            <v>8010045587</v>
          </cell>
          <cell r="D1320" t="str">
            <v>90°新型电熔三通(PE配件)1.6MPa黑色 dn110</v>
          </cell>
          <cell r="E1320" t="str">
            <v>HDPE Electro-fusion 90° Tee (1.6MPa) dn110 Black</v>
          </cell>
        </row>
        <row r="1320">
          <cell r="G1320">
            <v>96995</v>
          </cell>
          <cell r="H1320">
            <v>96995</v>
          </cell>
          <cell r="I1320">
            <v>0.15</v>
          </cell>
          <cell r="J1320">
            <v>114112</v>
          </cell>
          <cell r="K1320">
            <v>0.14</v>
          </cell>
          <cell r="L1320">
            <v>112785</v>
          </cell>
        </row>
        <row r="1321">
          <cell r="C1321">
            <v>8010045437</v>
          </cell>
          <cell r="D1321" t="str">
            <v>90°新型电熔三通(PE配件)1.6MPa黑色 dn160</v>
          </cell>
          <cell r="E1321" t="str">
            <v>HDPE Electro-fusion 90° Tee (1.6MPa) dn160 Black</v>
          </cell>
        </row>
        <row r="1321">
          <cell r="G1321">
            <v>237621</v>
          </cell>
          <cell r="H1321">
            <v>237621</v>
          </cell>
          <cell r="I1321">
            <v>0.15</v>
          </cell>
          <cell r="J1321">
            <v>279555</v>
          </cell>
          <cell r="K1321">
            <v>0.14</v>
          </cell>
          <cell r="L1321">
            <v>276303</v>
          </cell>
        </row>
        <row r="1322">
          <cell r="C1322">
            <v>8010044640</v>
          </cell>
          <cell r="D1322" t="str">
            <v>90°电熔三通(PE配件)1.6MPa黑色 dn225</v>
          </cell>
          <cell r="E1322" t="str">
            <v>HDPE Electro-fusion 90° Tee (1.6MPa) dn225 Black</v>
          </cell>
        </row>
        <row r="1322">
          <cell r="G1322">
            <v>555103</v>
          </cell>
          <cell r="H1322">
            <v>555103</v>
          </cell>
          <cell r="I1322">
            <v>0.15</v>
          </cell>
          <cell r="J1322">
            <v>653063</v>
          </cell>
          <cell r="K1322">
            <v>0.14</v>
          </cell>
          <cell r="L1322">
            <v>645469</v>
          </cell>
        </row>
        <row r="1323">
          <cell r="C1323">
            <v>8010040286</v>
          </cell>
          <cell r="D1323" t="str">
            <v>90°电熔三通(PE配件)1.6MPa黑色 dn125</v>
          </cell>
          <cell r="E1323" t="str">
            <v>HDPE Electro-fusion 90° Tee (1.6MPa) dn125 Black</v>
          </cell>
        </row>
        <row r="1323">
          <cell r="G1323">
            <v>126064</v>
          </cell>
          <cell r="H1323">
            <v>126064</v>
          </cell>
          <cell r="I1323">
            <v>0.15</v>
          </cell>
          <cell r="J1323">
            <v>148311</v>
          </cell>
          <cell r="K1323">
            <v>0.14</v>
          </cell>
          <cell r="L1323">
            <v>146586</v>
          </cell>
        </row>
        <row r="1324">
          <cell r="C1324">
            <v>8010040288</v>
          </cell>
          <cell r="D1324" t="str">
            <v>90°电熔三通(PE配件)1.6MPa黑色 dn180</v>
          </cell>
          <cell r="E1324" t="str">
            <v>HDPE Electro-fusion 90° Tee (1.6MPa) dn180 Black</v>
          </cell>
        </row>
        <row r="1324">
          <cell r="G1324">
            <v>320904</v>
          </cell>
          <cell r="H1324">
            <v>320904</v>
          </cell>
          <cell r="I1324">
            <v>0.15</v>
          </cell>
          <cell r="J1324">
            <v>377535</v>
          </cell>
          <cell r="K1324">
            <v>0.14</v>
          </cell>
          <cell r="L1324">
            <v>373144</v>
          </cell>
        </row>
        <row r="1325">
          <cell r="C1325">
            <v>8010040289</v>
          </cell>
          <cell r="D1325" t="str">
            <v>90°电熔三通(PE配件)1.6MPa黑色 dn20</v>
          </cell>
          <cell r="E1325" t="str">
            <v>HDPE Electro-fusion 90° Tee (1.6MPa) dn20 Black</v>
          </cell>
        </row>
        <row r="1325">
          <cell r="G1325">
            <v>10411</v>
          </cell>
          <cell r="H1325">
            <v>10411</v>
          </cell>
          <cell r="I1325">
            <v>0.15</v>
          </cell>
          <cell r="J1325">
            <v>12249</v>
          </cell>
          <cell r="K1325">
            <v>0.14</v>
          </cell>
          <cell r="L1325">
            <v>12106</v>
          </cell>
        </row>
        <row r="1326">
          <cell r="C1326">
            <v>8010040291</v>
          </cell>
          <cell r="D1326" t="str">
            <v>90°电熔三通(PE配件)1.6MPa黑色 dn25</v>
          </cell>
          <cell r="E1326" t="str">
            <v>HDPE Electro-fusion 90° Tee (1.6MPa) dn25 Black</v>
          </cell>
        </row>
        <row r="1326">
          <cell r="G1326">
            <v>10899</v>
          </cell>
          <cell r="H1326">
            <v>10899</v>
          </cell>
          <cell r="I1326">
            <v>0.15</v>
          </cell>
          <cell r="J1326">
            <v>12823</v>
          </cell>
          <cell r="K1326">
            <v>0.14</v>
          </cell>
          <cell r="L1326">
            <v>12673</v>
          </cell>
        </row>
        <row r="1327">
          <cell r="C1327">
            <v>8010040292</v>
          </cell>
          <cell r="D1327" t="str">
            <v>90°电熔三通(PE配件)1.6MPa黑色 dn250</v>
          </cell>
          <cell r="E1327" t="str">
            <v>HDPE Electro-fusion 90° Tee (1.6MPa) dn250 Black</v>
          </cell>
        </row>
        <row r="1327">
          <cell r="G1327">
            <v>691344</v>
          </cell>
          <cell r="H1327">
            <v>691344</v>
          </cell>
          <cell r="I1327">
            <v>0.15</v>
          </cell>
          <cell r="J1327">
            <v>813346</v>
          </cell>
          <cell r="K1327">
            <v>0.14</v>
          </cell>
          <cell r="L1327">
            <v>803888</v>
          </cell>
        </row>
        <row r="1328">
          <cell r="C1328">
            <v>8010040293</v>
          </cell>
          <cell r="D1328" t="str">
            <v>90°电熔三通(PE配件)1.6MPa黑色 dn315</v>
          </cell>
          <cell r="E1328" t="str">
            <v>HDPE Electro-fusion 90° Tee (1.6MPa) dn315 Black</v>
          </cell>
        </row>
        <row r="1328">
          <cell r="G1328">
            <v>1270210</v>
          </cell>
          <cell r="H1328">
            <v>1270210</v>
          </cell>
          <cell r="I1328">
            <v>0.15</v>
          </cell>
          <cell r="J1328">
            <v>1494365</v>
          </cell>
          <cell r="K1328">
            <v>0.14</v>
          </cell>
          <cell r="L1328">
            <v>1476988</v>
          </cell>
        </row>
        <row r="1329">
          <cell r="C1329">
            <v>8010040294</v>
          </cell>
          <cell r="D1329" t="str">
            <v>90°电熔三通(PE配件)1.6MPa黑色 dn32</v>
          </cell>
          <cell r="E1329" t="str">
            <v>HDPE Electro-fusion 90° Tee (1.6MPa) dn32 Black</v>
          </cell>
        </row>
        <row r="1329">
          <cell r="G1329">
            <v>13713</v>
          </cell>
          <cell r="H1329">
            <v>13713</v>
          </cell>
          <cell r="I1329">
            <v>0.15</v>
          </cell>
          <cell r="J1329">
            <v>16133</v>
          </cell>
          <cell r="K1329">
            <v>0.14</v>
          </cell>
          <cell r="L1329">
            <v>15945</v>
          </cell>
        </row>
        <row r="1330">
          <cell r="C1330">
            <v>8010040295</v>
          </cell>
          <cell r="D1330" t="str">
            <v>90°电熔三通(PE配件)1.6MPa黑色 dn40</v>
          </cell>
          <cell r="E1330" t="str">
            <v>HDPE Electro-fusion 90° Tee (1.6MPa) dn40 Black</v>
          </cell>
        </row>
        <row r="1330">
          <cell r="G1330">
            <v>20461</v>
          </cell>
          <cell r="H1330">
            <v>20461</v>
          </cell>
          <cell r="I1330">
            <v>0.15</v>
          </cell>
          <cell r="J1330">
            <v>24072</v>
          </cell>
          <cell r="K1330">
            <v>0.14</v>
          </cell>
          <cell r="L1330">
            <v>23792</v>
          </cell>
        </row>
        <row r="1331">
          <cell r="C1331">
            <v>8010040296</v>
          </cell>
          <cell r="D1331" t="str">
            <v>90°电熔三通(PE配件)1.6MPa黑色 dn400</v>
          </cell>
          <cell r="E1331" t="str">
            <v>HDPE Electro-fusion 90° Tee (1.6MPa) dn400 Black</v>
          </cell>
        </row>
        <row r="1331">
          <cell r="G1331">
            <v>2589162</v>
          </cell>
          <cell r="H1331">
            <v>2589162</v>
          </cell>
          <cell r="I1331">
            <v>0.15</v>
          </cell>
          <cell r="J1331">
            <v>3046073</v>
          </cell>
          <cell r="K1331">
            <v>0.14</v>
          </cell>
          <cell r="L1331">
            <v>3010653</v>
          </cell>
        </row>
        <row r="1332">
          <cell r="C1332">
            <v>8010040297</v>
          </cell>
          <cell r="D1332" t="str">
            <v>90°电熔三通(PE配件)1.6MPa黑色 dn50</v>
          </cell>
          <cell r="E1332" t="str">
            <v>HDPE Electro-fusion 90° Tee (1.6MPa) dn50 Black</v>
          </cell>
        </row>
        <row r="1332">
          <cell r="G1332">
            <v>28955</v>
          </cell>
          <cell r="H1332">
            <v>28955</v>
          </cell>
          <cell r="I1332">
            <v>0.15</v>
          </cell>
          <cell r="J1332">
            <v>34065</v>
          </cell>
          <cell r="K1332">
            <v>0.14</v>
          </cell>
          <cell r="L1332">
            <v>33669</v>
          </cell>
        </row>
        <row r="1333">
          <cell r="C1333">
            <v>8010040298</v>
          </cell>
          <cell r="D1333" t="str">
            <v>90°电熔三通(PE配件)1.6MPa黑色 dn63</v>
          </cell>
          <cell r="E1333" t="str">
            <v>HDPE Electro-fusion 90° Tee (1.6MPa) dn63 Black</v>
          </cell>
        </row>
        <row r="1333">
          <cell r="G1333">
            <v>30986</v>
          </cell>
          <cell r="H1333">
            <v>30986</v>
          </cell>
          <cell r="I1333">
            <v>0.15</v>
          </cell>
          <cell r="J1333">
            <v>36455</v>
          </cell>
          <cell r="K1333">
            <v>0.14</v>
          </cell>
          <cell r="L1333">
            <v>36030</v>
          </cell>
        </row>
        <row r="1334">
          <cell r="C1334">
            <v>8010040299</v>
          </cell>
          <cell r="D1334" t="str">
            <v>90°电熔三通(PE配件)1.6MPa黑色 dn75</v>
          </cell>
          <cell r="E1334" t="str">
            <v>HDPE Electro-fusion 90° Tee (1.6MPa) dn75 Black</v>
          </cell>
        </row>
        <row r="1334">
          <cell r="G1334">
            <v>43135</v>
          </cell>
          <cell r="H1334">
            <v>43135</v>
          </cell>
          <cell r="I1334">
            <v>0.15</v>
          </cell>
          <cell r="J1334">
            <v>50748</v>
          </cell>
          <cell r="K1334">
            <v>0.14</v>
          </cell>
          <cell r="L1334">
            <v>50157</v>
          </cell>
        </row>
        <row r="1335">
          <cell r="C1335">
            <v>8010040300</v>
          </cell>
          <cell r="D1335" t="str">
            <v>90°电熔三通(PE配件)1.6MPa黑色 dn90</v>
          </cell>
          <cell r="E1335" t="str">
            <v>HDPE Electro-fusion 90° Tee (1.6MPa) dn90 Black</v>
          </cell>
        </row>
        <row r="1335">
          <cell r="G1335">
            <v>59253</v>
          </cell>
          <cell r="H1335">
            <v>59253</v>
          </cell>
          <cell r="I1335">
            <v>0.15</v>
          </cell>
          <cell r="J1335">
            <v>69710</v>
          </cell>
          <cell r="K1335">
            <v>0.14</v>
          </cell>
          <cell r="L1335">
            <v>68899</v>
          </cell>
        </row>
        <row r="1336">
          <cell r="C1336">
            <v>8010040494</v>
          </cell>
          <cell r="D1336" t="str">
            <v>电熔异径套管(PE配件)1.6MPa黑色 dn400×200</v>
          </cell>
          <cell r="E1336" t="str">
            <v>HDPE Electro-fusion Reducing Coupler (1.6Mpa) dn400x200 Black</v>
          </cell>
        </row>
        <row r="1336">
          <cell r="G1336">
            <v>978529</v>
          </cell>
          <cell r="H1336">
            <v>978529</v>
          </cell>
          <cell r="I1336">
            <v>0.15</v>
          </cell>
          <cell r="J1336">
            <v>1151211</v>
          </cell>
          <cell r="K1336">
            <v>0.14</v>
          </cell>
          <cell r="L1336">
            <v>1137824</v>
          </cell>
        </row>
        <row r="1337">
          <cell r="C1337">
            <v>8010040474</v>
          </cell>
          <cell r="D1337" t="str">
            <v>电熔异径套管(PE配件)1.6MPa黑色 dn110×50</v>
          </cell>
          <cell r="E1337" t="str">
            <v>HDPE Electro-fusion Reducing Coupler (1.6Mpa) dn110x50 Black</v>
          </cell>
        </row>
        <row r="1337">
          <cell r="G1337">
            <v>58097</v>
          </cell>
          <cell r="H1337">
            <v>58097</v>
          </cell>
          <cell r="I1337">
            <v>0.15</v>
          </cell>
          <cell r="J1337">
            <v>68350</v>
          </cell>
          <cell r="K1337">
            <v>0.14</v>
          </cell>
          <cell r="L1337">
            <v>67555</v>
          </cell>
        </row>
        <row r="1338">
          <cell r="C1338">
            <v>8010040475</v>
          </cell>
          <cell r="D1338" t="str">
            <v>电熔异径套管(PE配件)1.6MPa黑色 dn110×63</v>
          </cell>
          <cell r="E1338" t="str">
            <v>HDPE Electro-fusion Reducing Coupler (1.6Mpa) dn110x63 Black</v>
          </cell>
        </row>
        <row r="1338">
          <cell r="G1338">
            <v>43877</v>
          </cell>
          <cell r="H1338">
            <v>43877</v>
          </cell>
          <cell r="I1338">
            <v>0.15</v>
          </cell>
          <cell r="J1338">
            <v>51620</v>
          </cell>
          <cell r="K1338">
            <v>0.14</v>
          </cell>
          <cell r="L1338">
            <v>51020</v>
          </cell>
        </row>
        <row r="1339">
          <cell r="C1339">
            <v>8010040476</v>
          </cell>
          <cell r="D1339" t="str">
            <v>电熔异径套管(PE配件)1.6MPa黑色 dn110×75</v>
          </cell>
          <cell r="E1339" t="str">
            <v>HDPE Electro-fusion Reducing Coupler (1.6Mpa) dn110x75 Black</v>
          </cell>
        </row>
        <row r="1339">
          <cell r="G1339">
            <v>46704</v>
          </cell>
          <cell r="H1339">
            <v>46704</v>
          </cell>
          <cell r="I1339">
            <v>0.15</v>
          </cell>
          <cell r="J1339">
            <v>54946</v>
          </cell>
          <cell r="K1339">
            <v>0.14</v>
          </cell>
          <cell r="L1339">
            <v>54307</v>
          </cell>
        </row>
        <row r="1340">
          <cell r="C1340">
            <v>8010040477</v>
          </cell>
          <cell r="D1340" t="str">
            <v>电熔异径套管(PE配件)1.6MPa黑色 dn110×90</v>
          </cell>
          <cell r="E1340" t="str">
            <v>HDPE Electro-fusion Reducing Coupler (1.6Mpa) dn110x90 Black</v>
          </cell>
        </row>
        <row r="1340">
          <cell r="G1340">
            <v>48368</v>
          </cell>
          <cell r="H1340">
            <v>48368</v>
          </cell>
          <cell r="I1340">
            <v>0.15</v>
          </cell>
          <cell r="J1340">
            <v>56904</v>
          </cell>
          <cell r="K1340">
            <v>0.14</v>
          </cell>
          <cell r="L1340">
            <v>56242</v>
          </cell>
        </row>
        <row r="1341">
          <cell r="C1341">
            <v>8010040478</v>
          </cell>
          <cell r="D1341" t="str">
            <v>电熔异径套管(PE配件)1.6MPa黑色 dn125×90</v>
          </cell>
          <cell r="E1341" t="str">
            <v>HDPE Electro-fusion Reducing Coupler (1.6Mpa) dn125x90 Black</v>
          </cell>
        </row>
        <row r="1341">
          <cell r="G1341">
            <v>58385</v>
          </cell>
          <cell r="H1341">
            <v>58385</v>
          </cell>
          <cell r="I1341">
            <v>0.15</v>
          </cell>
          <cell r="J1341">
            <v>68689</v>
          </cell>
          <cell r="K1341">
            <v>0.14</v>
          </cell>
          <cell r="L1341">
            <v>67890</v>
          </cell>
        </row>
        <row r="1342">
          <cell r="C1342">
            <v>8010040479</v>
          </cell>
          <cell r="D1342" t="str">
            <v>电熔异径套管(PE配件)1.6MPa黑色 dn160×110</v>
          </cell>
          <cell r="E1342" t="str">
            <v>HDPE Electro-fusion Reducing Coupler (1.6Mpa) dn160x110 Black</v>
          </cell>
        </row>
        <row r="1342">
          <cell r="G1342">
            <v>111690</v>
          </cell>
          <cell r="H1342">
            <v>111690</v>
          </cell>
          <cell r="I1342">
            <v>0.15</v>
          </cell>
          <cell r="J1342">
            <v>131400</v>
          </cell>
          <cell r="K1342">
            <v>0.14</v>
          </cell>
          <cell r="L1342">
            <v>129872</v>
          </cell>
        </row>
        <row r="1343">
          <cell r="C1343">
            <v>8010040481</v>
          </cell>
          <cell r="D1343" t="str">
            <v>电熔异径套管(PE配件)1.6MPa黑色 dn160×90</v>
          </cell>
          <cell r="E1343" t="str">
            <v>HDPE Electro-fusion Reducing Coupler (1.6Mpa) dn160x90 Black</v>
          </cell>
        </row>
        <row r="1343">
          <cell r="G1343">
            <v>98212</v>
          </cell>
          <cell r="H1343">
            <v>98212</v>
          </cell>
          <cell r="I1343">
            <v>0.15</v>
          </cell>
          <cell r="J1343">
            <v>115544</v>
          </cell>
          <cell r="K1343">
            <v>0.14</v>
          </cell>
          <cell r="L1343">
            <v>114200</v>
          </cell>
        </row>
        <row r="1344">
          <cell r="C1344">
            <v>8010040482</v>
          </cell>
          <cell r="D1344" t="str">
            <v>电熔异径套管(PE配件)1.6MPa黑色 dn200×110</v>
          </cell>
          <cell r="E1344" t="str">
            <v>HDPE Electro-fusion Reducing Coupler (1.6Mpa) dn200x110 Black</v>
          </cell>
        </row>
        <row r="1344">
          <cell r="G1344">
            <v>194386</v>
          </cell>
          <cell r="H1344">
            <v>194386</v>
          </cell>
          <cell r="I1344">
            <v>0.15</v>
          </cell>
          <cell r="J1344">
            <v>228690</v>
          </cell>
          <cell r="K1344">
            <v>0.14</v>
          </cell>
          <cell r="L1344">
            <v>226030</v>
          </cell>
        </row>
        <row r="1345">
          <cell r="C1345">
            <v>8010040483</v>
          </cell>
          <cell r="D1345" t="str">
            <v>电熔异径套管(PE配件)1.6MPa黑色 dn200×160</v>
          </cell>
          <cell r="E1345" t="str">
            <v>HDPE Electro-fusion Reducing Coupler (1.6Mpa) dn200x160 Black</v>
          </cell>
        </row>
        <row r="1345">
          <cell r="G1345">
            <v>215054</v>
          </cell>
          <cell r="H1345">
            <v>215054</v>
          </cell>
          <cell r="I1345">
            <v>0.15</v>
          </cell>
          <cell r="J1345">
            <v>253005</v>
          </cell>
          <cell r="K1345">
            <v>0.14</v>
          </cell>
          <cell r="L1345">
            <v>250063</v>
          </cell>
        </row>
        <row r="1346">
          <cell r="C1346">
            <v>8010040486</v>
          </cell>
          <cell r="D1346" t="str">
            <v>电熔异径套管(PE配件)1.6MPa黑色 dn200×90</v>
          </cell>
          <cell r="E1346" t="str">
            <v>HDPE Electro-fusion Reducing Coupler (1.6Mpa) dn200x90 Black</v>
          </cell>
        </row>
        <row r="1346">
          <cell r="G1346">
            <v>200252</v>
          </cell>
          <cell r="H1346">
            <v>200252</v>
          </cell>
          <cell r="I1346">
            <v>0.15</v>
          </cell>
          <cell r="J1346">
            <v>235591</v>
          </cell>
          <cell r="K1346">
            <v>0.14</v>
          </cell>
          <cell r="L1346">
            <v>232851</v>
          </cell>
        </row>
        <row r="1347">
          <cell r="C1347">
            <v>8010040487</v>
          </cell>
          <cell r="D1347" t="str">
            <v>电熔异径套管(PE配件)1.6MPa黑色 dn250×110</v>
          </cell>
          <cell r="E1347" t="str">
            <v>HDPE Electro-fusion Reducing Coupler (1.6Mpa) dn250x110 Black</v>
          </cell>
        </row>
        <row r="1347">
          <cell r="G1347">
            <v>275757</v>
          </cell>
          <cell r="H1347">
            <v>275757</v>
          </cell>
          <cell r="I1347">
            <v>0.15</v>
          </cell>
          <cell r="J1347">
            <v>324420</v>
          </cell>
          <cell r="K1347">
            <v>0.14</v>
          </cell>
          <cell r="L1347">
            <v>320648</v>
          </cell>
        </row>
        <row r="1348">
          <cell r="C1348">
            <v>8010040488</v>
          </cell>
          <cell r="D1348" t="str">
            <v>电熔异径套管(PE配件)1.6MPa黑色 dn250×160</v>
          </cell>
          <cell r="E1348" t="str">
            <v>HDPE Electro-fusion Reducing Coupler (1.6Mpa) dn250x160 Black</v>
          </cell>
        </row>
        <row r="1348">
          <cell r="G1348">
            <v>291608</v>
          </cell>
          <cell r="H1348">
            <v>291608</v>
          </cell>
          <cell r="I1348">
            <v>0.15</v>
          </cell>
          <cell r="J1348">
            <v>343069</v>
          </cell>
          <cell r="K1348">
            <v>0.14</v>
          </cell>
          <cell r="L1348">
            <v>339079</v>
          </cell>
        </row>
        <row r="1349">
          <cell r="C1349">
            <v>8010040489</v>
          </cell>
          <cell r="D1349" t="str">
            <v>电熔异径套管(PE配件)1.6MPa黑色 dn250×200</v>
          </cell>
          <cell r="E1349" t="str">
            <v>HDPE Electro-fusion Reducing Coupler (1.6Mpa) dn250x200 Black</v>
          </cell>
        </row>
        <row r="1349">
          <cell r="G1349">
            <v>318123</v>
          </cell>
          <cell r="H1349">
            <v>318123</v>
          </cell>
          <cell r="I1349">
            <v>0.15</v>
          </cell>
          <cell r="J1349">
            <v>374263</v>
          </cell>
          <cell r="K1349">
            <v>0.14</v>
          </cell>
          <cell r="L1349">
            <v>369910</v>
          </cell>
        </row>
        <row r="1350">
          <cell r="C1350">
            <v>8010040490</v>
          </cell>
          <cell r="D1350" t="str">
            <v>电熔异径套管(PE配件)1.6MPa黑色 dn315×160</v>
          </cell>
          <cell r="E1350" t="str">
            <v>HDPE Electro-fusion Reducing Coupler (1.6Mpa) dn315x160 Black</v>
          </cell>
        </row>
        <row r="1350">
          <cell r="G1350">
            <v>500159</v>
          </cell>
          <cell r="H1350">
            <v>500159</v>
          </cell>
          <cell r="I1350">
            <v>0.15</v>
          </cell>
          <cell r="J1350">
            <v>588423</v>
          </cell>
          <cell r="K1350">
            <v>0.14</v>
          </cell>
          <cell r="L1350">
            <v>581580</v>
          </cell>
        </row>
        <row r="1351">
          <cell r="C1351">
            <v>8010040491</v>
          </cell>
          <cell r="D1351" t="str">
            <v>电熔异径套管(PE配件)1.6MPa黑色 dn315×200</v>
          </cell>
          <cell r="E1351" t="str">
            <v>HDPE Electro-fusion Reducing Coupler (1.6Mpa) dn315x200 Black</v>
          </cell>
        </row>
        <row r="1351">
          <cell r="G1351">
            <v>551815</v>
          </cell>
          <cell r="H1351">
            <v>551815</v>
          </cell>
          <cell r="I1351">
            <v>0.15</v>
          </cell>
          <cell r="J1351">
            <v>649195</v>
          </cell>
          <cell r="K1351">
            <v>0.14</v>
          </cell>
          <cell r="L1351">
            <v>641645</v>
          </cell>
        </row>
        <row r="1352">
          <cell r="C1352">
            <v>8010040492</v>
          </cell>
          <cell r="D1352" t="str">
            <v>电熔异径套管(PE配件)1.6MPa黑色 dn315×250</v>
          </cell>
          <cell r="E1352" t="str">
            <v>HDPE Electro-fusion Reducing Coupler (1.6Mpa) dn315x250 Black</v>
          </cell>
        </row>
        <row r="1352">
          <cell r="G1352">
            <v>528621</v>
          </cell>
          <cell r="H1352">
            <v>528621</v>
          </cell>
          <cell r="I1352">
            <v>0.15</v>
          </cell>
          <cell r="J1352">
            <v>621908</v>
          </cell>
          <cell r="K1352">
            <v>0.14</v>
          </cell>
          <cell r="L1352">
            <v>614676</v>
          </cell>
        </row>
        <row r="1353">
          <cell r="C1353">
            <v>8010040493</v>
          </cell>
          <cell r="D1353" t="str">
            <v>电熔异径套管(PE配件)1.6MPa黑色 dn32×25</v>
          </cell>
          <cell r="E1353" t="str">
            <v>HDPE Electro-fusion Reducing Coupler (1.6Mpa) dn32x25 Black</v>
          </cell>
        </row>
        <row r="1353">
          <cell r="G1353">
            <v>15296</v>
          </cell>
          <cell r="H1353">
            <v>15296</v>
          </cell>
          <cell r="I1353">
            <v>0.15</v>
          </cell>
          <cell r="J1353">
            <v>17996</v>
          </cell>
          <cell r="K1353">
            <v>0.14</v>
          </cell>
          <cell r="L1353">
            <v>17786</v>
          </cell>
        </row>
        <row r="1354">
          <cell r="C1354">
            <v>8010040495</v>
          </cell>
          <cell r="D1354" t="str">
            <v>电熔异径套管(PE配件)1.6MPa黑色 dn400×315</v>
          </cell>
          <cell r="E1354" t="str">
            <v>HDPE Electro-fusion Reducing Coupler (1.6Mpa) dn400x315 Black</v>
          </cell>
        </row>
        <row r="1354">
          <cell r="G1354">
            <v>1015890</v>
          </cell>
          <cell r="H1354">
            <v>1015890</v>
          </cell>
          <cell r="I1354">
            <v>0.15</v>
          </cell>
          <cell r="J1354">
            <v>1195165</v>
          </cell>
          <cell r="K1354">
            <v>0.14</v>
          </cell>
          <cell r="L1354">
            <v>1181267</v>
          </cell>
        </row>
        <row r="1355">
          <cell r="C1355">
            <v>8010040496</v>
          </cell>
          <cell r="D1355" t="str">
            <v>电熔异径套管(PE配件)1.6MPa黑色 dn40×32</v>
          </cell>
          <cell r="E1355" t="str">
            <v>HDPE Electro-fusion Reducing Coupler (1.6Mpa) dn40x32 Black</v>
          </cell>
        </row>
        <row r="1355">
          <cell r="G1355">
            <v>13197</v>
          </cell>
          <cell r="H1355">
            <v>13197</v>
          </cell>
          <cell r="I1355">
            <v>0.15</v>
          </cell>
          <cell r="J1355">
            <v>15526</v>
          </cell>
          <cell r="K1355">
            <v>0.14</v>
          </cell>
          <cell r="L1355">
            <v>15345</v>
          </cell>
        </row>
        <row r="1356">
          <cell r="C1356">
            <v>8010040497</v>
          </cell>
          <cell r="D1356" t="str">
            <v>电熔异径套管(PE配件)1.6MPa黑色 dn50×32</v>
          </cell>
          <cell r="E1356" t="str">
            <v>HDPE Electro-fusion Reducing Coupler (1.6Mpa) dn50x32 Black</v>
          </cell>
        </row>
        <row r="1356">
          <cell r="G1356">
            <v>15917</v>
          </cell>
          <cell r="H1356">
            <v>15917</v>
          </cell>
          <cell r="I1356">
            <v>0.15</v>
          </cell>
          <cell r="J1356">
            <v>18726</v>
          </cell>
          <cell r="K1356">
            <v>0.14</v>
          </cell>
          <cell r="L1356">
            <v>18508</v>
          </cell>
        </row>
        <row r="1357">
          <cell r="C1357">
            <v>8010040498</v>
          </cell>
          <cell r="D1357" t="str">
            <v>电熔异径套管(PE配件)1.6MPa黑色 dn50×40</v>
          </cell>
          <cell r="E1357" t="str">
            <v>HDPE Electro-fusion Reducing Coupler (1.6Mpa) dn50x40 Black</v>
          </cell>
        </row>
        <row r="1357">
          <cell r="G1357">
            <v>19165</v>
          </cell>
          <cell r="H1357">
            <v>19165</v>
          </cell>
          <cell r="I1357">
            <v>0.15</v>
          </cell>
          <cell r="J1357">
            <v>22548</v>
          </cell>
          <cell r="K1357">
            <v>0.14</v>
          </cell>
          <cell r="L1357">
            <v>22285</v>
          </cell>
        </row>
        <row r="1358">
          <cell r="C1358">
            <v>8010040499</v>
          </cell>
          <cell r="D1358" t="str">
            <v>电熔异径套管(PE配件)1.6MPa黑色 dn63×32</v>
          </cell>
          <cell r="E1358" t="str">
            <v>HDPE Electro-fusion Reducing Coupler (1.6Mpa) dn63x32 Black</v>
          </cell>
        </row>
        <row r="1358">
          <cell r="G1358">
            <v>21959</v>
          </cell>
          <cell r="H1358">
            <v>21959</v>
          </cell>
          <cell r="I1358">
            <v>0.15</v>
          </cell>
          <cell r="J1358">
            <v>25835</v>
          </cell>
          <cell r="K1358">
            <v>0.14</v>
          </cell>
          <cell r="L1358">
            <v>25534</v>
          </cell>
        </row>
        <row r="1359">
          <cell r="C1359">
            <v>8010040500</v>
          </cell>
          <cell r="D1359" t="str">
            <v>电熔异径套管(PE配件)1.6MPa黑色 dn63×40</v>
          </cell>
          <cell r="E1359" t="str">
            <v>HDPE Electro-fusion Reducing Coupler (1.6Mpa) dn63x40 Black</v>
          </cell>
        </row>
        <row r="1359">
          <cell r="G1359">
            <v>22586</v>
          </cell>
          <cell r="H1359">
            <v>22586</v>
          </cell>
          <cell r="I1359">
            <v>0.15</v>
          </cell>
          <cell r="J1359">
            <v>26572</v>
          </cell>
          <cell r="K1359">
            <v>0.14</v>
          </cell>
          <cell r="L1359">
            <v>26263</v>
          </cell>
        </row>
        <row r="1360">
          <cell r="C1360">
            <v>8010040501</v>
          </cell>
          <cell r="D1360" t="str">
            <v>电熔异径套管(PE配件)1.6MPa黑色 dn63×50</v>
          </cell>
          <cell r="E1360" t="str">
            <v>HDPE Electro-fusion Reducing Coupler (1.6Mpa) dn63x50 Black</v>
          </cell>
        </row>
        <row r="1360">
          <cell r="G1360">
            <v>28400</v>
          </cell>
          <cell r="H1360">
            <v>28400</v>
          </cell>
          <cell r="I1360">
            <v>0.15</v>
          </cell>
          <cell r="J1360">
            <v>33412</v>
          </cell>
          <cell r="K1360">
            <v>0.14</v>
          </cell>
          <cell r="L1360">
            <v>33023</v>
          </cell>
        </row>
        <row r="1361">
          <cell r="C1361">
            <v>8010040502</v>
          </cell>
          <cell r="D1361" t="str">
            <v>电熔异径套管(PE配件)1.6MPa黑色 dn75×63</v>
          </cell>
          <cell r="E1361" t="str">
            <v>HDPE Electro-fusion Reducing Coupler (1.6Mpa) dn75x63 Black</v>
          </cell>
        </row>
        <row r="1361">
          <cell r="G1361">
            <v>23669</v>
          </cell>
          <cell r="H1361">
            <v>23669</v>
          </cell>
          <cell r="I1361">
            <v>0.15</v>
          </cell>
          <cell r="J1361">
            <v>27846</v>
          </cell>
          <cell r="K1361">
            <v>0.14</v>
          </cell>
          <cell r="L1361">
            <v>27522</v>
          </cell>
        </row>
        <row r="1362">
          <cell r="C1362">
            <v>8010040503</v>
          </cell>
          <cell r="D1362" t="str">
            <v>电熔异径套管(PE配件)1.6MPa黑色 dn90×63</v>
          </cell>
          <cell r="E1362" t="str">
            <v>HDPE Electro-fusion Reducing Coupler (1.6Mpa) dn90x63 Black</v>
          </cell>
        </row>
        <row r="1362">
          <cell r="G1362">
            <v>30445</v>
          </cell>
          <cell r="H1362">
            <v>30445</v>
          </cell>
          <cell r="I1362">
            <v>0.15</v>
          </cell>
          <cell r="J1362">
            <v>35818</v>
          </cell>
          <cell r="K1362">
            <v>0.14</v>
          </cell>
          <cell r="L1362">
            <v>35401</v>
          </cell>
        </row>
        <row r="1363">
          <cell r="C1363">
            <v>8010040504</v>
          </cell>
          <cell r="D1363" t="str">
            <v>电熔异径套管(PE配件)1.6MPa黑色 dn90×75</v>
          </cell>
          <cell r="E1363" t="str">
            <v>HDPE Electro-fusion Reducing Coupler (1.6Mpa) dn90x75 Black</v>
          </cell>
        </row>
        <row r="1363">
          <cell r="G1363">
            <v>33425</v>
          </cell>
          <cell r="H1363">
            <v>33425</v>
          </cell>
          <cell r="I1363">
            <v>0.15</v>
          </cell>
          <cell r="J1363">
            <v>39324</v>
          </cell>
          <cell r="K1363">
            <v>0.14</v>
          </cell>
          <cell r="L1363">
            <v>38866</v>
          </cell>
        </row>
        <row r="1364">
          <cell r="C1364">
            <v>8010046192</v>
          </cell>
          <cell r="D1364" t="str">
            <v>新型电熔异径三通(PE配件)1.6MPa黑色 dn160×90</v>
          </cell>
          <cell r="E1364" t="str">
            <v>HDPE Electro-fusion Reducing Tee (1.6MPa) dn160x90 Black</v>
          </cell>
        </row>
        <row r="1364">
          <cell r="G1364">
            <v>173904</v>
          </cell>
          <cell r="H1364">
            <v>173904</v>
          </cell>
          <cell r="I1364">
            <v>0.15</v>
          </cell>
          <cell r="J1364">
            <v>204593</v>
          </cell>
          <cell r="K1364">
            <v>0.14</v>
          </cell>
          <cell r="L1364">
            <v>202214</v>
          </cell>
        </row>
        <row r="1365">
          <cell r="C1365">
            <v>8010046193</v>
          </cell>
          <cell r="D1365" t="str">
            <v>新型电熔异径三通(PE配件)1.6MPa黑色 dn160×75</v>
          </cell>
          <cell r="E1365" t="str">
            <v>HDPE Electro-fusion Reducing Tee (1.6MPa) dn160x75 Black</v>
          </cell>
        </row>
        <row r="1365">
          <cell r="G1365">
            <v>167060</v>
          </cell>
          <cell r="H1365">
            <v>167060</v>
          </cell>
          <cell r="I1365">
            <v>0.15</v>
          </cell>
          <cell r="J1365">
            <v>196542</v>
          </cell>
          <cell r="K1365">
            <v>0.14</v>
          </cell>
          <cell r="L1365">
            <v>194256</v>
          </cell>
        </row>
        <row r="1366">
          <cell r="C1366">
            <v>8010046194</v>
          </cell>
          <cell r="D1366" t="str">
            <v>新型电熔异径三通(PE配件)1.6MPa黑色 dn200×63</v>
          </cell>
          <cell r="E1366" t="str">
            <v>HDPE Electro-fusion Reducing Tee (1.6MPa) dn200x63 Black</v>
          </cell>
        </row>
        <row r="1366">
          <cell r="G1366">
            <v>290940</v>
          </cell>
          <cell r="H1366">
            <v>290940</v>
          </cell>
          <cell r="I1366">
            <v>0.15</v>
          </cell>
          <cell r="J1366">
            <v>342283</v>
          </cell>
          <cell r="K1366">
            <v>0.14</v>
          </cell>
          <cell r="L1366">
            <v>338302</v>
          </cell>
        </row>
        <row r="1367">
          <cell r="C1367">
            <v>8010046180</v>
          </cell>
          <cell r="D1367" t="str">
            <v>新型电熔异径三通(PE配件)1.6MPa黑色 dn160×63</v>
          </cell>
          <cell r="E1367" t="str">
            <v>HDPE Electro-fusion Reducing Tee (1.6MPa) dn160x63 Black</v>
          </cell>
        </row>
        <row r="1367">
          <cell r="G1367">
            <v>156616</v>
          </cell>
          <cell r="H1367">
            <v>156616</v>
          </cell>
          <cell r="I1367">
            <v>0.15</v>
          </cell>
          <cell r="J1367">
            <v>184255</v>
          </cell>
          <cell r="K1367">
            <v>0.14</v>
          </cell>
          <cell r="L1367">
            <v>182112</v>
          </cell>
        </row>
        <row r="1368">
          <cell r="C1368">
            <v>8010046181</v>
          </cell>
          <cell r="D1368" t="str">
            <v>新型电熔异径三通(PE配件)1.6MPa黑色 dn200×90</v>
          </cell>
          <cell r="E1368" t="str">
            <v>HDPE Electro-fusion Reducing Tee (1.6MPa) dn200x90 Black</v>
          </cell>
        </row>
        <row r="1368">
          <cell r="G1368">
            <v>303950</v>
          </cell>
          <cell r="H1368">
            <v>303950</v>
          </cell>
          <cell r="I1368">
            <v>0.15</v>
          </cell>
          <cell r="J1368">
            <v>357589</v>
          </cell>
          <cell r="K1368">
            <v>0.14</v>
          </cell>
          <cell r="L1368">
            <v>353430</v>
          </cell>
        </row>
        <row r="1369">
          <cell r="C1369">
            <v>8010045550</v>
          </cell>
          <cell r="D1369" t="str">
            <v>新型电熔异径三通(PE配件)1.6MPa黑色 dn200×110</v>
          </cell>
          <cell r="E1369" t="str">
            <v>HDPE Electro-fusion Reducing Tee (1.6MPa) dn200x110 Black</v>
          </cell>
        </row>
        <row r="1369">
          <cell r="G1369">
            <v>325341</v>
          </cell>
          <cell r="H1369">
            <v>325341</v>
          </cell>
          <cell r="I1369">
            <v>0.15</v>
          </cell>
          <cell r="J1369">
            <v>382755</v>
          </cell>
          <cell r="K1369">
            <v>0.14</v>
          </cell>
          <cell r="L1369">
            <v>378303</v>
          </cell>
        </row>
        <row r="1370">
          <cell r="C1370">
            <v>8010045551</v>
          </cell>
          <cell r="D1370" t="str">
            <v>新型电熔异径三通(PE配件)1.6MPa黑色 dn200×160</v>
          </cell>
          <cell r="E1370" t="str">
            <v>HDPE Electro-fusion Reducing Tee (1.6MPa) dn200x160 Black</v>
          </cell>
        </row>
        <row r="1370">
          <cell r="G1370">
            <v>388250</v>
          </cell>
          <cell r="H1370">
            <v>388250</v>
          </cell>
          <cell r="I1370">
            <v>0.15</v>
          </cell>
          <cell r="J1370">
            <v>456765</v>
          </cell>
          <cell r="K1370">
            <v>0.14</v>
          </cell>
          <cell r="L1370">
            <v>451453</v>
          </cell>
        </row>
        <row r="1371">
          <cell r="C1371">
            <v>8010045439</v>
          </cell>
          <cell r="D1371" t="str">
            <v>新型电熔异径三通(PE配件)1.6MPa黑色 dn160×110</v>
          </cell>
          <cell r="E1371" t="str">
            <v>HDPE Electro-fusion Reducing Tee (1.6MPa) dn160x110 Black</v>
          </cell>
        </row>
        <row r="1371">
          <cell r="G1371">
            <v>192601</v>
          </cell>
          <cell r="H1371">
            <v>192601</v>
          </cell>
          <cell r="I1371">
            <v>0.15</v>
          </cell>
          <cell r="J1371">
            <v>226590</v>
          </cell>
          <cell r="K1371">
            <v>0.14</v>
          </cell>
          <cell r="L1371">
            <v>223955</v>
          </cell>
        </row>
        <row r="1372">
          <cell r="C1372">
            <v>8010044239</v>
          </cell>
          <cell r="D1372" t="str">
            <v>电熔异径三通(PE配件)1.6MPa黑色 dn225×110</v>
          </cell>
          <cell r="E1372" t="str">
            <v>HDPE Electro-fusion Reducing Tee (1.6MPa) dn225x110 Black</v>
          </cell>
        </row>
        <row r="1372">
          <cell r="G1372">
            <v>373321</v>
          </cell>
          <cell r="H1372">
            <v>373321</v>
          </cell>
          <cell r="I1372">
            <v>0.15</v>
          </cell>
          <cell r="J1372">
            <v>439202</v>
          </cell>
          <cell r="K1372">
            <v>0.14</v>
          </cell>
          <cell r="L1372">
            <v>434094</v>
          </cell>
        </row>
        <row r="1373">
          <cell r="C1373">
            <v>8010043150</v>
          </cell>
          <cell r="D1373" t="str">
            <v>电熔异径三通(PE配件)1.6MPa黑色 dn180×160</v>
          </cell>
          <cell r="E1373" t="str">
            <v>HDPE Electro-fusion Reducing Tee (1.6MPa) dn180x160 Black</v>
          </cell>
        </row>
        <row r="1373">
          <cell r="G1373">
            <v>293927</v>
          </cell>
          <cell r="H1373">
            <v>293927</v>
          </cell>
          <cell r="I1373">
            <v>0.15</v>
          </cell>
          <cell r="J1373">
            <v>345797</v>
          </cell>
          <cell r="K1373">
            <v>0.14</v>
          </cell>
          <cell r="L1373">
            <v>341776</v>
          </cell>
        </row>
        <row r="1374">
          <cell r="C1374">
            <v>8010042154</v>
          </cell>
          <cell r="D1374" t="str">
            <v>电熔异径三通(PE配件)1.6MPa黑色 dn225×160</v>
          </cell>
          <cell r="E1374" t="str">
            <v>HDPE Electro-fusion Reducing Tee (1.6MPa) dn225x160 Black</v>
          </cell>
        </row>
        <row r="1374">
          <cell r="G1374">
            <v>433523</v>
          </cell>
          <cell r="H1374">
            <v>433523</v>
          </cell>
          <cell r="I1374">
            <v>0.15</v>
          </cell>
          <cell r="J1374">
            <v>510028</v>
          </cell>
          <cell r="K1374">
            <v>0.14</v>
          </cell>
          <cell r="L1374">
            <v>504097</v>
          </cell>
        </row>
        <row r="1375">
          <cell r="C1375">
            <v>8010042157</v>
          </cell>
          <cell r="D1375" t="str">
            <v>电熔异径三通(PE配件)1.6MPa黑色 dn400×90</v>
          </cell>
          <cell r="E1375" t="str">
            <v>HDPE Electro-fusion Reducing Tee (1.6MPa) dn400x90 Black</v>
          </cell>
        </row>
        <row r="1375">
          <cell r="G1375">
            <v>1377884</v>
          </cell>
          <cell r="H1375">
            <v>1377884</v>
          </cell>
          <cell r="I1375">
            <v>0.15</v>
          </cell>
          <cell r="J1375">
            <v>1621040</v>
          </cell>
          <cell r="K1375">
            <v>0.14</v>
          </cell>
          <cell r="L1375">
            <v>1602191</v>
          </cell>
        </row>
        <row r="1376">
          <cell r="C1376">
            <v>8010040403</v>
          </cell>
          <cell r="D1376" t="str">
            <v>电熔异径三通(PE配件)1.6MPa黑色 dn110×50</v>
          </cell>
          <cell r="E1376" t="str">
            <v>HDPE Electro-fusion Reducing Tee (1.6MPa) dn110x50 Black</v>
          </cell>
        </row>
        <row r="1376">
          <cell r="G1376">
            <v>69945</v>
          </cell>
          <cell r="H1376">
            <v>69945</v>
          </cell>
          <cell r="I1376">
            <v>0.15</v>
          </cell>
          <cell r="J1376">
            <v>82289</v>
          </cell>
          <cell r="K1376">
            <v>0.14</v>
          </cell>
          <cell r="L1376">
            <v>81331</v>
          </cell>
        </row>
        <row r="1377">
          <cell r="C1377">
            <v>8010040404</v>
          </cell>
          <cell r="D1377" t="str">
            <v>电熔异径三通(PE配件)1.6MPa黑色 dn110×63</v>
          </cell>
          <cell r="E1377" t="str">
            <v>HDPE Electro-fusion Reducing Tee (1.6MPa) dn110x63 Black</v>
          </cell>
        </row>
        <row r="1377">
          <cell r="G1377">
            <v>71522</v>
          </cell>
          <cell r="H1377">
            <v>71522</v>
          </cell>
          <cell r="I1377">
            <v>0.15</v>
          </cell>
          <cell r="J1377">
            <v>84144</v>
          </cell>
          <cell r="K1377">
            <v>0.14</v>
          </cell>
          <cell r="L1377">
            <v>83165</v>
          </cell>
        </row>
        <row r="1378">
          <cell r="C1378">
            <v>8010040405</v>
          </cell>
          <cell r="D1378" t="str">
            <v>电熔异径三通(PE配件)1.6MPa黑色 dn110×75</v>
          </cell>
          <cell r="E1378" t="str">
            <v>HDPE Electro-fusion Reducing Tee (1.6MPa) dn110x75 Black</v>
          </cell>
        </row>
        <row r="1378">
          <cell r="G1378">
            <v>78525</v>
          </cell>
          <cell r="H1378">
            <v>78525</v>
          </cell>
          <cell r="I1378">
            <v>0.15</v>
          </cell>
          <cell r="J1378">
            <v>92383</v>
          </cell>
          <cell r="K1378">
            <v>0.14</v>
          </cell>
          <cell r="L1378">
            <v>91308</v>
          </cell>
        </row>
        <row r="1379">
          <cell r="C1379">
            <v>8010040406</v>
          </cell>
          <cell r="D1379" t="str">
            <v>电熔异径三通(PE配件)1.6MPa黑色 dn110×90</v>
          </cell>
          <cell r="E1379" t="str">
            <v>HDPE Electro-fusion Reducing Tee (1.6MPa) dn110x90 Black</v>
          </cell>
        </row>
        <row r="1379">
          <cell r="G1379">
            <v>84178</v>
          </cell>
          <cell r="H1379">
            <v>84178</v>
          </cell>
          <cell r="I1379">
            <v>0.15</v>
          </cell>
          <cell r="J1379">
            <v>99033</v>
          </cell>
          <cell r="K1379">
            <v>0.14</v>
          </cell>
          <cell r="L1379">
            <v>97881</v>
          </cell>
        </row>
        <row r="1380">
          <cell r="C1380">
            <v>8010040407</v>
          </cell>
          <cell r="D1380" t="str">
            <v>电熔异径三通(PE配件)1.6MPa黑色 dn125×110</v>
          </cell>
          <cell r="E1380" t="str">
            <v>HDPE Electro-fusion Reducing Tee (1.6MPa) dn125x110 Black</v>
          </cell>
        </row>
        <row r="1380">
          <cell r="G1380">
            <v>111182</v>
          </cell>
          <cell r="H1380">
            <v>111182</v>
          </cell>
          <cell r="I1380">
            <v>0.15</v>
          </cell>
          <cell r="J1380">
            <v>130803</v>
          </cell>
          <cell r="K1380">
            <v>0.14</v>
          </cell>
          <cell r="L1380">
            <v>129281</v>
          </cell>
        </row>
        <row r="1381">
          <cell r="C1381">
            <v>8010040408</v>
          </cell>
          <cell r="D1381" t="str">
            <v>电熔异径三通(PE配件)1.6MPa黑色 dn125×63</v>
          </cell>
          <cell r="E1381" t="str">
            <v>HDPE Electro-fusion Reducing Tee (1.6MPa) dn125x63 Black</v>
          </cell>
        </row>
        <row r="1381">
          <cell r="G1381">
            <v>88963</v>
          </cell>
          <cell r="H1381">
            <v>88963</v>
          </cell>
          <cell r="I1381">
            <v>0.15</v>
          </cell>
          <cell r="J1381">
            <v>104663</v>
          </cell>
          <cell r="K1381">
            <v>0.14</v>
          </cell>
          <cell r="L1381">
            <v>103445</v>
          </cell>
        </row>
        <row r="1382">
          <cell r="C1382">
            <v>8010040409</v>
          </cell>
          <cell r="D1382" t="str">
            <v>电熔异径三通(PE配件)1.6MPa黑色 dn125×75</v>
          </cell>
          <cell r="E1382" t="str">
            <v>HDPE Electro-fusion Reducing Tee (1.6MPa) dn125x75 Black</v>
          </cell>
        </row>
        <row r="1382">
          <cell r="G1382">
            <v>89497</v>
          </cell>
          <cell r="H1382">
            <v>89497</v>
          </cell>
          <cell r="I1382">
            <v>0.15</v>
          </cell>
          <cell r="J1382">
            <v>105291</v>
          </cell>
          <cell r="K1382">
            <v>0.14</v>
          </cell>
          <cell r="L1382">
            <v>104066</v>
          </cell>
        </row>
        <row r="1383">
          <cell r="C1383">
            <v>8010040410</v>
          </cell>
          <cell r="D1383" t="str">
            <v>电熔异径三通(PE配件)1.6MPa黑色 dn125×90</v>
          </cell>
          <cell r="E1383" t="str">
            <v>HDPE Electro-fusion Reducing Tee (1.6MPa) dn125x90 Black</v>
          </cell>
        </row>
        <row r="1383">
          <cell r="G1383">
            <v>99815</v>
          </cell>
          <cell r="H1383">
            <v>99815</v>
          </cell>
          <cell r="I1383">
            <v>0.15</v>
          </cell>
          <cell r="J1383">
            <v>117430</v>
          </cell>
          <cell r="K1383">
            <v>0.14</v>
          </cell>
          <cell r="L1383">
            <v>116064</v>
          </cell>
        </row>
        <row r="1384">
          <cell r="C1384">
            <v>8010040412</v>
          </cell>
          <cell r="D1384" t="str">
            <v>电熔异径三通(PE配件)1.6MPa黑色 dn160×50</v>
          </cell>
          <cell r="E1384" t="str">
            <v>HDPE Electro-fusion Reducing Tee (1.6MPa) dn160x50 Black</v>
          </cell>
        </row>
        <row r="1384">
          <cell r="G1384">
            <v>150148</v>
          </cell>
          <cell r="H1384">
            <v>150148</v>
          </cell>
          <cell r="I1384">
            <v>0.15</v>
          </cell>
          <cell r="J1384">
            <v>176645</v>
          </cell>
          <cell r="K1384">
            <v>0.14</v>
          </cell>
          <cell r="L1384">
            <v>174591</v>
          </cell>
        </row>
        <row r="1385">
          <cell r="C1385">
            <v>8010040450</v>
          </cell>
          <cell r="D1385" t="str">
            <v>电熔异径三通(PE配件)1.6MPa黑色 dn63×32</v>
          </cell>
          <cell r="E1385" t="str">
            <v>HDPE Electro-fusion Reducing Tee (1.6MPa) dn63x32 Black</v>
          </cell>
        </row>
        <row r="1385">
          <cell r="G1385">
            <v>21951</v>
          </cell>
          <cell r="H1385">
            <v>21951</v>
          </cell>
          <cell r="I1385">
            <v>0.15</v>
          </cell>
          <cell r="J1385">
            <v>25825</v>
          </cell>
          <cell r="K1385">
            <v>0.14</v>
          </cell>
          <cell r="L1385">
            <v>25524</v>
          </cell>
        </row>
        <row r="1386">
          <cell r="C1386">
            <v>8010040451</v>
          </cell>
          <cell r="D1386" t="str">
            <v>电熔异径三通(PE配件)1.6MPa黑色 dn63×40</v>
          </cell>
          <cell r="E1386" t="str">
            <v>HDPE Electro-fusion Reducing Tee (1.6MPa) dn63x40 Black</v>
          </cell>
        </row>
        <row r="1386">
          <cell r="G1386">
            <v>23455</v>
          </cell>
          <cell r="H1386">
            <v>23455</v>
          </cell>
          <cell r="I1386">
            <v>0.15</v>
          </cell>
          <cell r="J1386">
            <v>27595</v>
          </cell>
          <cell r="K1386">
            <v>0.14</v>
          </cell>
          <cell r="L1386">
            <v>27273</v>
          </cell>
        </row>
        <row r="1387">
          <cell r="C1387">
            <v>8010040452</v>
          </cell>
          <cell r="D1387" t="str">
            <v>电熔异径三通(PE配件)1.6MPa黑色 dn63×50</v>
          </cell>
          <cell r="E1387" t="str">
            <v>HDPE Electro-fusion Reducing Tee (1.6MPa) dn63x50 Black</v>
          </cell>
        </row>
        <row r="1387">
          <cell r="G1387">
            <v>24464</v>
          </cell>
          <cell r="H1387">
            <v>24464</v>
          </cell>
          <cell r="I1387">
            <v>0.15</v>
          </cell>
          <cell r="J1387">
            <v>28782</v>
          </cell>
          <cell r="K1387">
            <v>0.14</v>
          </cell>
          <cell r="L1387">
            <v>28447</v>
          </cell>
        </row>
        <row r="1388">
          <cell r="C1388">
            <v>8010040453</v>
          </cell>
          <cell r="D1388" t="str">
            <v>电熔异径三通(PE配件)1.6MPa黑色 dn75×40</v>
          </cell>
          <cell r="E1388" t="str">
            <v>HDPE Electro-fusion Reducing Tee (1.6MPa) dn75x40 Black</v>
          </cell>
        </row>
        <row r="1388">
          <cell r="G1388">
            <v>32463</v>
          </cell>
          <cell r="H1388">
            <v>32463</v>
          </cell>
          <cell r="I1388">
            <v>0.15</v>
          </cell>
          <cell r="J1388">
            <v>38192</v>
          </cell>
          <cell r="K1388">
            <v>0.14</v>
          </cell>
          <cell r="L1388">
            <v>37748</v>
          </cell>
        </row>
        <row r="1389">
          <cell r="C1389">
            <v>8010040454</v>
          </cell>
          <cell r="D1389" t="str">
            <v>电熔异径三通(PE配件)1.6MPa黑色 dn75×50</v>
          </cell>
          <cell r="E1389" t="str">
            <v>HDPE Electro-fusion Reducing Tee (1.6MPa) dn75x50 Black</v>
          </cell>
        </row>
        <row r="1389">
          <cell r="G1389">
            <v>34260</v>
          </cell>
          <cell r="H1389">
            <v>34260</v>
          </cell>
          <cell r="I1389">
            <v>0.15</v>
          </cell>
          <cell r="J1389">
            <v>40306</v>
          </cell>
          <cell r="K1389">
            <v>0.14</v>
          </cell>
          <cell r="L1389">
            <v>39837</v>
          </cell>
        </row>
        <row r="1390">
          <cell r="C1390">
            <v>8010040455</v>
          </cell>
          <cell r="D1390" t="str">
            <v>电熔异径三通(PE配件)1.6MPa黑色 dn75×63</v>
          </cell>
          <cell r="E1390" t="str">
            <v>HDPE Electro-fusion Reducing Tee (1.6MPa) dn75x63 Black</v>
          </cell>
        </row>
        <row r="1390">
          <cell r="G1390">
            <v>36686</v>
          </cell>
          <cell r="H1390">
            <v>36686</v>
          </cell>
          <cell r="I1390">
            <v>0.15</v>
          </cell>
          <cell r="J1390">
            <v>43160</v>
          </cell>
          <cell r="K1390">
            <v>0.14</v>
          </cell>
          <cell r="L1390">
            <v>42658</v>
          </cell>
        </row>
        <row r="1391">
          <cell r="C1391">
            <v>8010040456</v>
          </cell>
          <cell r="D1391" t="str">
            <v>电熔异径三通(PE配件)1.6MPa黑色 dn90×40</v>
          </cell>
          <cell r="E1391" t="str">
            <v>HDPE Electro-fusion Reducing Tee (1.6MPa) dn90x40 Black</v>
          </cell>
        </row>
        <row r="1391">
          <cell r="G1391">
            <v>43128</v>
          </cell>
          <cell r="H1391">
            <v>43128</v>
          </cell>
          <cell r="I1391">
            <v>0.15</v>
          </cell>
          <cell r="J1391">
            <v>50739</v>
          </cell>
          <cell r="K1391">
            <v>0.14</v>
          </cell>
          <cell r="L1391">
            <v>50149</v>
          </cell>
        </row>
        <row r="1392">
          <cell r="C1392">
            <v>8010040457</v>
          </cell>
          <cell r="D1392" t="str">
            <v>电熔异径三通(PE配件)1.6MPa黑色 dn90×50</v>
          </cell>
          <cell r="E1392" t="str">
            <v>HDPE Electro-fusion Reducing Tee (1.6MPa) dn90x50 Black</v>
          </cell>
        </row>
        <row r="1392">
          <cell r="G1392">
            <v>46041</v>
          </cell>
          <cell r="H1392">
            <v>46041</v>
          </cell>
          <cell r="I1392">
            <v>0.15</v>
          </cell>
          <cell r="J1392">
            <v>54166</v>
          </cell>
          <cell r="K1392">
            <v>0.14</v>
          </cell>
          <cell r="L1392">
            <v>53536</v>
          </cell>
        </row>
        <row r="1393">
          <cell r="C1393">
            <v>8010040458</v>
          </cell>
          <cell r="D1393" t="str">
            <v>电熔异径三通(PE配件)1.6MPa黑色 dn90×63</v>
          </cell>
          <cell r="E1393" t="str">
            <v>HDPE Electro-fusion Reducing Tee (1.6MPa) dn90x63 Black</v>
          </cell>
        </row>
        <row r="1393">
          <cell r="G1393">
            <v>50125</v>
          </cell>
          <cell r="H1393">
            <v>50125</v>
          </cell>
          <cell r="I1393">
            <v>0.15</v>
          </cell>
          <cell r="J1393">
            <v>58971</v>
          </cell>
          <cell r="K1393">
            <v>0.14</v>
          </cell>
          <cell r="L1393">
            <v>58285</v>
          </cell>
        </row>
        <row r="1394">
          <cell r="C1394">
            <v>8010040459</v>
          </cell>
          <cell r="D1394" t="str">
            <v>电熔异径三通(PE配件)1.6MPa黑色 dn90×75</v>
          </cell>
          <cell r="E1394" t="str">
            <v>HDPE Electro-fusion Reducing Tee (1.6MPa) dn90x75 Black</v>
          </cell>
        </row>
        <row r="1394">
          <cell r="G1394">
            <v>53266</v>
          </cell>
          <cell r="H1394">
            <v>53266</v>
          </cell>
          <cell r="I1394">
            <v>0.15</v>
          </cell>
          <cell r="J1394">
            <v>62666</v>
          </cell>
          <cell r="K1394">
            <v>0.14</v>
          </cell>
          <cell r="L1394">
            <v>61937</v>
          </cell>
        </row>
        <row r="1395">
          <cell r="C1395">
            <v>8010040418</v>
          </cell>
          <cell r="D1395" t="str">
            <v>电熔异径三通(PE配件)1.6MPa黑色 dn200×50</v>
          </cell>
          <cell r="E1395" t="str">
            <v>HDPE Electro-fusion Reducing Tee (1.6MPa) dn200x50 Black</v>
          </cell>
        </row>
        <row r="1395">
          <cell r="G1395">
            <v>287318</v>
          </cell>
          <cell r="H1395">
            <v>287318</v>
          </cell>
          <cell r="I1395">
            <v>0.15</v>
          </cell>
          <cell r="J1395">
            <v>338022</v>
          </cell>
          <cell r="K1395">
            <v>0.14</v>
          </cell>
          <cell r="L1395">
            <v>334091</v>
          </cell>
        </row>
        <row r="1396">
          <cell r="C1396">
            <v>8010040420</v>
          </cell>
          <cell r="D1396" t="str">
            <v>电熔异径三通(PE配件)1.6MPa黑色 dn200×75</v>
          </cell>
          <cell r="E1396" t="str">
            <v>HDPE Electro-fusion Reducing Tee (1.6MPa) dn200x75 Black</v>
          </cell>
        </row>
        <row r="1396">
          <cell r="G1396">
            <v>300228</v>
          </cell>
          <cell r="H1396">
            <v>300228</v>
          </cell>
          <cell r="I1396">
            <v>0.15</v>
          </cell>
          <cell r="J1396">
            <v>353210</v>
          </cell>
          <cell r="K1396">
            <v>0.14</v>
          </cell>
          <cell r="L1396">
            <v>349102</v>
          </cell>
        </row>
        <row r="1397">
          <cell r="C1397">
            <v>8010040422</v>
          </cell>
          <cell r="D1397" t="str">
            <v>电熔异径三通(PE配件)1.6MPa黑色 dn250×110</v>
          </cell>
          <cell r="E1397" t="str">
            <v>HDPE Electro-fusion Reducing Tee (1.6MPa) dn250x110 Black</v>
          </cell>
        </row>
        <row r="1397">
          <cell r="G1397">
            <v>523201</v>
          </cell>
          <cell r="H1397">
            <v>523201</v>
          </cell>
          <cell r="I1397">
            <v>0.15</v>
          </cell>
          <cell r="J1397">
            <v>615531</v>
          </cell>
          <cell r="K1397">
            <v>0.14</v>
          </cell>
          <cell r="L1397">
            <v>608373</v>
          </cell>
        </row>
        <row r="1398">
          <cell r="C1398">
            <v>8010040423</v>
          </cell>
          <cell r="D1398" t="str">
            <v>电熔异径三通(PE配件)1.6MPa黑色 dn250×160</v>
          </cell>
          <cell r="E1398" t="str">
            <v>HDPE Electro-fusion Reducing Tee (1.6MPa) dn250x160 Black</v>
          </cell>
        </row>
        <row r="1398">
          <cell r="G1398">
            <v>580704</v>
          </cell>
          <cell r="H1398">
            <v>580704</v>
          </cell>
          <cell r="I1398">
            <v>0.15</v>
          </cell>
          <cell r="J1398">
            <v>683182</v>
          </cell>
          <cell r="K1398">
            <v>0.14</v>
          </cell>
          <cell r="L1398">
            <v>675237</v>
          </cell>
        </row>
        <row r="1399">
          <cell r="C1399">
            <v>8010040424</v>
          </cell>
          <cell r="D1399" t="str">
            <v>电熔异径三通(PE配件)1.6MPa黑色 dn250×200</v>
          </cell>
          <cell r="E1399" t="str">
            <v>HDPE Electro-fusion Reducing Tee (1.6MPa) dn250x200 Black</v>
          </cell>
        </row>
        <row r="1399">
          <cell r="G1399">
            <v>606471</v>
          </cell>
          <cell r="H1399">
            <v>606471</v>
          </cell>
          <cell r="I1399">
            <v>0.15</v>
          </cell>
          <cell r="J1399">
            <v>713496</v>
          </cell>
          <cell r="K1399">
            <v>0.14</v>
          </cell>
          <cell r="L1399">
            <v>705199</v>
          </cell>
        </row>
        <row r="1400">
          <cell r="C1400">
            <v>8010040425</v>
          </cell>
          <cell r="D1400" t="str">
            <v>电熔异径三通(PE配件)1.6MPa黑色 dn250×50</v>
          </cell>
          <cell r="E1400" t="str">
            <v>HDPE Electro-fusion Reducing Tee (1.6MPa) dn200x50 Black</v>
          </cell>
        </row>
        <row r="1400">
          <cell r="G1400">
            <v>425069</v>
          </cell>
          <cell r="H1400">
            <v>425069</v>
          </cell>
          <cell r="I1400">
            <v>0.15</v>
          </cell>
          <cell r="J1400">
            <v>500082</v>
          </cell>
          <cell r="K1400">
            <v>0.14</v>
          </cell>
          <cell r="L1400">
            <v>494266</v>
          </cell>
        </row>
        <row r="1401">
          <cell r="C1401">
            <v>8010040426</v>
          </cell>
          <cell r="D1401" t="str">
            <v>电熔异径三通(PE配件)1.6MPa黑色 dn250×63</v>
          </cell>
          <cell r="E1401" t="str">
            <v>HDPE Electro-fusion Reducing Tee (1.6MPa) dn250x63 Black</v>
          </cell>
        </row>
        <row r="1401">
          <cell r="G1401">
            <v>427107</v>
          </cell>
          <cell r="H1401">
            <v>427107</v>
          </cell>
          <cell r="I1401">
            <v>0.15</v>
          </cell>
          <cell r="J1401">
            <v>502479</v>
          </cell>
          <cell r="K1401">
            <v>0.14</v>
          </cell>
          <cell r="L1401">
            <v>496636</v>
          </cell>
        </row>
        <row r="1402">
          <cell r="C1402">
            <v>8010040427</v>
          </cell>
          <cell r="D1402" t="str">
            <v>电熔异径三通(PE配件)1.6MPa黑色 dn250×75</v>
          </cell>
          <cell r="E1402" t="str">
            <v>HDPE Electro-fusion Reducing Tee (1.6MPa) dn250x75 Black</v>
          </cell>
        </row>
        <row r="1402">
          <cell r="G1402">
            <v>427468</v>
          </cell>
          <cell r="H1402">
            <v>427468</v>
          </cell>
          <cell r="I1402">
            <v>0.15</v>
          </cell>
          <cell r="J1402">
            <v>502904</v>
          </cell>
          <cell r="K1402">
            <v>0.14</v>
          </cell>
          <cell r="L1402">
            <v>497056</v>
          </cell>
        </row>
        <row r="1403">
          <cell r="C1403">
            <v>8010040428</v>
          </cell>
          <cell r="D1403" t="str">
            <v>电熔异径三通(PE配件)1.6MPa黑色 dn250×90</v>
          </cell>
          <cell r="E1403" t="str">
            <v>HDPE Electro-fusion Reducing Tee (1.6MPa) dn250x90 Black</v>
          </cell>
        </row>
        <row r="1403">
          <cell r="G1403">
            <v>470002</v>
          </cell>
          <cell r="H1403">
            <v>470002</v>
          </cell>
          <cell r="I1403">
            <v>0.15</v>
          </cell>
          <cell r="J1403">
            <v>552944</v>
          </cell>
          <cell r="K1403">
            <v>0.14</v>
          </cell>
          <cell r="L1403">
            <v>546514</v>
          </cell>
        </row>
        <row r="1404">
          <cell r="C1404">
            <v>8010040429</v>
          </cell>
          <cell r="D1404" t="str">
            <v>电熔异径三通(PE配件)1.6MPa黑色 dn315×110</v>
          </cell>
          <cell r="E1404" t="str">
            <v>HDPE Electro-fusion Reducing Tee (1.6MPa) dn315x110 Black</v>
          </cell>
        </row>
        <row r="1404">
          <cell r="G1404">
            <v>866010</v>
          </cell>
          <cell r="H1404">
            <v>866010</v>
          </cell>
          <cell r="I1404">
            <v>0.15</v>
          </cell>
          <cell r="J1404">
            <v>1018836</v>
          </cell>
          <cell r="K1404">
            <v>0.14</v>
          </cell>
          <cell r="L1404">
            <v>1006988</v>
          </cell>
        </row>
        <row r="1405">
          <cell r="C1405">
            <v>8010040430</v>
          </cell>
          <cell r="D1405" t="str">
            <v>电熔异径三通(PE配件)1.6MPa黑色 dn315×160</v>
          </cell>
          <cell r="E1405" t="str">
            <v>HDPE Electro-fusion Reducing Tee (1.6MPa) dn315x160 Black</v>
          </cell>
        </row>
        <row r="1405">
          <cell r="G1405">
            <v>900745</v>
          </cell>
          <cell r="H1405">
            <v>900745</v>
          </cell>
          <cell r="I1405">
            <v>0.15</v>
          </cell>
          <cell r="J1405">
            <v>1059700</v>
          </cell>
          <cell r="K1405">
            <v>0.14</v>
          </cell>
          <cell r="L1405">
            <v>1047378</v>
          </cell>
        </row>
        <row r="1406">
          <cell r="C1406">
            <v>8010040431</v>
          </cell>
          <cell r="D1406" t="str">
            <v>电熔异径三通(PE配件)1.6MPa黑色 dn315×200</v>
          </cell>
          <cell r="E1406" t="str">
            <v>HDPE Electro-fusion Reducing Tee (1.6MPa) dn315x200 Black</v>
          </cell>
        </row>
        <row r="1406">
          <cell r="G1406">
            <v>1030231</v>
          </cell>
          <cell r="H1406">
            <v>1030231</v>
          </cell>
          <cell r="I1406">
            <v>0.15</v>
          </cell>
          <cell r="J1406">
            <v>1212037</v>
          </cell>
          <cell r="K1406">
            <v>0.14</v>
          </cell>
          <cell r="L1406">
            <v>1197943</v>
          </cell>
        </row>
        <row r="1407">
          <cell r="C1407">
            <v>8010040432</v>
          </cell>
          <cell r="D1407" t="str">
            <v>电熔异径三通(PE配件)1.6MPa黑色 dn315×250</v>
          </cell>
          <cell r="E1407" t="str">
            <v>HDPE Electro-fusion Reducing Tee (1.6MPa) dn315x250 Black</v>
          </cell>
        </row>
        <row r="1407">
          <cell r="G1407">
            <v>1062620</v>
          </cell>
          <cell r="H1407">
            <v>1062620</v>
          </cell>
          <cell r="I1407">
            <v>0.15</v>
          </cell>
          <cell r="J1407">
            <v>1250142</v>
          </cell>
          <cell r="K1407">
            <v>0.14</v>
          </cell>
          <cell r="L1407">
            <v>1235605</v>
          </cell>
        </row>
        <row r="1408">
          <cell r="C1408">
            <v>8010040433</v>
          </cell>
          <cell r="D1408" t="str">
            <v>电熔异径三通(PE配件)1.6MPa黑色 dn315×90</v>
          </cell>
          <cell r="E1408" t="str">
            <v>HDPE Electro-fusion Reducing Tee (1.6MPa) dn315x90 Black</v>
          </cell>
        </row>
        <row r="1408">
          <cell r="G1408">
            <v>864419</v>
          </cell>
          <cell r="H1408">
            <v>864419</v>
          </cell>
          <cell r="I1408">
            <v>0.15</v>
          </cell>
          <cell r="J1408">
            <v>1016964</v>
          </cell>
          <cell r="K1408">
            <v>0.14</v>
          </cell>
          <cell r="L1408">
            <v>1005138</v>
          </cell>
        </row>
        <row r="1409">
          <cell r="C1409">
            <v>8010040434</v>
          </cell>
          <cell r="D1409" t="str">
            <v>电熔异径三通(PE配件)1.6MPa黑色 dn32×20</v>
          </cell>
          <cell r="E1409" t="str">
            <v>HDPE Electro-fusion Reducing Tee (1.6MPa) dn32x20 Black</v>
          </cell>
        </row>
        <row r="1409">
          <cell r="G1409">
            <v>11841</v>
          </cell>
          <cell r="H1409">
            <v>11841</v>
          </cell>
          <cell r="I1409">
            <v>0.15</v>
          </cell>
          <cell r="J1409">
            <v>13931</v>
          </cell>
          <cell r="K1409">
            <v>0.14</v>
          </cell>
          <cell r="L1409">
            <v>13769</v>
          </cell>
        </row>
        <row r="1410">
          <cell r="C1410">
            <v>8010040435</v>
          </cell>
          <cell r="D1410" t="str">
            <v>电熔异径三通(PE配件)1.6MPa黑色 dn32×25</v>
          </cell>
          <cell r="E1410" t="str">
            <v>HDPE Electro-fusion Reducing Tee (1.6MPa) dn32x25 Black</v>
          </cell>
        </row>
        <row r="1410">
          <cell r="G1410">
            <v>12082</v>
          </cell>
          <cell r="H1410">
            <v>12082</v>
          </cell>
          <cell r="I1410">
            <v>0.15</v>
          </cell>
          <cell r="J1410">
            <v>14215</v>
          </cell>
          <cell r="K1410">
            <v>0.14</v>
          </cell>
          <cell r="L1410">
            <v>14049</v>
          </cell>
        </row>
        <row r="1411">
          <cell r="C1411">
            <v>8010040436</v>
          </cell>
          <cell r="D1411" t="str">
            <v>电熔异径三通(PE配件)1.6MPa黑色 dn400×110</v>
          </cell>
          <cell r="E1411" t="str">
            <v>HDPE Electro-fusion Reducing Tee (1.6MPa) dn400x110 Black</v>
          </cell>
        </row>
        <row r="1411">
          <cell r="G1411">
            <v>1381145</v>
          </cell>
          <cell r="H1411">
            <v>1381145</v>
          </cell>
          <cell r="I1411">
            <v>0.15</v>
          </cell>
          <cell r="J1411">
            <v>1624877</v>
          </cell>
          <cell r="K1411">
            <v>0.14</v>
          </cell>
          <cell r="L1411">
            <v>1605983</v>
          </cell>
        </row>
        <row r="1412">
          <cell r="C1412">
            <v>8010040437</v>
          </cell>
          <cell r="D1412" t="str">
            <v>电熔异径三通(PE配件)1.6MPa黑色 dn400×160</v>
          </cell>
          <cell r="E1412" t="str">
            <v>HDPE Electro-fusion Reducing Tee (1.6MPa) dn400x160 Black</v>
          </cell>
        </row>
        <row r="1412">
          <cell r="G1412">
            <v>1619568</v>
          </cell>
          <cell r="H1412">
            <v>1619568</v>
          </cell>
          <cell r="I1412">
            <v>0.15</v>
          </cell>
          <cell r="J1412">
            <v>1905375</v>
          </cell>
          <cell r="K1412">
            <v>0.14</v>
          </cell>
          <cell r="L1412">
            <v>1883219</v>
          </cell>
        </row>
        <row r="1413">
          <cell r="C1413">
            <v>8010040438</v>
          </cell>
          <cell r="D1413" t="str">
            <v>电熔异径三通(PE配件)1.6MPa黑色 dn400×200</v>
          </cell>
          <cell r="E1413" t="str">
            <v>HDPE Electro-fusion Reducing Tee (1.6MPa) dn400x200 Black</v>
          </cell>
        </row>
        <row r="1413">
          <cell r="G1413">
            <v>1657003</v>
          </cell>
          <cell r="H1413">
            <v>1657003</v>
          </cell>
          <cell r="I1413">
            <v>0.15</v>
          </cell>
          <cell r="J1413">
            <v>1949416</v>
          </cell>
          <cell r="K1413">
            <v>0.14</v>
          </cell>
          <cell r="L1413">
            <v>1926748</v>
          </cell>
        </row>
        <row r="1414">
          <cell r="C1414">
            <v>8010040439</v>
          </cell>
          <cell r="D1414" t="str">
            <v>电熔异径三通(PE配件)1.6MPa黑色 dn400×250</v>
          </cell>
          <cell r="E1414" t="str">
            <v>HDPE Electro-fusion Reducing Tee (1.6MPa) dn400x250 Black</v>
          </cell>
        </row>
        <row r="1414">
          <cell r="G1414">
            <v>2023240</v>
          </cell>
          <cell r="H1414">
            <v>2023240</v>
          </cell>
          <cell r="I1414">
            <v>0.15</v>
          </cell>
          <cell r="J1414">
            <v>2380283</v>
          </cell>
          <cell r="K1414">
            <v>0.14</v>
          </cell>
          <cell r="L1414">
            <v>2352605</v>
          </cell>
        </row>
        <row r="1415">
          <cell r="C1415">
            <v>8010040440</v>
          </cell>
          <cell r="D1415" t="str">
            <v>电熔异径三通(PE配件)1.6MPa黑色 dn400×315</v>
          </cell>
          <cell r="E1415" t="str">
            <v>HDPE Electro-fusion Reducing Tee (1.6MPa) dn400x315 Black</v>
          </cell>
        </row>
        <row r="1415">
          <cell r="G1415">
            <v>2158626</v>
          </cell>
          <cell r="H1415">
            <v>2158626</v>
          </cell>
          <cell r="I1415">
            <v>0.15</v>
          </cell>
          <cell r="J1415">
            <v>2539560</v>
          </cell>
          <cell r="K1415">
            <v>0.14</v>
          </cell>
          <cell r="L1415">
            <v>2510030</v>
          </cell>
        </row>
        <row r="1416">
          <cell r="C1416">
            <v>8010040441</v>
          </cell>
          <cell r="D1416" t="str">
            <v>电熔异径三通(PE配件)1.6MPa黑色 dn40×20</v>
          </cell>
          <cell r="E1416" t="str">
            <v>HDPE Electro-fusion Reducing Tee (1.6MPa) dn40x20 Black</v>
          </cell>
        </row>
        <row r="1416">
          <cell r="G1416">
            <v>17641</v>
          </cell>
          <cell r="H1416">
            <v>17641</v>
          </cell>
          <cell r="I1416">
            <v>0.15</v>
          </cell>
          <cell r="J1416">
            <v>20755</v>
          </cell>
          <cell r="K1416">
            <v>0.14</v>
          </cell>
          <cell r="L1416">
            <v>20513</v>
          </cell>
        </row>
        <row r="1417">
          <cell r="C1417">
            <v>8010040442</v>
          </cell>
          <cell r="D1417" t="str">
            <v>电熔异径三通(PE配件)1.6MPa黑色 dn40×25</v>
          </cell>
          <cell r="E1417" t="str">
            <v>HDPE Electro-fusion Reducing Tee (1.6MPa) dn40x25 Black</v>
          </cell>
        </row>
        <row r="1417">
          <cell r="G1417">
            <v>17688</v>
          </cell>
          <cell r="H1417">
            <v>17688</v>
          </cell>
          <cell r="I1417">
            <v>0.15</v>
          </cell>
          <cell r="J1417">
            <v>20810</v>
          </cell>
          <cell r="K1417">
            <v>0.14</v>
          </cell>
          <cell r="L1417">
            <v>20567</v>
          </cell>
        </row>
        <row r="1418">
          <cell r="C1418">
            <v>8010040443</v>
          </cell>
          <cell r="D1418" t="str">
            <v>电熔异径三通(PE配件)1.6MPa黑色 dn40×32</v>
          </cell>
          <cell r="E1418" t="str">
            <v>HDPE Electro-fusion Reducing Tee (1.6MPa) dn40x32 Black</v>
          </cell>
        </row>
        <row r="1418">
          <cell r="G1418">
            <v>18457</v>
          </cell>
          <cell r="H1418">
            <v>18457</v>
          </cell>
          <cell r="I1418">
            <v>0.15</v>
          </cell>
          <cell r="J1418">
            <v>21715</v>
          </cell>
          <cell r="K1418">
            <v>0.14</v>
          </cell>
          <cell r="L1418">
            <v>21462</v>
          </cell>
        </row>
        <row r="1419">
          <cell r="C1419">
            <v>8010040444</v>
          </cell>
          <cell r="D1419" t="str">
            <v>电熔异径三通(PE配件)1.6MPa黑色 dn50×20</v>
          </cell>
          <cell r="E1419" t="str">
            <v>HDPE Electro-fusion Reducing Tee (1.6MPa) dn50x20 Black</v>
          </cell>
        </row>
        <row r="1419">
          <cell r="G1419">
            <v>24524</v>
          </cell>
          <cell r="H1419">
            <v>24524</v>
          </cell>
          <cell r="I1419">
            <v>0.15</v>
          </cell>
          <cell r="J1419">
            <v>28852</v>
          </cell>
          <cell r="K1419">
            <v>0.14</v>
          </cell>
          <cell r="L1419">
            <v>28516</v>
          </cell>
        </row>
        <row r="1420">
          <cell r="C1420">
            <v>8010040445</v>
          </cell>
          <cell r="D1420" t="str">
            <v>电熔异径三通(PE配件)1.6MPa黑色 dn50×25</v>
          </cell>
          <cell r="E1420" t="str">
            <v>HDPE Electro-fusion Reducing Tee (1.6MPa) dn50x25 Black</v>
          </cell>
        </row>
        <row r="1420">
          <cell r="G1420">
            <v>24745</v>
          </cell>
          <cell r="H1420">
            <v>24745</v>
          </cell>
          <cell r="I1420">
            <v>0.15</v>
          </cell>
          <cell r="J1420">
            <v>29112</v>
          </cell>
          <cell r="K1420">
            <v>0.14</v>
          </cell>
          <cell r="L1420">
            <v>28773</v>
          </cell>
        </row>
        <row r="1421">
          <cell r="C1421">
            <v>8010040446</v>
          </cell>
          <cell r="D1421" t="str">
            <v>电熔异径三通(PE配件)1.6MPa黑色 dn50×32</v>
          </cell>
          <cell r="E1421" t="str">
            <v>HDPE Electro-fusion Reducing Tee (1.6MPa) dn50x32 Black</v>
          </cell>
        </row>
        <row r="1421">
          <cell r="G1421">
            <v>25567</v>
          </cell>
          <cell r="H1421">
            <v>25567</v>
          </cell>
          <cell r="I1421">
            <v>0.15</v>
          </cell>
          <cell r="J1421">
            <v>30079</v>
          </cell>
          <cell r="K1421">
            <v>0.14</v>
          </cell>
          <cell r="L1421">
            <v>29729</v>
          </cell>
        </row>
        <row r="1422">
          <cell r="C1422">
            <v>8010040447</v>
          </cell>
          <cell r="D1422" t="str">
            <v>电熔异径三通(PE配件)1.6MPa黑色 dn50×40</v>
          </cell>
          <cell r="E1422" t="str">
            <v>HDPE Electro-fusion Reducing Tee (1.6MPa) dn50x40 Black</v>
          </cell>
        </row>
        <row r="1422">
          <cell r="G1422">
            <v>26777</v>
          </cell>
          <cell r="H1422">
            <v>26777</v>
          </cell>
          <cell r="I1422">
            <v>0.15</v>
          </cell>
          <cell r="J1422">
            <v>31503</v>
          </cell>
          <cell r="K1422">
            <v>0.14</v>
          </cell>
          <cell r="L1422">
            <v>31136</v>
          </cell>
        </row>
        <row r="1423">
          <cell r="C1423">
            <v>8010040448</v>
          </cell>
          <cell r="D1423" t="str">
            <v>电熔异径三通(PE配件)1.6MPa黑色 dn63×20</v>
          </cell>
          <cell r="E1423" t="str">
            <v>HDPE Electro-fusion Reducing Tee (1.6MPa) dn63x20 Black</v>
          </cell>
        </row>
        <row r="1423">
          <cell r="G1423">
            <v>20515</v>
          </cell>
          <cell r="H1423">
            <v>20515</v>
          </cell>
          <cell r="I1423">
            <v>0.15</v>
          </cell>
          <cell r="J1423">
            <v>24136</v>
          </cell>
          <cell r="K1423">
            <v>0.14</v>
          </cell>
          <cell r="L1423">
            <v>23855</v>
          </cell>
        </row>
        <row r="1424">
          <cell r="C1424">
            <v>8010040449</v>
          </cell>
          <cell r="D1424" t="str">
            <v>电熔异径三通(PE配件)1.6MPa黑色 dn63×25</v>
          </cell>
          <cell r="E1424" t="str">
            <v>HDPE Electro-fusion Reducing Tee (1.6MPa) dn63x25 Black</v>
          </cell>
        </row>
        <row r="1424">
          <cell r="G1424">
            <v>21724</v>
          </cell>
          <cell r="H1424">
            <v>21724</v>
          </cell>
          <cell r="I1424">
            <v>0.15</v>
          </cell>
          <cell r="J1424">
            <v>25558</v>
          </cell>
          <cell r="K1424">
            <v>0.14</v>
          </cell>
          <cell r="L1424">
            <v>25260</v>
          </cell>
        </row>
        <row r="1425">
          <cell r="C1425">
            <v>8010045632</v>
          </cell>
          <cell r="D1425" t="str">
            <v>电熔旁通鞍型(PE配件)1.6MPa黑色 dn200×63</v>
          </cell>
          <cell r="E1425" t="str">
            <v>HDPE Electro-fusion Saddle Branch (1.6MPa) dn200x63 Black</v>
          </cell>
        </row>
        <row r="1425">
          <cell r="G1425">
            <v>239826</v>
          </cell>
          <cell r="H1425">
            <v>239826</v>
          </cell>
          <cell r="I1425">
            <v>0.15</v>
          </cell>
          <cell r="J1425">
            <v>282149</v>
          </cell>
          <cell r="K1425">
            <v>0.14</v>
          </cell>
          <cell r="L1425">
            <v>278867</v>
          </cell>
        </row>
        <row r="1426">
          <cell r="C1426">
            <v>8010043995</v>
          </cell>
          <cell r="D1426" t="str">
            <v>电熔旁通鞍型(PE配件)1.6MPa黑色 dn160×32</v>
          </cell>
          <cell r="E1426" t="str">
            <v>HDPE Electro-fusion Saddle Branch (1.6MPa) dn160x32 Black</v>
          </cell>
        </row>
        <row r="1426">
          <cell r="G1426">
            <v>163539</v>
          </cell>
          <cell r="H1426">
            <v>163539</v>
          </cell>
          <cell r="I1426">
            <v>0.15</v>
          </cell>
          <cell r="J1426">
            <v>192399</v>
          </cell>
          <cell r="K1426">
            <v>0.14</v>
          </cell>
          <cell r="L1426">
            <v>190162</v>
          </cell>
        </row>
        <row r="1427">
          <cell r="C1427">
            <v>8010041512</v>
          </cell>
          <cell r="D1427" t="str">
            <v>电熔旁通鞍型(PE配件)1.6MPa黑色 dn110×40</v>
          </cell>
          <cell r="E1427" t="str">
            <v>HDPE Electro-fusion Saddle Branch (1.6MPa) dn110x40 Black</v>
          </cell>
        </row>
        <row r="1427">
          <cell r="G1427">
            <v>163112</v>
          </cell>
          <cell r="H1427">
            <v>163112</v>
          </cell>
          <cell r="I1427">
            <v>0.15</v>
          </cell>
          <cell r="J1427">
            <v>191897</v>
          </cell>
          <cell r="K1427">
            <v>0.14</v>
          </cell>
          <cell r="L1427">
            <v>189665</v>
          </cell>
        </row>
        <row r="1428">
          <cell r="C1428">
            <v>8010041360</v>
          </cell>
          <cell r="D1428" t="str">
            <v>电熔旁通鞍型(PE配件)1.6MPa黑色 dn110×63</v>
          </cell>
          <cell r="E1428" t="str">
            <v>HDPE Electro-fusion Saddle Branch (1.6MPa) dn110x63 Black</v>
          </cell>
        </row>
        <row r="1428">
          <cell r="G1428">
            <v>182470</v>
          </cell>
          <cell r="H1428">
            <v>182470</v>
          </cell>
          <cell r="I1428">
            <v>0.15</v>
          </cell>
          <cell r="J1428">
            <v>214671</v>
          </cell>
          <cell r="K1428">
            <v>0.14</v>
          </cell>
          <cell r="L1428">
            <v>212174</v>
          </cell>
        </row>
        <row r="1429">
          <cell r="C1429">
            <v>8010041361</v>
          </cell>
          <cell r="D1429" t="str">
            <v>电熔旁通鞍型(PE配件)1.6MPa黑色 dn160×63</v>
          </cell>
          <cell r="E1429" t="str">
            <v>HDPE Electro-fusion Saddle Branch (1.6MPa) dn160x63 Black</v>
          </cell>
        </row>
        <row r="1429">
          <cell r="G1429">
            <v>207356</v>
          </cell>
          <cell r="H1429">
            <v>207356</v>
          </cell>
          <cell r="I1429">
            <v>0.15</v>
          </cell>
          <cell r="J1429">
            <v>243949</v>
          </cell>
          <cell r="K1429">
            <v>0.14</v>
          </cell>
          <cell r="L1429">
            <v>241112</v>
          </cell>
        </row>
        <row r="1430">
          <cell r="C1430">
            <v>8010041364</v>
          </cell>
          <cell r="D1430" t="str">
            <v>电熔旁通鞍型(PE配件)1.6MPa黑色 dn63×32</v>
          </cell>
          <cell r="E1430" t="str">
            <v>HDPE Electro-fusion Saddle Branch (1.6MPa) dn63x32 Black</v>
          </cell>
        </row>
        <row r="1430">
          <cell r="G1430">
            <v>104252</v>
          </cell>
          <cell r="H1430">
            <v>104252</v>
          </cell>
          <cell r="I1430">
            <v>0.15</v>
          </cell>
          <cell r="J1430">
            <v>122650</v>
          </cell>
          <cell r="K1430">
            <v>0.14</v>
          </cell>
          <cell r="L1430">
            <v>121223</v>
          </cell>
        </row>
        <row r="1431">
          <cell r="C1431">
            <v>8010041365</v>
          </cell>
          <cell r="D1431" t="str">
            <v>电熔旁通鞍型(PE配件)1.6MPa黑色 dn90×63</v>
          </cell>
          <cell r="E1431" t="str">
            <v>HDPE Electro-fusion Saddle Branch (1.6MPa) dn90x63 Black</v>
          </cell>
        </row>
        <row r="1431">
          <cell r="G1431">
            <v>160512</v>
          </cell>
          <cell r="H1431">
            <v>160512</v>
          </cell>
          <cell r="I1431">
            <v>0.15</v>
          </cell>
          <cell r="J1431">
            <v>188838</v>
          </cell>
          <cell r="K1431">
            <v>0.14</v>
          </cell>
          <cell r="L1431">
            <v>186642</v>
          </cell>
        </row>
        <row r="1432">
          <cell r="C1432">
            <v>8010042724</v>
          </cell>
          <cell r="D1432" t="str">
            <v>电熔旁通鞍型(PE配件)1.6MPa黑色 dn200×32</v>
          </cell>
          <cell r="E1432" t="str">
            <v>HDPE Electro-fusion Saddle Branch (1.6MPa) dn200x32 Black</v>
          </cell>
        </row>
        <row r="1432">
          <cell r="G1432">
            <v>189728</v>
          </cell>
          <cell r="H1432">
            <v>189728</v>
          </cell>
          <cell r="I1432">
            <v>0.15</v>
          </cell>
          <cell r="J1432">
            <v>223210</v>
          </cell>
          <cell r="K1432">
            <v>0.14</v>
          </cell>
          <cell r="L1432">
            <v>220614</v>
          </cell>
        </row>
        <row r="1433">
          <cell r="C1433">
            <v>8010042710</v>
          </cell>
          <cell r="D1433" t="str">
            <v>电熔旁通鞍型(PE配件)1.6MPa黑色 dn63×25</v>
          </cell>
          <cell r="E1433" t="str">
            <v>HDPE Electro-fusion Saddle Branch (1.6MPa) dn63x25 Black</v>
          </cell>
        </row>
        <row r="1433">
          <cell r="G1433">
            <v>103765</v>
          </cell>
          <cell r="H1433">
            <v>103765</v>
          </cell>
          <cell r="I1433">
            <v>0.15</v>
          </cell>
          <cell r="J1433">
            <v>122077</v>
          </cell>
          <cell r="K1433">
            <v>0.14</v>
          </cell>
          <cell r="L1433">
            <v>120657</v>
          </cell>
        </row>
        <row r="1434">
          <cell r="C1434">
            <v>8010042712</v>
          </cell>
          <cell r="D1434" t="str">
            <v>电熔旁通鞍型(PE配件)1.6MPa黑色 dn75×32</v>
          </cell>
          <cell r="E1434" t="str">
            <v>HDPE Electro-fusion Saddle Branch (1.6MPa) dn75x32 Black</v>
          </cell>
        </row>
        <row r="1434">
          <cell r="G1434">
            <v>109879</v>
          </cell>
          <cell r="H1434">
            <v>109879</v>
          </cell>
          <cell r="I1434">
            <v>0.15</v>
          </cell>
          <cell r="J1434">
            <v>129270</v>
          </cell>
          <cell r="K1434">
            <v>0.14</v>
          </cell>
          <cell r="L1434">
            <v>127766</v>
          </cell>
        </row>
        <row r="1435">
          <cell r="C1435">
            <v>8010042713</v>
          </cell>
          <cell r="D1435" t="str">
            <v>电熔旁通鞍型(PE配件)1.6MPa黑色 dn90×32</v>
          </cell>
          <cell r="E1435" t="str">
            <v>HDPE Electro-fusion Saddle Branch (1.6MPa) dn90x32 Black</v>
          </cell>
        </row>
        <row r="1435">
          <cell r="G1435">
            <v>118633</v>
          </cell>
          <cell r="H1435">
            <v>118633</v>
          </cell>
          <cell r="I1435">
            <v>0.15</v>
          </cell>
          <cell r="J1435">
            <v>139569</v>
          </cell>
          <cell r="K1435">
            <v>0.14</v>
          </cell>
          <cell r="L1435">
            <v>137945</v>
          </cell>
        </row>
        <row r="1436">
          <cell r="C1436">
            <v>8010042715</v>
          </cell>
          <cell r="D1436" t="str">
            <v>电熔旁通鞍型(PE配件)1.6MPa黑色 dn110×32</v>
          </cell>
          <cell r="E1436" t="str">
            <v>HDPE Electro-fusion Saddle Branch (1.6MPa) dn110x32 Black</v>
          </cell>
        </row>
        <row r="1436">
          <cell r="G1436">
            <v>129132</v>
          </cell>
          <cell r="H1436">
            <v>129132</v>
          </cell>
          <cell r="I1436">
            <v>0.15</v>
          </cell>
          <cell r="J1436">
            <v>151920</v>
          </cell>
          <cell r="K1436">
            <v>0.14</v>
          </cell>
          <cell r="L1436">
            <v>150153</v>
          </cell>
        </row>
        <row r="1437">
          <cell r="C1437">
            <v>8010042718</v>
          </cell>
          <cell r="D1437" t="str">
            <v>电熔旁通鞍型(PE配件)1.6MPa黑色 dn125×32</v>
          </cell>
          <cell r="E1437" t="str">
            <v>HDPE Electro-fusion Saddle Branch (1.6MPa) dn125x32 Black</v>
          </cell>
        </row>
        <row r="1437">
          <cell r="G1437">
            <v>143652</v>
          </cell>
          <cell r="H1437">
            <v>143652</v>
          </cell>
          <cell r="I1437">
            <v>0.15</v>
          </cell>
          <cell r="J1437">
            <v>169003</v>
          </cell>
          <cell r="K1437">
            <v>0.14</v>
          </cell>
          <cell r="L1437">
            <v>167037</v>
          </cell>
        </row>
        <row r="1438">
          <cell r="C1438">
            <v>8010042719</v>
          </cell>
          <cell r="D1438" t="str">
            <v>电熔旁通鞍型(PE配件)1.6MPa黑色 dn125×63</v>
          </cell>
          <cell r="E1438" t="str">
            <v>HDPE Electro-fusion Saddle Branch (1.6MPa) dn125x63 Black</v>
          </cell>
        </row>
        <row r="1438">
          <cell r="G1438">
            <v>186741</v>
          </cell>
          <cell r="H1438">
            <v>186741</v>
          </cell>
          <cell r="I1438">
            <v>0.15</v>
          </cell>
          <cell r="J1438">
            <v>219696</v>
          </cell>
          <cell r="K1438">
            <v>0.14</v>
          </cell>
          <cell r="L1438">
            <v>217141</v>
          </cell>
        </row>
        <row r="1439">
          <cell r="C1439">
            <v>8010042722</v>
          </cell>
          <cell r="D1439" t="str">
            <v>电熔旁通鞍型(PE配件)1.6MPa黑色 dn180×32</v>
          </cell>
          <cell r="E1439" t="str">
            <v>HDPE Electro-fusion Saddle Branch (1.6MPa) dn180x32 Black</v>
          </cell>
        </row>
        <row r="1439">
          <cell r="G1439">
            <v>169119</v>
          </cell>
          <cell r="H1439">
            <v>169119</v>
          </cell>
          <cell r="I1439">
            <v>0.15</v>
          </cell>
          <cell r="J1439">
            <v>198964</v>
          </cell>
          <cell r="K1439">
            <v>0.14</v>
          </cell>
          <cell r="L1439">
            <v>196650</v>
          </cell>
        </row>
        <row r="1440">
          <cell r="C1440">
            <v>8010042723</v>
          </cell>
          <cell r="D1440" t="str">
            <v>电熔旁通鞍型(PE配件)1.6MPa黑色 dn180×63</v>
          </cell>
          <cell r="E1440" t="str">
            <v>HDPE Electro-fusion Saddle Branch (1.6MPa) dn180x63 Black</v>
          </cell>
        </row>
        <row r="1440">
          <cell r="G1440">
            <v>219284</v>
          </cell>
          <cell r="H1440">
            <v>219284</v>
          </cell>
          <cell r="I1440">
            <v>0.15</v>
          </cell>
          <cell r="J1440">
            <v>257982</v>
          </cell>
          <cell r="K1440">
            <v>0.14</v>
          </cell>
          <cell r="L1440">
            <v>254981</v>
          </cell>
        </row>
        <row r="1441">
          <cell r="C1441">
            <v>8010041366</v>
          </cell>
          <cell r="D1441" t="str">
            <v>电熔直通鞍型(PE配件)1.6MPa黑色 dn110×63</v>
          </cell>
          <cell r="E1441" t="str">
            <v>HDPE Electro-fusion Straight Saddle (1.6MPa) dn110x63 Black</v>
          </cell>
        </row>
        <row r="1441">
          <cell r="G1441">
            <v>72671</v>
          </cell>
          <cell r="H1441">
            <v>72671</v>
          </cell>
          <cell r="I1441">
            <v>0.15</v>
          </cell>
          <cell r="J1441">
            <v>85496</v>
          </cell>
          <cell r="K1441">
            <v>0.14</v>
          </cell>
          <cell r="L1441">
            <v>84501</v>
          </cell>
        </row>
        <row r="1442">
          <cell r="C1442">
            <v>8010041367</v>
          </cell>
          <cell r="D1442" t="str">
            <v>电熔直通鞍型(PE配件)1.6MPa黑色 dn125×63</v>
          </cell>
          <cell r="E1442" t="str">
            <v>HDPE Electro-fusion Straight Saddle (1.6MPa) dn125x63 Black</v>
          </cell>
        </row>
        <row r="1442">
          <cell r="G1442">
            <v>77295</v>
          </cell>
          <cell r="H1442">
            <v>77295</v>
          </cell>
          <cell r="I1442">
            <v>0.15</v>
          </cell>
          <cell r="J1442">
            <v>90936</v>
          </cell>
          <cell r="K1442">
            <v>0.14</v>
          </cell>
          <cell r="L1442">
            <v>89878</v>
          </cell>
        </row>
        <row r="1443">
          <cell r="C1443">
            <v>8010041368</v>
          </cell>
          <cell r="D1443" t="str">
            <v>电熔直通鞍型(PE配件)1.6MPa黑色 dn160×63</v>
          </cell>
          <cell r="E1443" t="str">
            <v>HDPE Electro-fusion Straight Saddle (1.6MPa) dn160x63 Black</v>
          </cell>
        </row>
        <row r="1443">
          <cell r="G1443">
            <v>85702</v>
          </cell>
          <cell r="H1443">
            <v>85702</v>
          </cell>
          <cell r="I1443">
            <v>0.15</v>
          </cell>
          <cell r="J1443">
            <v>100826</v>
          </cell>
          <cell r="K1443">
            <v>0.14</v>
          </cell>
          <cell r="L1443">
            <v>99653</v>
          </cell>
        </row>
        <row r="1444">
          <cell r="C1444">
            <v>8010041369</v>
          </cell>
          <cell r="D1444" t="str">
            <v>电熔直通鞍型(PE配件)1.6MPa黑色 dn200×63</v>
          </cell>
          <cell r="E1444" t="str">
            <v>HDPE Electro-fusion Straight Saddle (1.6MPa) dn200x63 Black</v>
          </cell>
        </row>
        <row r="1444">
          <cell r="G1444">
            <v>114684</v>
          </cell>
          <cell r="H1444">
            <v>114684</v>
          </cell>
          <cell r="I1444">
            <v>0.15</v>
          </cell>
          <cell r="J1444">
            <v>134923</v>
          </cell>
          <cell r="K1444">
            <v>0.14</v>
          </cell>
          <cell r="L1444">
            <v>133353</v>
          </cell>
        </row>
        <row r="1445">
          <cell r="C1445">
            <v>8010041374</v>
          </cell>
          <cell r="D1445" t="str">
            <v>电熔直通鞍型(PE配件)1.6MPa黑色 dn90×63</v>
          </cell>
          <cell r="E1445" t="str">
            <v>HDPE Electro-fusion Straight Saddle (1.6MPa) dn90x63 Black</v>
          </cell>
        </row>
        <row r="1445">
          <cell r="G1445">
            <v>70279</v>
          </cell>
          <cell r="H1445">
            <v>70279</v>
          </cell>
          <cell r="I1445">
            <v>0.15</v>
          </cell>
          <cell r="J1445">
            <v>82682</v>
          </cell>
          <cell r="K1445">
            <v>0.14</v>
          </cell>
          <cell r="L1445">
            <v>81720</v>
          </cell>
        </row>
        <row r="1446">
          <cell r="C1446">
            <v>8010042696</v>
          </cell>
          <cell r="D1446" t="str">
            <v>电熔直通鞍型(PE配件)1.6MPa黑色 dn75×63</v>
          </cell>
          <cell r="E1446" t="str">
            <v>HDPE Electro-fusion Straight Saddle (1.6MPa) dn75x63 Black</v>
          </cell>
        </row>
        <row r="1446">
          <cell r="G1446">
            <v>68375</v>
          </cell>
          <cell r="H1446">
            <v>68375</v>
          </cell>
          <cell r="I1446">
            <v>0.15</v>
          </cell>
          <cell r="J1446">
            <v>80442</v>
          </cell>
          <cell r="K1446">
            <v>0.14</v>
          </cell>
          <cell r="L1446">
            <v>79506</v>
          </cell>
        </row>
        <row r="1447">
          <cell r="C1447">
            <v>8010042701</v>
          </cell>
          <cell r="D1447" t="str">
            <v>电熔直通鞍型(PE配件)1.6MPa黑色 dn180×63</v>
          </cell>
          <cell r="E1447" t="str">
            <v>HDPE Electro-fusion Straight Saddle (1.6MPa) dn180x63 Black</v>
          </cell>
        </row>
        <row r="1447">
          <cell r="G1447">
            <v>104807</v>
          </cell>
          <cell r="H1447">
            <v>104807</v>
          </cell>
          <cell r="I1447">
            <v>0.15</v>
          </cell>
          <cell r="J1447">
            <v>123303</v>
          </cell>
          <cell r="K1447">
            <v>0.14</v>
          </cell>
          <cell r="L1447">
            <v>121869</v>
          </cell>
        </row>
        <row r="1448">
          <cell r="C1448">
            <v>8010041353</v>
          </cell>
          <cell r="D1448" t="str">
            <v>电熔封堵鞍型(PE配件)1.6MPa黑色 dn110</v>
          </cell>
          <cell r="E1448" t="str">
            <v>HDPE Electro-fusion Sealing Saddle (1.6MPa) dn110 Black</v>
          </cell>
        </row>
        <row r="1448">
          <cell r="G1448">
            <v>174598</v>
          </cell>
          <cell r="H1448">
            <v>174598</v>
          </cell>
          <cell r="I1448">
            <v>0.15</v>
          </cell>
          <cell r="J1448">
            <v>205410</v>
          </cell>
          <cell r="K1448">
            <v>0.14</v>
          </cell>
          <cell r="L1448">
            <v>203021</v>
          </cell>
        </row>
        <row r="1449">
          <cell r="C1449">
            <v>8010041354</v>
          </cell>
          <cell r="D1449" t="str">
            <v>电熔封堵鞍型(PE配件)1.6MPa黑色 dn125</v>
          </cell>
          <cell r="E1449" t="str">
            <v>HDPE Electro-fusion Sealing Saddle (1.6MPa) dn125 Black</v>
          </cell>
        </row>
        <row r="1449">
          <cell r="G1449">
            <v>247136</v>
          </cell>
          <cell r="H1449">
            <v>247136</v>
          </cell>
          <cell r="I1449">
            <v>0.15</v>
          </cell>
          <cell r="J1449">
            <v>290749</v>
          </cell>
          <cell r="K1449">
            <v>0.14</v>
          </cell>
          <cell r="L1449">
            <v>287367</v>
          </cell>
        </row>
        <row r="1450">
          <cell r="C1450">
            <v>8010041355</v>
          </cell>
          <cell r="D1450" t="str">
            <v>电熔封堵鞍型(PE配件)1.6MPa黑色 dn160</v>
          </cell>
          <cell r="E1450" t="str">
            <v>HDPE Electro-fusion Sealing Saddle (1.6MPa) dn160 Black</v>
          </cell>
        </row>
        <row r="1450">
          <cell r="G1450">
            <v>212053</v>
          </cell>
          <cell r="H1450">
            <v>212053</v>
          </cell>
          <cell r="I1450">
            <v>0.15</v>
          </cell>
          <cell r="J1450">
            <v>249475</v>
          </cell>
          <cell r="K1450">
            <v>0.14</v>
          </cell>
          <cell r="L1450">
            <v>246573</v>
          </cell>
        </row>
        <row r="1451">
          <cell r="C1451">
            <v>8010041356</v>
          </cell>
          <cell r="D1451" t="str">
            <v>电熔封堵鞍型(PE配件)1.6MPa黑色 dn200</v>
          </cell>
          <cell r="E1451" t="str">
            <v>HDPE Electro-fusion Sealing Saddle (1.6MPa) dn200 Black</v>
          </cell>
        </row>
        <row r="1451">
          <cell r="G1451">
            <v>242545</v>
          </cell>
          <cell r="H1451">
            <v>242545</v>
          </cell>
          <cell r="I1451">
            <v>0.15</v>
          </cell>
          <cell r="J1451">
            <v>285348</v>
          </cell>
          <cell r="K1451">
            <v>0.14</v>
          </cell>
          <cell r="L1451">
            <v>282029</v>
          </cell>
        </row>
        <row r="1452">
          <cell r="C1452">
            <v>8010041357</v>
          </cell>
          <cell r="D1452" t="str">
            <v>电熔封堵鞍型(PE配件)1.6MPa黑色 dn250</v>
          </cell>
          <cell r="E1452" t="str">
            <v>HDPE Electro-fusion Sealing Saddle (1.6MPa) dn250 Black</v>
          </cell>
        </row>
        <row r="1452">
          <cell r="G1452">
            <v>489375</v>
          </cell>
          <cell r="H1452">
            <v>489375</v>
          </cell>
          <cell r="I1452">
            <v>0.15</v>
          </cell>
          <cell r="J1452">
            <v>575736</v>
          </cell>
          <cell r="K1452">
            <v>0.14</v>
          </cell>
          <cell r="L1452">
            <v>569041</v>
          </cell>
        </row>
        <row r="1453">
          <cell r="C1453">
            <v>8010041358</v>
          </cell>
          <cell r="D1453" t="str">
            <v>电熔封堵鞍型(PE配件)1.6MPa黑色 dn315</v>
          </cell>
          <cell r="E1453" t="str">
            <v>HDPE Electro-fusion Sealing Saddle (1.6MPa) dn315 Black</v>
          </cell>
        </row>
        <row r="1453">
          <cell r="G1453">
            <v>731833</v>
          </cell>
          <cell r="H1453">
            <v>731833</v>
          </cell>
          <cell r="I1453">
            <v>0.15</v>
          </cell>
          <cell r="J1453">
            <v>860980</v>
          </cell>
          <cell r="K1453">
            <v>0.14</v>
          </cell>
          <cell r="L1453">
            <v>850969</v>
          </cell>
        </row>
        <row r="1454">
          <cell r="C1454">
            <v>8010041359</v>
          </cell>
          <cell r="D1454" t="str">
            <v>电熔封堵鞍型(PE配件)1.6MPa黑色 dn90</v>
          </cell>
          <cell r="E1454" t="str">
            <v>HDPE Electro-fusion Sealing Saddle (1.6MPa) dn90 Black</v>
          </cell>
        </row>
        <row r="1454">
          <cell r="G1454">
            <v>162176</v>
          </cell>
          <cell r="H1454">
            <v>162176</v>
          </cell>
          <cell r="I1454">
            <v>0.15</v>
          </cell>
          <cell r="J1454">
            <v>190796</v>
          </cell>
          <cell r="K1454">
            <v>0.14</v>
          </cell>
          <cell r="L1454">
            <v>188577</v>
          </cell>
        </row>
        <row r="1455">
          <cell r="C1455">
            <v>8010043578</v>
          </cell>
          <cell r="D1455" t="str">
            <v>45°对接弯头(PE配件)SDR11(1.6MPa)黑色 dn63</v>
          </cell>
          <cell r="E1455" t="str">
            <v>HDPE Butt-Fusion 45° Elbow (1.6MPa) SDR11 dn63 Black</v>
          </cell>
        </row>
        <row r="1455">
          <cell r="G1455">
            <v>22847</v>
          </cell>
          <cell r="H1455">
            <v>22847</v>
          </cell>
          <cell r="I1455">
            <v>0.15</v>
          </cell>
          <cell r="J1455">
            <v>26879</v>
          </cell>
          <cell r="K1455">
            <v>0.14</v>
          </cell>
          <cell r="L1455">
            <v>26566</v>
          </cell>
        </row>
        <row r="1456">
          <cell r="C1456">
            <v>8010040732</v>
          </cell>
          <cell r="D1456" t="str">
            <v>45°对接弯头(PE配件)SDR11(1.6MPa)黑色 dn75</v>
          </cell>
          <cell r="E1456" t="str">
            <v>HDPE Butt-Fusion 45° Elbow (1.6MPa) SDR11 dn75 Black</v>
          </cell>
        </row>
        <row r="1456">
          <cell r="G1456">
            <v>34067</v>
          </cell>
          <cell r="H1456">
            <v>34067</v>
          </cell>
          <cell r="I1456">
            <v>0.15</v>
          </cell>
          <cell r="J1456">
            <v>40079</v>
          </cell>
          <cell r="K1456">
            <v>0.14</v>
          </cell>
          <cell r="L1456">
            <v>39613</v>
          </cell>
        </row>
        <row r="1457">
          <cell r="C1457">
            <v>8010040733</v>
          </cell>
          <cell r="D1457" t="str">
            <v>45°对接弯头(PE配件)SDR11(1.6MPa)黑色 dn90</v>
          </cell>
          <cell r="E1457" t="str">
            <v>HDPE Butt-Fusion 45° Elbow (1.6MPa) SDR11 dn90 Black</v>
          </cell>
        </row>
        <row r="1457">
          <cell r="G1457">
            <v>45654</v>
          </cell>
          <cell r="H1457">
            <v>45654</v>
          </cell>
          <cell r="I1457">
            <v>0.15</v>
          </cell>
          <cell r="J1457">
            <v>53711</v>
          </cell>
          <cell r="K1457">
            <v>0.14</v>
          </cell>
          <cell r="L1457">
            <v>53086</v>
          </cell>
        </row>
        <row r="1458">
          <cell r="C1458">
            <v>8010040725</v>
          </cell>
          <cell r="D1458" t="str">
            <v>45°对接弯头(PE配件)SDR11(1.6MPa)黑色 dn110</v>
          </cell>
          <cell r="E1458" t="str">
            <v>HDPE Butt-Fusion 45° Elbow (1.6MPa) SDR11 dn110 Black</v>
          </cell>
        </row>
        <row r="1458">
          <cell r="G1458">
            <v>66838</v>
          </cell>
          <cell r="H1458">
            <v>66838</v>
          </cell>
          <cell r="I1458">
            <v>0.15</v>
          </cell>
          <cell r="J1458">
            <v>78633</v>
          </cell>
          <cell r="K1458">
            <v>0.14</v>
          </cell>
          <cell r="L1458">
            <v>77719</v>
          </cell>
        </row>
        <row r="1459">
          <cell r="C1459">
            <v>8010040726</v>
          </cell>
          <cell r="D1459" t="str">
            <v>45°对接弯头(PE配件)SDR11(1.6MPa)黑色 dn125</v>
          </cell>
          <cell r="E1459" t="str">
            <v>HDPE Butt-Fusion 45° Elbow (1.0MPa) SDR11 dn125 Black</v>
          </cell>
        </row>
        <row r="1459">
          <cell r="G1459">
            <v>82541</v>
          </cell>
          <cell r="H1459">
            <v>82541</v>
          </cell>
          <cell r="I1459">
            <v>0.15</v>
          </cell>
          <cell r="J1459">
            <v>97108</v>
          </cell>
          <cell r="K1459">
            <v>0.14</v>
          </cell>
          <cell r="L1459">
            <v>95978</v>
          </cell>
        </row>
        <row r="1460">
          <cell r="C1460">
            <v>8010040727</v>
          </cell>
          <cell r="D1460" t="str">
            <v>45°对接弯头(PE配件)SDR11(1.6MPa)黑色 dn160</v>
          </cell>
          <cell r="E1460" t="str">
            <v>HDPE Butt-Fusion 45° Elbow (1.6MPa) SDR11 dn160 Black</v>
          </cell>
        </row>
        <row r="1460">
          <cell r="G1460">
            <v>149980</v>
          </cell>
          <cell r="H1460">
            <v>149980</v>
          </cell>
          <cell r="I1460">
            <v>0.15</v>
          </cell>
          <cell r="J1460">
            <v>176448</v>
          </cell>
          <cell r="K1460">
            <v>0.14</v>
          </cell>
          <cell r="L1460">
            <v>174395</v>
          </cell>
        </row>
        <row r="1461">
          <cell r="C1461">
            <v>8010040728</v>
          </cell>
          <cell r="D1461" t="str">
            <v>45°对接弯头(PE配件)SDR11(1.6MPa)黑色 dn180</v>
          </cell>
          <cell r="E1461" t="str">
            <v>HDPE Butt-Fusion 45° Elbow (1.6MPa) SDR11 dn180 Black</v>
          </cell>
        </row>
        <row r="1461">
          <cell r="G1461">
            <v>194619</v>
          </cell>
          <cell r="H1461">
            <v>194619</v>
          </cell>
          <cell r="I1461">
            <v>0.15</v>
          </cell>
          <cell r="J1461">
            <v>228964</v>
          </cell>
          <cell r="K1461">
            <v>0.14</v>
          </cell>
          <cell r="L1461">
            <v>226301</v>
          </cell>
        </row>
        <row r="1462">
          <cell r="C1462">
            <v>8010040729</v>
          </cell>
          <cell r="D1462" t="str">
            <v>45°对接弯头(PE配件)SDR11(1.6MPa)黑色 dn200</v>
          </cell>
          <cell r="E1462" t="str">
            <v>HDPE Butt-Fusion 45° Elbow (1.6MPa) SDR11 dn200 Black</v>
          </cell>
        </row>
        <row r="1462">
          <cell r="G1462">
            <v>238556</v>
          </cell>
          <cell r="H1462">
            <v>238556</v>
          </cell>
          <cell r="I1462">
            <v>0.15</v>
          </cell>
          <cell r="J1462">
            <v>280655</v>
          </cell>
          <cell r="K1462">
            <v>0.14</v>
          </cell>
          <cell r="L1462">
            <v>277391</v>
          </cell>
        </row>
        <row r="1463">
          <cell r="C1463">
            <v>8010040730</v>
          </cell>
          <cell r="D1463" t="str">
            <v>45°对接弯头(PE配件)SDR11(1.6MPa)黑色 dn225</v>
          </cell>
          <cell r="E1463" t="str">
            <v>HDPE Butt-Fusion 45° Elbow (1.6MPa) SDR11 dn225 Black</v>
          </cell>
        </row>
        <row r="1463">
          <cell r="G1463">
            <v>360490</v>
          </cell>
          <cell r="H1463">
            <v>360490</v>
          </cell>
          <cell r="I1463">
            <v>0.15</v>
          </cell>
          <cell r="J1463">
            <v>424106</v>
          </cell>
          <cell r="K1463">
            <v>0.14</v>
          </cell>
          <cell r="L1463">
            <v>419174</v>
          </cell>
        </row>
        <row r="1464">
          <cell r="C1464">
            <v>8010040731</v>
          </cell>
          <cell r="D1464" t="str">
            <v>45°对接弯头(PE配件)SDR11(1.6MPa)黑色 dn250</v>
          </cell>
          <cell r="E1464" t="str">
            <v>HDPE Butt-Fusion 45° Elbow (1.6MPa) SDR11 dn250 Black</v>
          </cell>
        </row>
        <row r="1464">
          <cell r="G1464">
            <v>532911</v>
          </cell>
          <cell r="H1464">
            <v>532911</v>
          </cell>
          <cell r="I1464">
            <v>0.15</v>
          </cell>
          <cell r="J1464">
            <v>626955</v>
          </cell>
          <cell r="K1464">
            <v>0.14</v>
          </cell>
          <cell r="L1464">
            <v>619664</v>
          </cell>
        </row>
        <row r="1465">
          <cell r="C1465">
            <v>8010041412</v>
          </cell>
          <cell r="D1465" t="str">
            <v>45°对接弯头(PE配件)SDR11(1.6MPa)黑色 dn280</v>
          </cell>
          <cell r="E1465" t="str">
            <v>HDPE Butt-Fusion 45° Elbow (1.6MPa) SDR11 dn280 Black</v>
          </cell>
        </row>
        <row r="1465">
          <cell r="G1465">
            <v>696590</v>
          </cell>
          <cell r="H1465">
            <v>696590</v>
          </cell>
          <cell r="I1465">
            <v>0.15</v>
          </cell>
          <cell r="J1465">
            <v>819518</v>
          </cell>
          <cell r="K1465">
            <v>0.14</v>
          </cell>
          <cell r="L1465">
            <v>809988</v>
          </cell>
        </row>
        <row r="1466">
          <cell r="C1466">
            <v>8010044463</v>
          </cell>
          <cell r="D1466" t="str">
            <v>45°对接弯头(PE配件)SDR11(1.6MPa)黑色 dn315</v>
          </cell>
          <cell r="E1466" t="str">
            <v>HDPE Butt-Fusion 45° Elbow (1.6MPa) SDR11 dn315 Black</v>
          </cell>
        </row>
        <row r="1466">
          <cell r="G1466">
            <v>1061872</v>
          </cell>
          <cell r="H1466">
            <v>1061872</v>
          </cell>
          <cell r="I1466">
            <v>0.15</v>
          </cell>
          <cell r="J1466">
            <v>1249262</v>
          </cell>
          <cell r="K1466">
            <v>0.14</v>
          </cell>
          <cell r="L1466">
            <v>1234735</v>
          </cell>
        </row>
        <row r="1467">
          <cell r="C1467">
            <v>8010044298</v>
          </cell>
          <cell r="D1467" t="str">
            <v>45°对接弯头(PE配件)SDR11(1.6MPa)黑色 dn355</v>
          </cell>
          <cell r="E1467" t="str">
            <v>HDPE Butt-Fusion 45° Elbow (1.6MPa) SDR11 dn355 Black</v>
          </cell>
        </row>
        <row r="1467">
          <cell r="G1467">
            <v>1232841</v>
          </cell>
          <cell r="H1467">
            <v>1232841</v>
          </cell>
          <cell r="I1467">
            <v>0.15</v>
          </cell>
          <cell r="J1467">
            <v>1450402</v>
          </cell>
          <cell r="K1467">
            <v>0.14</v>
          </cell>
          <cell r="L1467">
            <v>1433536</v>
          </cell>
        </row>
        <row r="1468">
          <cell r="C1468">
            <v>8010045993</v>
          </cell>
          <cell r="D1468" t="str">
            <v>45°对接弯头(PE配件)SDR11(1.6MPa)黑色 dn630</v>
          </cell>
          <cell r="E1468" t="str">
            <v>HDPE Butt-Fusion 45° Elbow (1.6MPa) SDR11 dn630 Black</v>
          </cell>
        </row>
        <row r="1468">
          <cell r="G1468">
            <v>4850042</v>
          </cell>
          <cell r="H1468">
            <v>4850042</v>
          </cell>
          <cell r="I1468">
            <v>0.15</v>
          </cell>
          <cell r="J1468">
            <v>5705932</v>
          </cell>
          <cell r="K1468">
            <v>0.14</v>
          </cell>
          <cell r="L1468">
            <v>5639584</v>
          </cell>
        </row>
        <row r="1469">
          <cell r="C1469">
            <v>8010041541</v>
          </cell>
          <cell r="D1469" t="str">
            <v>45°对接弯头(PE配件)SDR17(1.0MPa)黑色 dn90</v>
          </cell>
          <cell r="E1469" t="str">
            <v>HDPE Butt-Fusion 45° Elbow (1.0MPa) SDR17 dn90 Black</v>
          </cell>
        </row>
        <row r="1469">
          <cell r="G1469">
            <v>44745</v>
          </cell>
          <cell r="H1469">
            <v>44745</v>
          </cell>
          <cell r="I1469">
            <v>0.15</v>
          </cell>
          <cell r="J1469">
            <v>52642</v>
          </cell>
          <cell r="K1469">
            <v>0.14</v>
          </cell>
          <cell r="L1469">
            <v>52029</v>
          </cell>
        </row>
        <row r="1470">
          <cell r="C1470">
            <v>8010043594</v>
          </cell>
          <cell r="D1470" t="str">
            <v>45°对接弯头(PE配件)SDR17(1.0MPa)黑色 dn315</v>
          </cell>
          <cell r="E1470" t="str">
            <v>HDPE Butt-Fusion 45° Elbow (1.0MPa) SDR17 dn315 Black</v>
          </cell>
        </row>
        <row r="1470">
          <cell r="G1470">
            <v>900477</v>
          </cell>
          <cell r="H1470">
            <v>900477</v>
          </cell>
          <cell r="I1470">
            <v>0.15</v>
          </cell>
          <cell r="J1470">
            <v>1059385</v>
          </cell>
          <cell r="K1470">
            <v>0.14</v>
          </cell>
          <cell r="L1470">
            <v>1047066</v>
          </cell>
        </row>
        <row r="1471">
          <cell r="C1471">
            <v>8010042250</v>
          </cell>
          <cell r="D1471" t="str">
            <v>45°对接弯头(PE配件)SDR17(1.0MPa)黑色 dn125</v>
          </cell>
          <cell r="E1471" t="str">
            <v>HDPE Butt-Fusion 45° Elbow (1.0MPa) SDR17 dn125 Black</v>
          </cell>
        </row>
        <row r="1471">
          <cell r="G1471">
            <v>75485</v>
          </cell>
          <cell r="H1471">
            <v>75485</v>
          </cell>
          <cell r="I1471">
            <v>0.15</v>
          </cell>
          <cell r="J1471">
            <v>88806</v>
          </cell>
          <cell r="K1471">
            <v>0.14</v>
          </cell>
          <cell r="L1471">
            <v>87773</v>
          </cell>
        </row>
        <row r="1472">
          <cell r="C1472">
            <v>8010042687</v>
          </cell>
          <cell r="D1472" t="str">
            <v>45°对接弯头(PE配件)SDR17(1.0MPa)黑色 dn75</v>
          </cell>
          <cell r="E1472" t="str">
            <v>HDPE Butt-Fusion 45° Elbow (1.0MPa) SDR17 dn75 Black</v>
          </cell>
        </row>
        <row r="1472">
          <cell r="G1472">
            <v>32924</v>
          </cell>
          <cell r="H1472">
            <v>32924</v>
          </cell>
          <cell r="I1472">
            <v>0.15</v>
          </cell>
          <cell r="J1472">
            <v>38735</v>
          </cell>
          <cell r="K1472">
            <v>0.14</v>
          </cell>
          <cell r="L1472">
            <v>38284</v>
          </cell>
        </row>
        <row r="1473">
          <cell r="C1473">
            <v>8010040736</v>
          </cell>
          <cell r="D1473" t="str">
            <v>45°对接弯头(PE配件)SDR17(1.0MPa)黑色 dn110</v>
          </cell>
          <cell r="E1473" t="str">
            <v>HDPE Butt-Fusion 45° Elbow (1.0MPa) SDR17 dn110 Black</v>
          </cell>
        </row>
        <row r="1473">
          <cell r="G1473">
            <v>64445</v>
          </cell>
          <cell r="H1473">
            <v>64445</v>
          </cell>
          <cell r="I1473">
            <v>0.15</v>
          </cell>
          <cell r="J1473">
            <v>75818</v>
          </cell>
          <cell r="K1473">
            <v>0.14</v>
          </cell>
          <cell r="L1473">
            <v>74936</v>
          </cell>
        </row>
        <row r="1474">
          <cell r="C1474">
            <v>8010040737</v>
          </cell>
          <cell r="D1474" t="str">
            <v>45°对接弯头(PE配件)SDR17(1.0MPa)黑色 dn160</v>
          </cell>
          <cell r="E1474" t="str">
            <v>HDPE Butt-Fusion 45° Elbow (1.0MPa) SDR17 dn160 Black</v>
          </cell>
        </row>
        <row r="1474">
          <cell r="G1474">
            <v>138433</v>
          </cell>
          <cell r="H1474">
            <v>138433</v>
          </cell>
          <cell r="I1474">
            <v>0.15</v>
          </cell>
          <cell r="J1474">
            <v>162863</v>
          </cell>
          <cell r="K1474">
            <v>0.14</v>
          </cell>
          <cell r="L1474">
            <v>160969</v>
          </cell>
        </row>
        <row r="1475">
          <cell r="C1475">
            <v>8010040738</v>
          </cell>
          <cell r="D1475" t="str">
            <v>45°对接弯头(PE配件)SDR17(1.0MPa)黑色 dn180</v>
          </cell>
          <cell r="E1475" t="str">
            <v>HDPE Butt-Fusion 45° Elbow (1.0MPa) SDR17 dn180 Black</v>
          </cell>
        </row>
        <row r="1475">
          <cell r="G1475">
            <v>149740</v>
          </cell>
          <cell r="H1475">
            <v>149740</v>
          </cell>
          <cell r="I1475">
            <v>0.15</v>
          </cell>
          <cell r="J1475">
            <v>176165</v>
          </cell>
          <cell r="K1475">
            <v>0.14</v>
          </cell>
          <cell r="L1475">
            <v>174116</v>
          </cell>
        </row>
        <row r="1476">
          <cell r="C1476">
            <v>8010040739</v>
          </cell>
          <cell r="D1476" t="str">
            <v>45°对接弯头(PE配件)SDR17(1.0MPa)黑色 dn200</v>
          </cell>
          <cell r="E1476" t="str">
            <v>HDPE Butt-Fusion 45° Elbow (1.0MPa) SDR17 dn200 Black</v>
          </cell>
        </row>
        <row r="1476">
          <cell r="G1476">
            <v>213590</v>
          </cell>
          <cell r="H1476">
            <v>213590</v>
          </cell>
          <cell r="I1476">
            <v>0.15</v>
          </cell>
          <cell r="J1476">
            <v>251283</v>
          </cell>
          <cell r="K1476">
            <v>0.14</v>
          </cell>
          <cell r="L1476">
            <v>248360</v>
          </cell>
        </row>
        <row r="1477">
          <cell r="C1477">
            <v>8010040740</v>
          </cell>
          <cell r="D1477" t="str">
            <v>45°对接弯头(PE配件)SDR17(1.0MPa)黑色 dn225</v>
          </cell>
          <cell r="E1477" t="str">
            <v>HDPE Butt-Fusion 45° Elbow (1.0MPa) SDR17 dn225 Black</v>
          </cell>
        </row>
        <row r="1477">
          <cell r="G1477">
            <v>338713</v>
          </cell>
          <cell r="H1477">
            <v>338713</v>
          </cell>
          <cell r="I1477">
            <v>0.15</v>
          </cell>
          <cell r="J1477">
            <v>398486</v>
          </cell>
          <cell r="K1477">
            <v>0.14</v>
          </cell>
          <cell r="L1477">
            <v>393852</v>
          </cell>
        </row>
        <row r="1478">
          <cell r="C1478">
            <v>8010040741</v>
          </cell>
          <cell r="D1478" t="str">
            <v>45°对接弯头(PE配件)SDR17(1.0MPa)黑色 dn250</v>
          </cell>
          <cell r="E1478" t="str">
            <v>HDPE Butt-Fusion 45° Elbow (1.0MPa) SDR17 dn250 Black</v>
          </cell>
        </row>
        <row r="1478">
          <cell r="G1478">
            <v>458014</v>
          </cell>
          <cell r="H1478">
            <v>458014</v>
          </cell>
          <cell r="I1478">
            <v>0.15</v>
          </cell>
          <cell r="J1478">
            <v>538840</v>
          </cell>
          <cell r="K1478">
            <v>0.14</v>
          </cell>
          <cell r="L1478">
            <v>532574</v>
          </cell>
        </row>
        <row r="1479">
          <cell r="C1479">
            <v>8010040742</v>
          </cell>
          <cell r="D1479" t="str">
            <v>45°对接弯头(PE配件)SDR17(1.0MPa)黑色 dn280</v>
          </cell>
          <cell r="E1479" t="str">
            <v>HDPE Butt-Fusion 45° Elbow (1.0MPa) SDR17 dn280 Black</v>
          </cell>
        </row>
        <row r="1479">
          <cell r="G1479">
            <v>611904</v>
          </cell>
          <cell r="H1479">
            <v>611904</v>
          </cell>
          <cell r="I1479">
            <v>0.15</v>
          </cell>
          <cell r="J1479">
            <v>719888</v>
          </cell>
          <cell r="K1479">
            <v>0.14</v>
          </cell>
          <cell r="L1479">
            <v>711516</v>
          </cell>
        </row>
        <row r="1480">
          <cell r="C1480">
            <v>8010045665</v>
          </cell>
          <cell r="D1480" t="str">
            <v>90°对接弯头(PE配件)SDR17(1.0MPa)黑色 dn500</v>
          </cell>
          <cell r="E1480" t="str">
            <v>HDPE Butt-Fusion 90° Elbow (1.0MPa) SDR17 dn500 Black</v>
          </cell>
        </row>
        <row r="1480">
          <cell r="G1480">
            <v>2823361</v>
          </cell>
          <cell r="H1480">
            <v>2823361</v>
          </cell>
          <cell r="I1480">
            <v>0.15</v>
          </cell>
          <cell r="J1480">
            <v>3321602</v>
          </cell>
          <cell r="K1480">
            <v>0.14</v>
          </cell>
          <cell r="L1480">
            <v>3282978</v>
          </cell>
        </row>
        <row r="1481">
          <cell r="C1481">
            <v>8010041623</v>
          </cell>
          <cell r="D1481" t="str">
            <v>90°对接弯头(PE配件)SDR17(1.0MPa)黑色 dn315</v>
          </cell>
          <cell r="E1481" t="str">
            <v>HDPE Butt-Fusion 90° Elbow (1.0MPa) SDR17 dn315 Black</v>
          </cell>
        </row>
        <row r="1481">
          <cell r="G1481">
            <v>1182858</v>
          </cell>
          <cell r="H1481">
            <v>1182858</v>
          </cell>
          <cell r="I1481">
            <v>0.15</v>
          </cell>
          <cell r="J1481">
            <v>1391598</v>
          </cell>
          <cell r="K1481">
            <v>0.14</v>
          </cell>
          <cell r="L1481">
            <v>1375416</v>
          </cell>
        </row>
        <row r="1482">
          <cell r="C1482">
            <v>8010043551</v>
          </cell>
          <cell r="D1482" t="str">
            <v>90°对接弯头(PE配件)SDR17(1.0MPa)黑色 dn355</v>
          </cell>
          <cell r="E1482" t="str">
            <v>HDPE Butt-Fusion 90° Elbow (1.0MPa) SDR17 dn355 Black</v>
          </cell>
        </row>
        <row r="1482">
          <cell r="G1482">
            <v>1264897</v>
          </cell>
          <cell r="H1482">
            <v>1264897</v>
          </cell>
          <cell r="I1482">
            <v>0.15</v>
          </cell>
          <cell r="J1482">
            <v>1488115</v>
          </cell>
          <cell r="K1482">
            <v>0.14</v>
          </cell>
          <cell r="L1482">
            <v>1470810</v>
          </cell>
        </row>
        <row r="1483">
          <cell r="C1483">
            <v>8010042256</v>
          </cell>
          <cell r="D1483" t="str">
            <v>90°对接弯头(PE配件)SDR17(1.0MPa)黑色 dn125</v>
          </cell>
          <cell r="E1483" t="str">
            <v>HDPE Butt-Fusion 90° Elbow (1.0MPa) SDR17 dn125 Black</v>
          </cell>
        </row>
        <row r="1483">
          <cell r="G1483">
            <v>84540</v>
          </cell>
          <cell r="H1483">
            <v>84540</v>
          </cell>
          <cell r="I1483">
            <v>0.15</v>
          </cell>
          <cell r="J1483">
            <v>99459</v>
          </cell>
          <cell r="K1483">
            <v>0.14</v>
          </cell>
          <cell r="L1483">
            <v>98302</v>
          </cell>
        </row>
        <row r="1484">
          <cell r="C1484">
            <v>8010042257</v>
          </cell>
          <cell r="D1484" t="str">
            <v>90°对接弯头(PE配件)SDR17(1.0MPa)黑色 dn75</v>
          </cell>
          <cell r="E1484" t="str">
            <v>HDPE Butt-Fusion 90° Elbow (1.0MPa) SDR17 dn75 Black</v>
          </cell>
        </row>
        <row r="1484">
          <cell r="G1484">
            <v>33038</v>
          </cell>
          <cell r="H1484">
            <v>33038</v>
          </cell>
          <cell r="I1484">
            <v>0.15</v>
          </cell>
          <cell r="J1484">
            <v>38869</v>
          </cell>
          <cell r="K1484">
            <v>0.14</v>
          </cell>
          <cell r="L1484">
            <v>38416</v>
          </cell>
        </row>
        <row r="1485">
          <cell r="C1485">
            <v>8010040759</v>
          </cell>
          <cell r="D1485" t="str">
            <v>90°对接弯头(PE配件)SDR17(1.0MPa)黑色 dn110</v>
          </cell>
          <cell r="E1485" t="str">
            <v>HDPE Butt-Fusion 90° Elbow (1.0MPa) SDR17 dn110 Black</v>
          </cell>
        </row>
        <row r="1485">
          <cell r="G1485">
            <v>68101</v>
          </cell>
          <cell r="H1485">
            <v>68101</v>
          </cell>
          <cell r="I1485">
            <v>0.15</v>
          </cell>
          <cell r="J1485">
            <v>80119</v>
          </cell>
          <cell r="K1485">
            <v>0.14</v>
          </cell>
          <cell r="L1485">
            <v>79187</v>
          </cell>
        </row>
        <row r="1486">
          <cell r="C1486">
            <v>8010040760</v>
          </cell>
          <cell r="D1486" t="str">
            <v>90°对接弯头(PE配件)SDR17(1.0MPa)黑色 dn160</v>
          </cell>
          <cell r="E1486" t="str">
            <v>HDPE Butt-Fusion 90° Elbow (1.0MPa) SDR17 dn160 Black</v>
          </cell>
        </row>
        <row r="1486">
          <cell r="G1486">
            <v>148543</v>
          </cell>
          <cell r="H1486">
            <v>148543</v>
          </cell>
          <cell r="I1486">
            <v>0.15</v>
          </cell>
          <cell r="J1486">
            <v>174757</v>
          </cell>
          <cell r="K1486">
            <v>0.14</v>
          </cell>
          <cell r="L1486">
            <v>172724</v>
          </cell>
        </row>
        <row r="1487">
          <cell r="C1487">
            <v>8010040761</v>
          </cell>
          <cell r="D1487" t="str">
            <v>90°对接弯头(PE配件)SDR17(1.0MPa)黑色 dn180</v>
          </cell>
          <cell r="E1487" t="str">
            <v>HDPE Butt-Fusion 90° Elbow (1.0MPa) SDR17 dn180 Black</v>
          </cell>
        </row>
        <row r="1487">
          <cell r="G1487">
            <v>170869</v>
          </cell>
          <cell r="H1487">
            <v>170869</v>
          </cell>
          <cell r="I1487">
            <v>0.15</v>
          </cell>
          <cell r="J1487">
            <v>201023</v>
          </cell>
          <cell r="K1487">
            <v>0.14</v>
          </cell>
          <cell r="L1487">
            <v>198685</v>
          </cell>
        </row>
        <row r="1488">
          <cell r="C1488">
            <v>8010040762</v>
          </cell>
          <cell r="D1488" t="str">
            <v>90°对接弯头(PE配件)SDR17(1.0MPa)黑色 dn200</v>
          </cell>
          <cell r="E1488" t="str">
            <v>HDPE Butt-Fusion 90° Elbow (1.0MPa) SDR17 dn200 Black</v>
          </cell>
        </row>
        <row r="1488">
          <cell r="G1488">
            <v>248045</v>
          </cell>
          <cell r="H1488">
            <v>248045</v>
          </cell>
          <cell r="I1488">
            <v>0.15</v>
          </cell>
          <cell r="J1488">
            <v>291818</v>
          </cell>
          <cell r="K1488">
            <v>0.14</v>
          </cell>
          <cell r="L1488">
            <v>288424</v>
          </cell>
        </row>
        <row r="1489">
          <cell r="C1489">
            <v>8010040763</v>
          </cell>
          <cell r="D1489" t="str">
            <v>90°对接弯头(PE配件)SDR17(1.0MPa)黑色 dn225</v>
          </cell>
          <cell r="E1489" t="str">
            <v>HDPE Butt-Fusion 90° Elbow (1.0MPa) SDR17 dn225 Black</v>
          </cell>
        </row>
        <row r="1489">
          <cell r="G1489">
            <v>396783</v>
          </cell>
          <cell r="H1489">
            <v>396783</v>
          </cell>
          <cell r="I1489">
            <v>0.15</v>
          </cell>
          <cell r="J1489">
            <v>466804</v>
          </cell>
          <cell r="K1489">
            <v>0.14</v>
          </cell>
          <cell r="L1489">
            <v>461376</v>
          </cell>
        </row>
        <row r="1490">
          <cell r="C1490">
            <v>8010040764</v>
          </cell>
          <cell r="D1490" t="str">
            <v>90°对接弯头(PE配件)SDR17(1.0MPa)黑色 dn250</v>
          </cell>
          <cell r="E1490" t="str">
            <v>HDPE Butt-Fusion 90° Elbow (1.0MPa) SDR17 dn250 Black</v>
          </cell>
        </row>
        <row r="1490">
          <cell r="G1490">
            <v>575123</v>
          </cell>
          <cell r="H1490">
            <v>575123</v>
          </cell>
          <cell r="I1490">
            <v>0.15</v>
          </cell>
          <cell r="J1490">
            <v>676616</v>
          </cell>
          <cell r="K1490">
            <v>0.14</v>
          </cell>
          <cell r="L1490">
            <v>668748</v>
          </cell>
        </row>
        <row r="1491">
          <cell r="C1491">
            <v>8010040765</v>
          </cell>
          <cell r="D1491" t="str">
            <v>90°对接弯头(PE配件)SDR17(1.0MPa)黑色 dn280</v>
          </cell>
          <cell r="E1491" t="str">
            <v>HDPE Butt-Fusion 90° Elbow (1.0MPa) SDR17 dn280 Black</v>
          </cell>
        </row>
        <row r="1491">
          <cell r="G1491">
            <v>729982</v>
          </cell>
          <cell r="H1491">
            <v>729982</v>
          </cell>
          <cell r="I1491">
            <v>0.15</v>
          </cell>
          <cell r="J1491">
            <v>858803</v>
          </cell>
          <cell r="K1491">
            <v>0.14</v>
          </cell>
          <cell r="L1491">
            <v>848816</v>
          </cell>
        </row>
        <row r="1492">
          <cell r="C1492">
            <v>8010040766</v>
          </cell>
          <cell r="D1492" t="str">
            <v>90°对接弯头(PE配件)SDR17(1.0MPa)黑色 dn90</v>
          </cell>
          <cell r="E1492" t="str">
            <v>HDPE Butt-Fusion 90° Elbow (1.0MPa) SDR17 dn90 Black</v>
          </cell>
        </row>
        <row r="1492">
          <cell r="G1492">
            <v>45214</v>
          </cell>
          <cell r="H1492">
            <v>45214</v>
          </cell>
          <cell r="I1492">
            <v>0.15</v>
          </cell>
          <cell r="J1492">
            <v>53193</v>
          </cell>
          <cell r="K1492">
            <v>0.14</v>
          </cell>
          <cell r="L1492">
            <v>52574</v>
          </cell>
        </row>
        <row r="1493">
          <cell r="C1493">
            <v>8010045991</v>
          </cell>
          <cell r="D1493" t="str">
            <v>90°对接弯头(PE配件)SDR11(1.6MPa)黑色 dn630</v>
          </cell>
          <cell r="E1493" t="str">
            <v>HDPE Butt-Fusion 90° Elbow (1.6MPa) SDR11 dn630 Black</v>
          </cell>
        </row>
        <row r="1493">
          <cell r="G1493">
            <v>7444611</v>
          </cell>
          <cell r="H1493">
            <v>7444611</v>
          </cell>
          <cell r="I1493">
            <v>0.15</v>
          </cell>
          <cell r="J1493">
            <v>8758366</v>
          </cell>
          <cell r="K1493">
            <v>0.14</v>
          </cell>
          <cell r="L1493">
            <v>8656524</v>
          </cell>
        </row>
        <row r="1494">
          <cell r="C1494">
            <v>8010045528</v>
          </cell>
          <cell r="D1494" t="str">
            <v>90°对接弯头(PE配件)SDR11(1.6MPa)黑色 dn355</v>
          </cell>
          <cell r="E1494" t="str">
            <v>HDPE Butt-Fusion 90° Elbow (1.6MPa) SDR11 dn355 Black</v>
          </cell>
        </row>
        <row r="1494">
          <cell r="G1494">
            <v>1455568</v>
          </cell>
          <cell r="H1494">
            <v>1455568</v>
          </cell>
          <cell r="I1494">
            <v>0.15</v>
          </cell>
          <cell r="J1494">
            <v>1712433</v>
          </cell>
          <cell r="K1494">
            <v>0.14</v>
          </cell>
          <cell r="L1494">
            <v>1692521</v>
          </cell>
        </row>
        <row r="1495">
          <cell r="C1495">
            <v>8010043577</v>
          </cell>
          <cell r="D1495" t="str">
            <v>90°对接弯头(PE配件)SDR11(1.6MPa)黑色 dn63</v>
          </cell>
          <cell r="E1495" t="str">
            <v>HDPE Butt-Fusion 90° Elbow (1.6MPa) SDR11 dn63 Black</v>
          </cell>
        </row>
        <row r="1495">
          <cell r="G1495">
            <v>21444</v>
          </cell>
          <cell r="H1495">
            <v>21444</v>
          </cell>
          <cell r="I1495">
            <v>0.15</v>
          </cell>
          <cell r="J1495">
            <v>25229</v>
          </cell>
          <cell r="K1495">
            <v>0.14</v>
          </cell>
          <cell r="L1495">
            <v>24935</v>
          </cell>
        </row>
        <row r="1496">
          <cell r="C1496">
            <v>8010041624</v>
          </cell>
          <cell r="D1496" t="str">
            <v>90°对接弯头(PE配件)SDR11(1.6MPa)黑色 dn315</v>
          </cell>
          <cell r="E1496" t="str">
            <v>HDPE Butt-Fusion 90° Elbow (1.6MPa) SDR11 dn315 Black</v>
          </cell>
        </row>
        <row r="1496">
          <cell r="G1496">
            <v>1377403</v>
          </cell>
          <cell r="H1496">
            <v>1377403</v>
          </cell>
          <cell r="I1496">
            <v>0.15</v>
          </cell>
          <cell r="J1496">
            <v>1620475</v>
          </cell>
          <cell r="K1496">
            <v>0.14</v>
          </cell>
          <cell r="L1496">
            <v>1601631</v>
          </cell>
        </row>
        <row r="1497">
          <cell r="C1497">
            <v>8010040743</v>
          </cell>
          <cell r="D1497" t="str">
            <v>90°对接弯头(PE配件)SDR11(1.6MPa)黑色 dn110</v>
          </cell>
          <cell r="E1497" t="str">
            <v>HDPE Butt-Fusion 90° Elbow (1.6MPa) SDR11 dn110 Black</v>
          </cell>
        </row>
        <row r="1497">
          <cell r="G1497">
            <v>70493</v>
          </cell>
          <cell r="H1497">
            <v>70493</v>
          </cell>
          <cell r="I1497">
            <v>0.15</v>
          </cell>
          <cell r="J1497">
            <v>82933</v>
          </cell>
          <cell r="K1497">
            <v>0.14</v>
          </cell>
          <cell r="L1497">
            <v>81969</v>
          </cell>
        </row>
        <row r="1498">
          <cell r="C1498">
            <v>8010040744</v>
          </cell>
          <cell r="D1498" t="str">
            <v>90°对接弯头(PE配件)SDR11(1.6MPa)黑色 dn125</v>
          </cell>
          <cell r="E1498" t="str">
            <v>HDPE Butt-Fusion 90° Elbow (1.6MPa) SDR11 dn125 Black</v>
          </cell>
        </row>
        <row r="1498">
          <cell r="G1498">
            <v>88823</v>
          </cell>
          <cell r="H1498">
            <v>88823</v>
          </cell>
          <cell r="I1498">
            <v>0.15</v>
          </cell>
          <cell r="J1498">
            <v>104498</v>
          </cell>
          <cell r="K1498">
            <v>0.14</v>
          </cell>
          <cell r="L1498">
            <v>103283</v>
          </cell>
        </row>
        <row r="1499">
          <cell r="C1499">
            <v>8010040745</v>
          </cell>
          <cell r="D1499" t="str">
            <v>90°对接弯头(PE配件)SDR11(1.6MPa)黑色 dn160</v>
          </cell>
          <cell r="E1499" t="str">
            <v>HDPE Butt-Fusion 90° Elbow (1.6MPa) SDR11 dn160 Black</v>
          </cell>
        </row>
        <row r="1499">
          <cell r="G1499">
            <v>154765</v>
          </cell>
          <cell r="H1499">
            <v>154765</v>
          </cell>
          <cell r="I1499">
            <v>0.15</v>
          </cell>
          <cell r="J1499">
            <v>182077</v>
          </cell>
          <cell r="K1499">
            <v>0.14</v>
          </cell>
          <cell r="L1499">
            <v>179959</v>
          </cell>
        </row>
        <row r="1500">
          <cell r="C1500">
            <v>8010040746</v>
          </cell>
          <cell r="D1500" t="str">
            <v>90°对接弯头(PE配件)SDR11(1.6MPa)黑色 dn180</v>
          </cell>
          <cell r="E1500" t="str">
            <v>HDPE Butt-Fusion 90° Elbow (1.6MPa) SDR11 dn180 Black</v>
          </cell>
        </row>
        <row r="1500">
          <cell r="G1500">
            <v>190002</v>
          </cell>
          <cell r="H1500">
            <v>190002</v>
          </cell>
          <cell r="I1500">
            <v>0.15</v>
          </cell>
          <cell r="J1500">
            <v>223532</v>
          </cell>
          <cell r="K1500">
            <v>0.14</v>
          </cell>
          <cell r="L1500">
            <v>220933</v>
          </cell>
        </row>
        <row r="1501">
          <cell r="C1501">
            <v>8010040747</v>
          </cell>
          <cell r="D1501" t="str">
            <v>90°对接弯头(PE配件)SDR11(1.6MPa)黑色 dn200</v>
          </cell>
          <cell r="E1501" t="str">
            <v>HDPE Butt-Fusion 90° Elbow (1.6MPa) SDR11 dn200 Black</v>
          </cell>
        </row>
        <row r="1501">
          <cell r="G1501">
            <v>255784</v>
          </cell>
          <cell r="H1501">
            <v>255784</v>
          </cell>
          <cell r="I1501">
            <v>0.15</v>
          </cell>
          <cell r="J1501">
            <v>300923</v>
          </cell>
          <cell r="K1501">
            <v>0.14</v>
          </cell>
          <cell r="L1501">
            <v>297423</v>
          </cell>
        </row>
        <row r="1502">
          <cell r="C1502">
            <v>8010040748</v>
          </cell>
          <cell r="D1502" t="str">
            <v>90°对接弯头(PE配件)SDR11(1.6MPa)黑色 dn225</v>
          </cell>
          <cell r="E1502" t="str">
            <v>HDPE Butt-Fusion 90° Elbow (1.6MPa) SDR11 dn225 Black</v>
          </cell>
        </row>
        <row r="1502">
          <cell r="G1502">
            <v>467436</v>
          </cell>
          <cell r="H1502">
            <v>467436</v>
          </cell>
          <cell r="I1502">
            <v>0.15</v>
          </cell>
          <cell r="J1502">
            <v>549925</v>
          </cell>
          <cell r="K1502">
            <v>0.14</v>
          </cell>
          <cell r="L1502">
            <v>543530</v>
          </cell>
        </row>
        <row r="1503">
          <cell r="C1503">
            <v>8010040749</v>
          </cell>
          <cell r="D1503" t="str">
            <v>90°对接弯头(PE配件)SDR11(1.6MPa)黑色 dn250</v>
          </cell>
          <cell r="E1503" t="str">
            <v>HDPE Butt-Fusion 90° Elbow (1.6MPa) SDR11 dn250 Black</v>
          </cell>
        </row>
        <row r="1503">
          <cell r="G1503">
            <v>652559</v>
          </cell>
          <cell r="H1503">
            <v>652559</v>
          </cell>
          <cell r="I1503">
            <v>0.15</v>
          </cell>
          <cell r="J1503">
            <v>767717</v>
          </cell>
          <cell r="K1503">
            <v>0.14</v>
          </cell>
          <cell r="L1503">
            <v>758790</v>
          </cell>
        </row>
        <row r="1504">
          <cell r="C1504">
            <v>8010040750</v>
          </cell>
          <cell r="D1504" t="str">
            <v>90°对接弯头(PE配件)SDR11(1.6MPa)黑色 dn280</v>
          </cell>
          <cell r="E1504" t="str">
            <v>HDPE Butt-Fusion 90° Elbow (1.6MPa) SDR11 dn280 Black</v>
          </cell>
        </row>
        <row r="1504">
          <cell r="G1504">
            <v>883878</v>
          </cell>
          <cell r="H1504">
            <v>883878</v>
          </cell>
          <cell r="I1504">
            <v>0.15</v>
          </cell>
          <cell r="J1504">
            <v>1039857</v>
          </cell>
          <cell r="K1504">
            <v>0.14</v>
          </cell>
          <cell r="L1504">
            <v>1027765</v>
          </cell>
        </row>
        <row r="1505">
          <cell r="C1505">
            <v>8010040751</v>
          </cell>
          <cell r="D1505" t="str">
            <v>90°对接弯头(PE配件)SDR11(1.6MPa)黑色 dn75</v>
          </cell>
          <cell r="E1505" t="str">
            <v>HDPE Butt-Fusion 90° Elbow (1.6MPa) SDR11 dn75 Black</v>
          </cell>
        </row>
        <row r="1505">
          <cell r="G1505">
            <v>34268</v>
          </cell>
          <cell r="H1505">
            <v>34268</v>
          </cell>
          <cell r="I1505">
            <v>0.15</v>
          </cell>
          <cell r="J1505">
            <v>40316</v>
          </cell>
          <cell r="K1505">
            <v>0.14</v>
          </cell>
          <cell r="L1505">
            <v>39847</v>
          </cell>
        </row>
        <row r="1506">
          <cell r="C1506">
            <v>8010040752</v>
          </cell>
          <cell r="D1506" t="str">
            <v>90°对接弯头(PE配件)SDR11(1.6MPa)黑色 dn90</v>
          </cell>
          <cell r="E1506" t="str">
            <v>HDPE Butt-Fusion 90° Elbow (1.6MPa) SDR11 dn90 Black</v>
          </cell>
        </row>
        <row r="1506">
          <cell r="G1506">
            <v>48221</v>
          </cell>
          <cell r="H1506">
            <v>48221</v>
          </cell>
          <cell r="I1506">
            <v>0.15</v>
          </cell>
          <cell r="J1506">
            <v>56731</v>
          </cell>
          <cell r="K1506">
            <v>0.14</v>
          </cell>
          <cell r="L1506">
            <v>56071</v>
          </cell>
        </row>
        <row r="1507">
          <cell r="C1507">
            <v>8010042241</v>
          </cell>
          <cell r="D1507" t="str">
            <v>90°对接三通(PE配件)SDR11(1.6MPa)黑色 dn63</v>
          </cell>
          <cell r="E1507" t="str">
            <v>HDPE Butt-Fusion 90° Tee (1.6MPa) SDR11 dn63 Black</v>
          </cell>
        </row>
        <row r="1507">
          <cell r="G1507">
            <v>35731</v>
          </cell>
          <cell r="H1507">
            <v>35731</v>
          </cell>
          <cell r="I1507">
            <v>0.15</v>
          </cell>
          <cell r="J1507">
            <v>42037</v>
          </cell>
          <cell r="K1507">
            <v>0.14</v>
          </cell>
          <cell r="L1507">
            <v>41548</v>
          </cell>
        </row>
        <row r="1508">
          <cell r="C1508">
            <v>8010040699</v>
          </cell>
          <cell r="D1508" t="str">
            <v>90°对接三通(PE配件)SDR11(1.6MPa)黑色 dn110</v>
          </cell>
          <cell r="E1508" t="str">
            <v>HDPE Butt-Fusion 90° Tee (1.6MPa) SDR11 dn110 Black</v>
          </cell>
        </row>
        <row r="1508">
          <cell r="G1508">
            <v>100544</v>
          </cell>
          <cell r="H1508">
            <v>100544</v>
          </cell>
          <cell r="I1508">
            <v>0.15</v>
          </cell>
          <cell r="J1508">
            <v>118288</v>
          </cell>
          <cell r="K1508">
            <v>0.14</v>
          </cell>
          <cell r="L1508">
            <v>116912</v>
          </cell>
        </row>
        <row r="1509">
          <cell r="C1509">
            <v>8010040700</v>
          </cell>
          <cell r="D1509" t="str">
            <v>90°对接三通(PE配件)SDR11(1.6MPa)黑色 dn125</v>
          </cell>
          <cell r="E1509" t="str">
            <v>HDPE Butt-Fusion 90° Tee (1.6MPa) SDR11 dn125 Black</v>
          </cell>
        </row>
        <row r="1509">
          <cell r="G1509">
            <v>123952</v>
          </cell>
          <cell r="H1509">
            <v>123952</v>
          </cell>
          <cell r="I1509">
            <v>0.15</v>
          </cell>
          <cell r="J1509">
            <v>145826</v>
          </cell>
          <cell r="K1509">
            <v>0.14</v>
          </cell>
          <cell r="L1509">
            <v>144130</v>
          </cell>
        </row>
        <row r="1510">
          <cell r="C1510">
            <v>8010040701</v>
          </cell>
          <cell r="D1510" t="str">
            <v>90°对接三通(PE配件)SDR11(1.6MPa)黑色 dn160</v>
          </cell>
          <cell r="E1510" t="str">
            <v>HDPE Butt-Fusion 90° Tee (1.6MPa) SDR11 dn160 Black</v>
          </cell>
        </row>
        <row r="1510">
          <cell r="G1510">
            <v>217239</v>
          </cell>
          <cell r="H1510">
            <v>217239</v>
          </cell>
          <cell r="I1510">
            <v>0.15</v>
          </cell>
          <cell r="J1510">
            <v>255576</v>
          </cell>
          <cell r="K1510">
            <v>0.14</v>
          </cell>
          <cell r="L1510">
            <v>252603</v>
          </cell>
        </row>
        <row r="1511">
          <cell r="C1511">
            <v>8010040702</v>
          </cell>
          <cell r="D1511" t="str">
            <v>90°对接三通(PE配件)SDR11(1.6MPa)黑色 dn180</v>
          </cell>
          <cell r="E1511" t="str">
            <v>HDPE Butt-Fusion 90° Tee (1.6MPa) SDR11 dn180 Black</v>
          </cell>
        </row>
        <row r="1511">
          <cell r="G1511">
            <v>259238</v>
          </cell>
          <cell r="H1511">
            <v>259238</v>
          </cell>
          <cell r="I1511">
            <v>0.15</v>
          </cell>
          <cell r="J1511">
            <v>304986</v>
          </cell>
          <cell r="K1511">
            <v>0.14</v>
          </cell>
          <cell r="L1511">
            <v>301440</v>
          </cell>
        </row>
        <row r="1512">
          <cell r="C1512">
            <v>8010040703</v>
          </cell>
          <cell r="D1512" t="str">
            <v>90°对接三通(PE配件)SDR11(1.6MPa)黑色 dn200</v>
          </cell>
          <cell r="E1512" t="str">
            <v>HDPE Butt-Fusion 90° Tee (1.6MPa) SDR11 dn200 Black</v>
          </cell>
        </row>
        <row r="1512">
          <cell r="G1512">
            <v>370695</v>
          </cell>
          <cell r="H1512">
            <v>370695</v>
          </cell>
          <cell r="I1512">
            <v>0.15</v>
          </cell>
          <cell r="J1512">
            <v>436112</v>
          </cell>
          <cell r="K1512">
            <v>0.14</v>
          </cell>
          <cell r="L1512">
            <v>431041</v>
          </cell>
        </row>
        <row r="1513">
          <cell r="C1513">
            <v>8010040704</v>
          </cell>
          <cell r="D1513" t="str">
            <v>90°对接三通(PE配件)SDR11(1.6MPa)黑色 dn225</v>
          </cell>
          <cell r="E1513" t="str">
            <v>HDPE Butt-Fusion 90° Tee (1.6MPa) SDR11 dn225 Black</v>
          </cell>
        </row>
        <row r="1513">
          <cell r="G1513">
            <v>650802</v>
          </cell>
          <cell r="H1513">
            <v>650802</v>
          </cell>
          <cell r="I1513">
            <v>0.15</v>
          </cell>
          <cell r="J1513">
            <v>765650</v>
          </cell>
          <cell r="K1513">
            <v>0.14</v>
          </cell>
          <cell r="L1513">
            <v>756747</v>
          </cell>
        </row>
        <row r="1514">
          <cell r="C1514">
            <v>8010040705</v>
          </cell>
          <cell r="D1514" t="str">
            <v>90°对接三通(PE配件)SDR11(1.6MPa)黑色 dn250</v>
          </cell>
          <cell r="E1514" t="str">
            <v>HDPE Butt-Fusion 90° Tee (1.6MPa) SDR11 dn250 Black</v>
          </cell>
        </row>
        <row r="1514">
          <cell r="G1514">
            <v>908877</v>
          </cell>
          <cell r="H1514">
            <v>908877</v>
          </cell>
          <cell r="I1514">
            <v>0.15</v>
          </cell>
          <cell r="J1514">
            <v>1069268</v>
          </cell>
          <cell r="K1514">
            <v>0.14</v>
          </cell>
          <cell r="L1514">
            <v>1056834</v>
          </cell>
        </row>
        <row r="1515">
          <cell r="C1515">
            <v>8010040706</v>
          </cell>
          <cell r="D1515" t="str">
            <v>90°对接三通(PE配件)SDR11(1.6MPa)黑色 dn280</v>
          </cell>
          <cell r="E1515" t="str">
            <v>HDPE Butt-Fusion 90° Tee (1.6MPa) SDR11 dn280 Black</v>
          </cell>
        </row>
        <row r="1515">
          <cell r="G1515">
            <v>1175039</v>
          </cell>
          <cell r="H1515">
            <v>1175039</v>
          </cell>
          <cell r="I1515">
            <v>0.15</v>
          </cell>
          <cell r="J1515">
            <v>1382399</v>
          </cell>
          <cell r="K1515">
            <v>0.14</v>
          </cell>
          <cell r="L1515">
            <v>1366324</v>
          </cell>
        </row>
        <row r="1516">
          <cell r="C1516">
            <v>8010040707</v>
          </cell>
          <cell r="D1516" t="str">
            <v>90°对接三通(PE配件)SDR11(1.6MPa)黑色 dn315</v>
          </cell>
          <cell r="E1516" t="str">
            <v>HDPE Butt-Fusion 90° Tee (1.6MPa) SDR11 dn315 Black</v>
          </cell>
        </row>
        <row r="1516">
          <cell r="G1516">
            <v>1858913</v>
          </cell>
          <cell r="H1516">
            <v>1858913</v>
          </cell>
          <cell r="I1516">
            <v>0.15</v>
          </cell>
          <cell r="J1516">
            <v>2186957</v>
          </cell>
          <cell r="K1516">
            <v>0.14</v>
          </cell>
          <cell r="L1516">
            <v>2161527</v>
          </cell>
        </row>
        <row r="1517">
          <cell r="C1517">
            <v>8010040708</v>
          </cell>
          <cell r="D1517" t="str">
            <v>90°对接三通(PE配件)SDR11(1.6MPa)黑色 dn75</v>
          </cell>
          <cell r="E1517" t="str">
            <v>HDPE Butt-Fusion 90° Tee (1.6MPa) SDR11 dn75 Black</v>
          </cell>
        </row>
        <row r="1517">
          <cell r="G1517">
            <v>46690</v>
          </cell>
          <cell r="H1517">
            <v>46690</v>
          </cell>
          <cell r="I1517">
            <v>0.15</v>
          </cell>
          <cell r="J1517">
            <v>54930</v>
          </cell>
          <cell r="K1517">
            <v>0.14</v>
          </cell>
          <cell r="L1517">
            <v>54291</v>
          </cell>
        </row>
        <row r="1518">
          <cell r="C1518">
            <v>8010040709</v>
          </cell>
          <cell r="D1518" t="str">
            <v>90°对接三通(PE配件)SDR11(1.6MPa)黑色 dn90</v>
          </cell>
          <cell r="E1518" t="str">
            <v>HDPE Butt-Fusion 90° Tee (1.6MPa) SDR11 dn90 Black</v>
          </cell>
        </row>
        <row r="1518">
          <cell r="G1518">
            <v>68308</v>
          </cell>
          <cell r="H1518">
            <v>68308</v>
          </cell>
          <cell r="I1518">
            <v>0.15</v>
          </cell>
          <cell r="J1518">
            <v>80363</v>
          </cell>
          <cell r="K1518">
            <v>0.14</v>
          </cell>
          <cell r="L1518">
            <v>79428</v>
          </cell>
        </row>
        <row r="1519">
          <cell r="C1519">
            <v>8010044497</v>
          </cell>
          <cell r="D1519" t="str">
            <v>90°对接三通(PE配件)SDR17(1.0MPa)黑色 dn63</v>
          </cell>
          <cell r="E1519" t="str">
            <v>HDPE Butt-Fusion 90° Tee (1.0MPa) SDR17 dn63 Black</v>
          </cell>
        </row>
        <row r="1519">
          <cell r="G1519">
            <v>34374</v>
          </cell>
          <cell r="H1519">
            <v>34374</v>
          </cell>
          <cell r="I1519">
            <v>0.15</v>
          </cell>
          <cell r="J1519">
            <v>40440</v>
          </cell>
          <cell r="K1519">
            <v>0.14</v>
          </cell>
          <cell r="L1519">
            <v>39970</v>
          </cell>
        </row>
        <row r="1520">
          <cell r="C1520">
            <v>8010041383</v>
          </cell>
          <cell r="D1520" t="str">
            <v>90°对接三通(PE配件)SDR17(1.0MPa)黑色 dn400</v>
          </cell>
          <cell r="E1520" t="str">
            <v>HDPE Butt-Fusion 90° Tee (1.0MPa) SDR17 dn400 Black</v>
          </cell>
        </row>
        <row r="1520">
          <cell r="G1520">
            <v>2174978</v>
          </cell>
          <cell r="H1520">
            <v>2174978</v>
          </cell>
          <cell r="I1520">
            <v>0.15</v>
          </cell>
          <cell r="J1520">
            <v>2558798</v>
          </cell>
          <cell r="K1520">
            <v>0.14</v>
          </cell>
          <cell r="L1520">
            <v>2529044</v>
          </cell>
        </row>
        <row r="1521">
          <cell r="C1521">
            <v>8010041540</v>
          </cell>
          <cell r="D1521" t="str">
            <v>90°对接三通(PE配件)SDR17(1.0MPa)黑色 dn90</v>
          </cell>
          <cell r="E1521" t="str">
            <v>HDPE Butt-Fusion 90° Tee (1.0MPa) SDR17 dn90 Black</v>
          </cell>
        </row>
        <row r="1521">
          <cell r="G1521">
            <v>64091</v>
          </cell>
          <cell r="H1521">
            <v>64091</v>
          </cell>
          <cell r="I1521">
            <v>0.15</v>
          </cell>
          <cell r="J1521">
            <v>75402</v>
          </cell>
          <cell r="K1521">
            <v>0.14</v>
          </cell>
          <cell r="L1521">
            <v>74524</v>
          </cell>
        </row>
        <row r="1522">
          <cell r="C1522">
            <v>8010043768</v>
          </cell>
          <cell r="D1522" t="str">
            <v>90°对接三通(PE配件)SDR17(1.0MPa)黑色 dn75</v>
          </cell>
          <cell r="E1522" t="str">
            <v>HDPE Butt-Fusion 90° Tee (1.0MPa) SDR17 dn75 Black</v>
          </cell>
        </row>
        <row r="1522">
          <cell r="G1522">
            <v>45367</v>
          </cell>
          <cell r="H1522">
            <v>45367</v>
          </cell>
          <cell r="I1522">
            <v>0.15</v>
          </cell>
          <cell r="J1522">
            <v>53373</v>
          </cell>
          <cell r="K1522">
            <v>0.14</v>
          </cell>
          <cell r="L1522">
            <v>52752</v>
          </cell>
        </row>
        <row r="1523">
          <cell r="C1523">
            <v>8010042243</v>
          </cell>
          <cell r="D1523" t="str">
            <v>90°对接三通(PE配件)SDR17(1.0MPa)黑色 dn125</v>
          </cell>
          <cell r="E1523" t="str">
            <v>HDPE Butt-Fusion 90° Tee (1.0MPa) SDR17 dn125 Black</v>
          </cell>
        </row>
        <row r="1523">
          <cell r="G1523">
            <v>115867</v>
          </cell>
          <cell r="H1523">
            <v>115867</v>
          </cell>
          <cell r="I1523">
            <v>0.15</v>
          </cell>
          <cell r="J1523">
            <v>136315</v>
          </cell>
          <cell r="K1523">
            <v>0.14</v>
          </cell>
          <cell r="L1523">
            <v>134729</v>
          </cell>
        </row>
        <row r="1524">
          <cell r="C1524">
            <v>8010041620</v>
          </cell>
          <cell r="D1524" t="str">
            <v>90°对接三通(PE配件)SDR17(1.0MPa)黑色 dn180</v>
          </cell>
          <cell r="E1524" t="str">
            <v>HDPE Butt-Fusion 90° Tee (1.0MPa) SDR17 dn180 Black</v>
          </cell>
        </row>
        <row r="1524">
          <cell r="G1524">
            <v>251493</v>
          </cell>
          <cell r="H1524">
            <v>251493</v>
          </cell>
          <cell r="I1524">
            <v>0.15</v>
          </cell>
          <cell r="J1524">
            <v>295875</v>
          </cell>
          <cell r="K1524">
            <v>0.14</v>
          </cell>
          <cell r="L1524">
            <v>292434</v>
          </cell>
        </row>
        <row r="1525">
          <cell r="C1525">
            <v>8010040717</v>
          </cell>
          <cell r="D1525" t="str">
            <v>90°对接三通(PE配件)SDR17(1.0MPa)黑色 dn110</v>
          </cell>
          <cell r="E1525" t="str">
            <v>HDPE Butt-Fusion 90° Tee (1.0MPa) SDR17 dn110 Black</v>
          </cell>
        </row>
        <row r="1525">
          <cell r="G1525">
            <v>96534</v>
          </cell>
          <cell r="H1525">
            <v>96534</v>
          </cell>
          <cell r="I1525">
            <v>0.15</v>
          </cell>
          <cell r="J1525">
            <v>113570</v>
          </cell>
          <cell r="K1525">
            <v>0.14</v>
          </cell>
          <cell r="L1525">
            <v>112249</v>
          </cell>
        </row>
        <row r="1526">
          <cell r="C1526">
            <v>8010040718</v>
          </cell>
          <cell r="D1526" t="str">
            <v>90°对接三通(PE配件)SDR17(1.0MPa)黑色 dn160</v>
          </cell>
          <cell r="E1526" t="str">
            <v>HDPE Butt-Fusion 90° Tee (1.0MPa) SDR17 dn160 Black</v>
          </cell>
        </row>
        <row r="1526">
          <cell r="G1526">
            <v>209495</v>
          </cell>
          <cell r="H1526">
            <v>209495</v>
          </cell>
          <cell r="I1526">
            <v>0.15</v>
          </cell>
          <cell r="J1526">
            <v>246465</v>
          </cell>
          <cell r="K1526">
            <v>0.14</v>
          </cell>
          <cell r="L1526">
            <v>243599</v>
          </cell>
        </row>
        <row r="1527">
          <cell r="C1527">
            <v>8010040719</v>
          </cell>
          <cell r="D1527" t="str">
            <v>90°对接三通(PE配件)SDR17(1.0MPa)黑色 dn200</v>
          </cell>
          <cell r="E1527" t="str">
            <v>HDPE Butt-Fusion 90° Tee (1.0MPa) SDR17 dn200 Black</v>
          </cell>
        </row>
        <row r="1527">
          <cell r="G1527">
            <v>359241</v>
          </cell>
          <cell r="H1527">
            <v>359241</v>
          </cell>
          <cell r="I1527">
            <v>0.15</v>
          </cell>
          <cell r="J1527">
            <v>422637</v>
          </cell>
          <cell r="K1527">
            <v>0.14</v>
          </cell>
          <cell r="L1527">
            <v>417722</v>
          </cell>
        </row>
        <row r="1528">
          <cell r="C1528">
            <v>8010040720</v>
          </cell>
          <cell r="D1528" t="str">
            <v>90°对接三通(PE配件)SDR17(1.0MPa)黑色 dn225</v>
          </cell>
          <cell r="E1528" t="str">
            <v>HDPE Butt-Fusion 90° Tee (1.0MPa) SDR17 dn225 Black</v>
          </cell>
        </row>
        <row r="1528">
          <cell r="G1528">
            <v>558851</v>
          </cell>
          <cell r="H1528">
            <v>558851</v>
          </cell>
          <cell r="I1528">
            <v>0.15</v>
          </cell>
          <cell r="J1528">
            <v>657472</v>
          </cell>
          <cell r="K1528">
            <v>0.14</v>
          </cell>
          <cell r="L1528">
            <v>649827</v>
          </cell>
        </row>
        <row r="1529">
          <cell r="C1529">
            <v>8010040721</v>
          </cell>
          <cell r="D1529" t="str">
            <v>90°对接三通(PE配件)SDR17(1.0MPa)黑色 dn250</v>
          </cell>
          <cell r="E1529" t="str">
            <v>HDPE Butt-Fusion 90° Tee (1.0MPa) SDR17 dn250 Black</v>
          </cell>
        </row>
        <row r="1529">
          <cell r="G1529">
            <v>783054</v>
          </cell>
          <cell r="H1529">
            <v>783054</v>
          </cell>
          <cell r="I1529">
            <v>0.15</v>
          </cell>
          <cell r="J1529">
            <v>921240</v>
          </cell>
          <cell r="K1529">
            <v>0.14</v>
          </cell>
          <cell r="L1529">
            <v>910528</v>
          </cell>
        </row>
        <row r="1530">
          <cell r="C1530">
            <v>8010040722</v>
          </cell>
          <cell r="D1530" t="str">
            <v>90°对接三通(PE配件)SDR17(1.0MPa)黑色 dn280</v>
          </cell>
          <cell r="E1530" t="str">
            <v>HDPE Butt-Fusion 90° Tee (1.0MPa) SDR17 dn280 Black</v>
          </cell>
        </row>
        <row r="1530">
          <cell r="G1530">
            <v>1010497</v>
          </cell>
          <cell r="H1530">
            <v>1010497</v>
          </cell>
          <cell r="I1530">
            <v>0.15</v>
          </cell>
          <cell r="J1530">
            <v>1188820</v>
          </cell>
          <cell r="K1530">
            <v>0.14</v>
          </cell>
          <cell r="L1530">
            <v>1174997</v>
          </cell>
        </row>
        <row r="1531">
          <cell r="C1531">
            <v>8010040723</v>
          </cell>
          <cell r="D1531" t="str">
            <v>90°对接三通(PE配件)SDR17(1.0MPa)黑色 dn315</v>
          </cell>
          <cell r="E1531" t="str">
            <v>HDPE Butt-Fusion 90° Tee (1.0MPa) SDR17 dn315 Black</v>
          </cell>
        </row>
        <row r="1531">
          <cell r="G1531">
            <v>1553545</v>
          </cell>
          <cell r="H1531">
            <v>1553545</v>
          </cell>
          <cell r="I1531">
            <v>0.15</v>
          </cell>
          <cell r="J1531">
            <v>1827700</v>
          </cell>
          <cell r="K1531">
            <v>0.14</v>
          </cell>
          <cell r="L1531">
            <v>1806448</v>
          </cell>
        </row>
        <row r="1532">
          <cell r="C1532">
            <v>8010040724</v>
          </cell>
          <cell r="D1532" t="str">
            <v>90°对接三通(PE配件)SDR17(1.0MPa)黑色 dn355</v>
          </cell>
          <cell r="E1532" t="str">
            <v>HDPE Butt-Fusion 90° Tee (1.0MPa) SDR17 dn355 Black</v>
          </cell>
        </row>
        <row r="1532">
          <cell r="G1532">
            <v>1629886</v>
          </cell>
          <cell r="H1532">
            <v>1629886</v>
          </cell>
          <cell r="I1532">
            <v>0.15</v>
          </cell>
          <cell r="J1532">
            <v>1917513</v>
          </cell>
          <cell r="K1532">
            <v>0.14</v>
          </cell>
          <cell r="L1532">
            <v>1895216</v>
          </cell>
        </row>
        <row r="1533">
          <cell r="C1533">
            <v>8010044397</v>
          </cell>
          <cell r="D1533" t="str">
            <v>90°对接异径三通(PE配件)SDR17(1.0MPa)黑色 dn315X160</v>
          </cell>
          <cell r="E1533" t="str">
            <v>HDPE Butt-Fusion Reducing 90° Tee (1.0MPa) SDR17 dn315x160 Black</v>
          </cell>
        </row>
        <row r="1533">
          <cell r="G1533">
            <v>993544</v>
          </cell>
          <cell r="H1533">
            <v>993544</v>
          </cell>
          <cell r="I1533">
            <v>0.15</v>
          </cell>
          <cell r="J1533">
            <v>1168876</v>
          </cell>
          <cell r="K1533">
            <v>0.14</v>
          </cell>
          <cell r="L1533">
            <v>1155284</v>
          </cell>
        </row>
        <row r="1534">
          <cell r="C1534">
            <v>8010044398</v>
          </cell>
          <cell r="D1534" t="str">
            <v>90°对接异径三通(PE配件)SDR17(1.0MPa)黑色 dn315X110</v>
          </cell>
          <cell r="E1534" t="str">
            <v>HDPE Butt-Fusion Reducing 90° Tee (1.0MPa) SDR17 dn315x110 Black</v>
          </cell>
        </row>
        <row r="1534">
          <cell r="G1534">
            <v>982170</v>
          </cell>
          <cell r="H1534">
            <v>982170</v>
          </cell>
          <cell r="I1534">
            <v>0.15</v>
          </cell>
          <cell r="J1534">
            <v>1155495</v>
          </cell>
          <cell r="K1534">
            <v>0.14</v>
          </cell>
          <cell r="L1534">
            <v>1142058</v>
          </cell>
        </row>
        <row r="1535">
          <cell r="C1535">
            <v>8010044565</v>
          </cell>
          <cell r="D1535" t="str">
            <v>90°对接异径三通(PE配件)SDR17(1.0MPa)黑色 dn315X200</v>
          </cell>
          <cell r="E1535" t="str">
            <v>HDPE Butt-Fusion Reducing 90° Tee (1.0MPa) SDR17 dn315x200 Black</v>
          </cell>
        </row>
        <row r="1535">
          <cell r="G1535">
            <v>1171998</v>
          </cell>
          <cell r="H1535">
            <v>1171998</v>
          </cell>
          <cell r="I1535">
            <v>0.15</v>
          </cell>
          <cell r="J1535">
            <v>1378822</v>
          </cell>
          <cell r="K1535">
            <v>0.14</v>
          </cell>
          <cell r="L1535">
            <v>1362788</v>
          </cell>
        </row>
        <row r="1536">
          <cell r="C1536">
            <v>8010040814</v>
          </cell>
          <cell r="D1536" t="str">
            <v>90°对接异径三通(PE配件)SDR17(1.0MPa)黑色 dn250X110</v>
          </cell>
          <cell r="E1536" t="str">
            <v>HDPE Butt-Fusion Reducing 90° Tee (1.0MPa) SDR17 dn250x110 Black</v>
          </cell>
        </row>
        <row r="1536">
          <cell r="G1536">
            <v>571114</v>
          </cell>
          <cell r="H1536">
            <v>571114</v>
          </cell>
          <cell r="I1536">
            <v>0.15</v>
          </cell>
          <cell r="J1536">
            <v>671899</v>
          </cell>
          <cell r="K1536">
            <v>0.14</v>
          </cell>
          <cell r="L1536">
            <v>664086</v>
          </cell>
        </row>
        <row r="1537">
          <cell r="C1537">
            <v>8010040815</v>
          </cell>
          <cell r="D1537" t="str">
            <v>90°对接异径三通(PE配件)SDR17(1.0MPa)黑色 dn250X160</v>
          </cell>
          <cell r="E1537" t="str">
            <v>HDPE Butt-Fusion Reducing 90° Tee (1.0MPa) SDR17 dn250x160 Black</v>
          </cell>
        </row>
        <row r="1537">
          <cell r="G1537">
            <v>610359</v>
          </cell>
          <cell r="H1537">
            <v>610359</v>
          </cell>
          <cell r="I1537">
            <v>0.15</v>
          </cell>
          <cell r="J1537">
            <v>718070</v>
          </cell>
          <cell r="K1537">
            <v>0.14</v>
          </cell>
          <cell r="L1537">
            <v>709720</v>
          </cell>
        </row>
        <row r="1538">
          <cell r="C1538">
            <v>8010042269</v>
          </cell>
          <cell r="D1538" t="str">
            <v>90°对接异径三通(PE配件)SDR17(1.0MPa)黑色 dn110X90</v>
          </cell>
          <cell r="E1538" t="str">
            <v>HDPE Butt-Fusion Reducing 90° Tee (1.0MPa) SDR17 dn110x90 Black</v>
          </cell>
        </row>
        <row r="1538">
          <cell r="G1538">
            <v>83423</v>
          </cell>
          <cell r="H1538">
            <v>83423</v>
          </cell>
          <cell r="I1538">
            <v>0.15</v>
          </cell>
          <cell r="J1538">
            <v>98145</v>
          </cell>
          <cell r="K1538">
            <v>0.14</v>
          </cell>
          <cell r="L1538">
            <v>97003</v>
          </cell>
        </row>
        <row r="1539">
          <cell r="C1539">
            <v>8010042270</v>
          </cell>
          <cell r="D1539" t="str">
            <v>90°对接异径三通(PE配件)SDR17(1.0MPa)黑色 dn160X110</v>
          </cell>
          <cell r="E1539" t="str">
            <v>HDPE Butt-Fusion Reducing 90° Tee (1.0MPa) SDR17 dn160x110 Black</v>
          </cell>
        </row>
        <row r="1539">
          <cell r="G1539">
            <v>166566</v>
          </cell>
          <cell r="H1539">
            <v>166566</v>
          </cell>
          <cell r="I1539">
            <v>0.15</v>
          </cell>
          <cell r="J1539">
            <v>195960</v>
          </cell>
          <cell r="K1539">
            <v>0.14</v>
          </cell>
          <cell r="L1539">
            <v>193681</v>
          </cell>
        </row>
        <row r="1540">
          <cell r="C1540">
            <v>8010042271</v>
          </cell>
          <cell r="D1540" t="str">
            <v>90°对接异径三通(PE配件)SDR17(1.0MPa)黑色 dn160X63</v>
          </cell>
          <cell r="E1540" t="str">
            <v>HDPE Butt-Fusion Reducing 90° Tee (1.0MPa) SDR17 dn160x63 Black</v>
          </cell>
        </row>
        <row r="1540">
          <cell r="G1540">
            <v>153054</v>
          </cell>
          <cell r="H1540">
            <v>153054</v>
          </cell>
          <cell r="I1540">
            <v>0.15</v>
          </cell>
          <cell r="J1540">
            <v>180064</v>
          </cell>
          <cell r="K1540">
            <v>0.14</v>
          </cell>
          <cell r="L1540">
            <v>177970</v>
          </cell>
        </row>
        <row r="1541">
          <cell r="C1541">
            <v>8010042272</v>
          </cell>
          <cell r="D1541" t="str">
            <v>90°对接异径三通(PE配件)SDR17(1.0MPa)黑色 dn160X90</v>
          </cell>
          <cell r="E1541" t="str">
            <v>HDPE Butt-Fusion Reducing 90° Tee (1.0MPa) SDR17 dn160x90 Black</v>
          </cell>
        </row>
        <row r="1541">
          <cell r="G1541">
            <v>165029</v>
          </cell>
          <cell r="H1541">
            <v>165029</v>
          </cell>
          <cell r="I1541">
            <v>0.15</v>
          </cell>
          <cell r="J1541">
            <v>194152</v>
          </cell>
          <cell r="K1541">
            <v>0.14</v>
          </cell>
          <cell r="L1541">
            <v>191894</v>
          </cell>
        </row>
        <row r="1542">
          <cell r="C1542">
            <v>8010043037</v>
          </cell>
          <cell r="D1542" t="str">
            <v>90°对接异径三通(PE配件)SDR17(1.0MPa)黑色 dn200X90</v>
          </cell>
          <cell r="E1542" t="str">
            <v>HDPE Butt-Fusion Reducing 90° Tee (1.0MPa) SDR17 dn200x90 Black</v>
          </cell>
        </row>
        <row r="1542">
          <cell r="G1542">
            <v>265125</v>
          </cell>
          <cell r="H1542">
            <v>265125</v>
          </cell>
          <cell r="I1542">
            <v>0.15</v>
          </cell>
          <cell r="J1542">
            <v>311912</v>
          </cell>
          <cell r="K1542">
            <v>0.14</v>
          </cell>
          <cell r="L1542">
            <v>308285</v>
          </cell>
        </row>
        <row r="1543">
          <cell r="C1543">
            <v>8010040809</v>
          </cell>
          <cell r="D1543" t="str">
            <v>90°对接异径三通(PE配件)SDR17(1.0MPa)黑色 dn110X63</v>
          </cell>
          <cell r="E1543" t="str">
            <v>HDPE Butt-Fusion Reducing 90° Tee (1.0MPa) SDR17 dn110x63 Black</v>
          </cell>
        </row>
        <row r="1543">
          <cell r="G1543">
            <v>77950</v>
          </cell>
          <cell r="H1543">
            <v>77950</v>
          </cell>
          <cell r="I1543">
            <v>0.15</v>
          </cell>
          <cell r="J1543">
            <v>91706</v>
          </cell>
          <cell r="K1543">
            <v>0.14</v>
          </cell>
          <cell r="L1543">
            <v>90640</v>
          </cell>
        </row>
        <row r="1544">
          <cell r="C1544">
            <v>8010040810</v>
          </cell>
          <cell r="D1544" t="str">
            <v>90°对接异径三通(PE配件)SDR17(1.0MPa)黑色 dn110X75</v>
          </cell>
          <cell r="E1544" t="str">
            <v>HDPE Butt-Fusion Reducing 90° Tee (1.0MPa) SDR17 dn110x75 Black</v>
          </cell>
        </row>
        <row r="1544">
          <cell r="G1544">
            <v>80350</v>
          </cell>
          <cell r="H1544">
            <v>80350</v>
          </cell>
          <cell r="I1544">
            <v>0.15</v>
          </cell>
          <cell r="J1544">
            <v>94530</v>
          </cell>
          <cell r="K1544">
            <v>0.14</v>
          </cell>
          <cell r="L1544">
            <v>93430</v>
          </cell>
        </row>
        <row r="1545">
          <cell r="C1545">
            <v>8010040811</v>
          </cell>
          <cell r="D1545" t="str">
            <v>90°对接异径三通(PE配件)SDR17(1.0MPa)黑色 dn160X75</v>
          </cell>
          <cell r="E1545" t="str">
            <v>HDPE Butt-Fusion Reducing 90° Tee (1.0MPa) SDR17 dn160x75 Black</v>
          </cell>
        </row>
        <row r="1545">
          <cell r="G1545">
            <v>161414</v>
          </cell>
          <cell r="H1545">
            <v>161414</v>
          </cell>
          <cell r="I1545">
            <v>0.15</v>
          </cell>
          <cell r="J1545">
            <v>189899</v>
          </cell>
          <cell r="K1545">
            <v>0.14</v>
          </cell>
          <cell r="L1545">
            <v>187691</v>
          </cell>
        </row>
        <row r="1546">
          <cell r="C1546">
            <v>8010040812</v>
          </cell>
          <cell r="D1546" t="str">
            <v>90°对接异径三通(PE配件)SDR17(1.0MPa)黑色 dn200X110</v>
          </cell>
          <cell r="E1546" t="str">
            <v>HDPE Butt-Fusion Reducing 90° Tee (1.0MPa) SDR17 dn200x110 Black</v>
          </cell>
        </row>
        <row r="1546">
          <cell r="G1546">
            <v>253317</v>
          </cell>
          <cell r="H1546">
            <v>253317</v>
          </cell>
          <cell r="I1546">
            <v>0.15</v>
          </cell>
          <cell r="J1546">
            <v>298020</v>
          </cell>
          <cell r="K1546">
            <v>0.14</v>
          </cell>
          <cell r="L1546">
            <v>294555</v>
          </cell>
        </row>
        <row r="1547">
          <cell r="C1547">
            <v>8010040813</v>
          </cell>
          <cell r="D1547" t="str">
            <v>90°对接异径三通(PE配件)SDR17(1.0MPa)黑色 dn200X160</v>
          </cell>
          <cell r="E1547" t="str">
            <v>HDPE Butt-Fusion Reducing 90° Tee (1.0MPa) SDR17 dn200x160 Black</v>
          </cell>
        </row>
        <row r="1547">
          <cell r="G1547">
            <v>274554</v>
          </cell>
          <cell r="H1547">
            <v>274554</v>
          </cell>
          <cell r="I1547">
            <v>0.15</v>
          </cell>
          <cell r="J1547">
            <v>323005</v>
          </cell>
          <cell r="K1547">
            <v>0.14</v>
          </cell>
          <cell r="L1547">
            <v>319249</v>
          </cell>
        </row>
        <row r="1548">
          <cell r="C1548">
            <v>8010045432</v>
          </cell>
          <cell r="D1548" t="str">
            <v>90°对接异径三通(PE配件)SDR11(1.6MPa)黑色 dn250X225</v>
          </cell>
          <cell r="E1548" t="str">
            <v>HDPE Butt-Fusion Reducing 90° Tee (1.6MPa) SDR11 dn250x225 Black</v>
          </cell>
        </row>
        <row r="1548">
          <cell r="G1548">
            <v>722872</v>
          </cell>
          <cell r="H1548">
            <v>722872</v>
          </cell>
          <cell r="I1548">
            <v>0.15</v>
          </cell>
          <cell r="J1548">
            <v>850438</v>
          </cell>
          <cell r="K1548">
            <v>0.14</v>
          </cell>
          <cell r="L1548">
            <v>840549</v>
          </cell>
        </row>
        <row r="1549">
          <cell r="C1549">
            <v>8010046190</v>
          </cell>
          <cell r="D1549" t="str">
            <v>90°对接异径三通(PE配件)SDR11(1.6MPa)黑色 dn225×110</v>
          </cell>
          <cell r="E1549" t="str">
            <v>HDPE Butt-Fusion Reducing 90° Tee (1.6MPa) SDR11 dn225x110 Black</v>
          </cell>
        </row>
        <row r="1549">
          <cell r="G1549">
            <v>448197</v>
          </cell>
          <cell r="H1549">
            <v>448197</v>
          </cell>
          <cell r="I1549">
            <v>0.15</v>
          </cell>
          <cell r="J1549">
            <v>527291</v>
          </cell>
          <cell r="K1549">
            <v>0.14</v>
          </cell>
          <cell r="L1549">
            <v>521159</v>
          </cell>
        </row>
        <row r="1550">
          <cell r="C1550">
            <v>8010045523</v>
          </cell>
          <cell r="D1550" t="str">
            <v>90°对接异径三通(PE配件)SDR11(1.6MPa)黑色 dn225X160</v>
          </cell>
          <cell r="E1550" t="str">
            <v>HDPE Butt-Fusion Reducing 90° Tee (1.6MPa) SDR11 dn225x160 Black</v>
          </cell>
        </row>
        <row r="1550">
          <cell r="G1550">
            <v>475950</v>
          </cell>
          <cell r="H1550">
            <v>475950</v>
          </cell>
          <cell r="I1550">
            <v>0.15</v>
          </cell>
          <cell r="J1550">
            <v>559942</v>
          </cell>
          <cell r="K1550">
            <v>0.14</v>
          </cell>
          <cell r="L1550">
            <v>553430</v>
          </cell>
        </row>
        <row r="1551">
          <cell r="C1551">
            <v>8010045559</v>
          </cell>
          <cell r="D1551" t="str">
            <v>90°对接异径三通(PE配件)SDR11(1.6MPa)黑色 dn250X75</v>
          </cell>
          <cell r="E1551" t="str">
            <v>HDPE Butt-Fusion Reducing 90° Tee (1.6MPa) SDR11 dn250x75 Black</v>
          </cell>
        </row>
        <row r="1551">
          <cell r="G1551">
            <v>569363</v>
          </cell>
          <cell r="H1551">
            <v>569363</v>
          </cell>
          <cell r="I1551">
            <v>0.15</v>
          </cell>
          <cell r="J1551">
            <v>669839</v>
          </cell>
          <cell r="K1551">
            <v>0.14</v>
          </cell>
          <cell r="L1551">
            <v>662050</v>
          </cell>
        </row>
        <row r="1552">
          <cell r="C1552">
            <v>8010044907</v>
          </cell>
          <cell r="D1552" t="str">
            <v>90°对接异径三通(PE配件)SDR11(1.6MPa)黑色 dn315X180</v>
          </cell>
          <cell r="E1552" t="str">
            <v>HDPE Butt-Fusion Reducing 90° Tee (1.6MPa) SDR11 dn315x180 Black</v>
          </cell>
        </row>
        <row r="1552">
          <cell r="G1552">
            <v>1155325</v>
          </cell>
          <cell r="H1552">
            <v>1155325</v>
          </cell>
          <cell r="I1552">
            <v>0.15</v>
          </cell>
          <cell r="J1552">
            <v>1359206</v>
          </cell>
          <cell r="K1552">
            <v>0.14</v>
          </cell>
          <cell r="L1552">
            <v>1343401</v>
          </cell>
        </row>
        <row r="1553">
          <cell r="C1553">
            <v>8010044442</v>
          </cell>
          <cell r="D1553" t="str">
            <v>90°对接异径三通(PE配件)SDR11(1.6MPa)黑色 dn315X110</v>
          </cell>
          <cell r="E1553" t="str">
            <v>HDPE Butt-Fusion Reducing 90° Tee (1.6MPa) SDR11 dn315x110 Black</v>
          </cell>
        </row>
        <row r="1553">
          <cell r="G1553">
            <v>1009756</v>
          </cell>
          <cell r="H1553">
            <v>1009756</v>
          </cell>
          <cell r="I1553">
            <v>0.15</v>
          </cell>
          <cell r="J1553">
            <v>1187949</v>
          </cell>
          <cell r="K1553">
            <v>0.14</v>
          </cell>
          <cell r="L1553">
            <v>1174135</v>
          </cell>
        </row>
        <row r="1554">
          <cell r="C1554">
            <v>8010044443</v>
          </cell>
          <cell r="D1554" t="str">
            <v>90°对接异径三通(PE配件)SDR11(1.6MPa)黑色 dn315X160</v>
          </cell>
          <cell r="E1554" t="str">
            <v>HDPE Butt-Fusion Reducing 90° Tee (1.6MPa) SDR11 dn315x160 Black</v>
          </cell>
        </row>
        <row r="1554">
          <cell r="G1554">
            <v>1043148</v>
          </cell>
          <cell r="H1554">
            <v>1043148</v>
          </cell>
          <cell r="I1554">
            <v>0.15</v>
          </cell>
          <cell r="J1554">
            <v>1227233</v>
          </cell>
          <cell r="K1554">
            <v>0.14</v>
          </cell>
          <cell r="L1554">
            <v>1212963</v>
          </cell>
        </row>
        <row r="1555">
          <cell r="C1555">
            <v>8010044444</v>
          </cell>
          <cell r="D1555" t="str">
            <v>90°对接异径三通(PE配件)SDR11(1.6MPa)黑色 dn315X200</v>
          </cell>
          <cell r="E1555" t="str">
            <v>HDPE Butt-Fusion Reducing 90° Tee (1.6MPa) SDR11 dn315x200 Black</v>
          </cell>
        </row>
        <row r="1555">
          <cell r="G1555">
            <v>1213135</v>
          </cell>
          <cell r="H1555">
            <v>1213135</v>
          </cell>
          <cell r="I1555">
            <v>0.15</v>
          </cell>
          <cell r="J1555">
            <v>1427218</v>
          </cell>
          <cell r="K1555">
            <v>0.14</v>
          </cell>
          <cell r="L1555">
            <v>1410622</v>
          </cell>
        </row>
        <row r="1556">
          <cell r="C1556">
            <v>8010044445</v>
          </cell>
          <cell r="D1556" t="str">
            <v>90°对接异径三通(PE配件)SDR11(1.6MPa)黑色 dn315X250</v>
          </cell>
          <cell r="E1556" t="str">
            <v>HDPE Butt-Fusion Reducing 90° Tee (1.6MPa) SDR11 dn315x250 Black</v>
          </cell>
        </row>
        <row r="1556">
          <cell r="G1556">
            <v>1274908</v>
          </cell>
          <cell r="H1556">
            <v>1274908</v>
          </cell>
          <cell r="I1556">
            <v>0.15</v>
          </cell>
          <cell r="J1556">
            <v>1499892</v>
          </cell>
          <cell r="K1556">
            <v>0.14</v>
          </cell>
          <cell r="L1556">
            <v>1482451</v>
          </cell>
        </row>
        <row r="1557">
          <cell r="C1557">
            <v>8010044568</v>
          </cell>
          <cell r="D1557" t="str">
            <v>90°对接异径三通(PE配件)SDR11(1.6MPa)黑色 dn200X63</v>
          </cell>
          <cell r="E1557" t="str">
            <v>HDPE Butt-Fusion Reducing 90° Tee (1.6MPa) SDR11 dn200x63 Black</v>
          </cell>
        </row>
        <row r="1557">
          <cell r="G1557">
            <v>265065</v>
          </cell>
          <cell r="H1557">
            <v>265065</v>
          </cell>
          <cell r="I1557">
            <v>0.15</v>
          </cell>
          <cell r="J1557">
            <v>311842</v>
          </cell>
          <cell r="K1557">
            <v>0.14</v>
          </cell>
          <cell r="L1557">
            <v>308215</v>
          </cell>
        </row>
        <row r="1558">
          <cell r="C1558">
            <v>8010043379</v>
          </cell>
          <cell r="D1558" t="str">
            <v>90°对接异径三通(PE配件)SDR11(1.6MPa)黑色 dn90X75</v>
          </cell>
          <cell r="E1558" t="str">
            <v>HDPE Butt-Fusion Reducing 90° Tee (1.6MPa) SDR11 dn90x75 Black</v>
          </cell>
        </row>
        <row r="1558">
          <cell r="G1558">
            <v>58231</v>
          </cell>
          <cell r="H1558">
            <v>58231</v>
          </cell>
          <cell r="I1558">
            <v>0.15</v>
          </cell>
          <cell r="J1558">
            <v>68508</v>
          </cell>
          <cell r="K1558">
            <v>0.14</v>
          </cell>
          <cell r="L1558">
            <v>67710</v>
          </cell>
        </row>
        <row r="1559">
          <cell r="C1559">
            <v>8010044487</v>
          </cell>
          <cell r="D1559" t="str">
            <v>90°对接异径三通(PE配件)SDR11(1.6MPa)黑色 dn400X315</v>
          </cell>
          <cell r="E1559" t="str">
            <v>HDPE Butt-Fusion Reducing 90° Tee (1.6MPa) SDR11 dn400x315 Black</v>
          </cell>
        </row>
        <row r="1559">
          <cell r="G1559">
            <v>2530242</v>
          </cell>
          <cell r="H1559">
            <v>2530242</v>
          </cell>
          <cell r="I1559">
            <v>0.15</v>
          </cell>
          <cell r="J1559">
            <v>2976756</v>
          </cell>
          <cell r="K1559">
            <v>0.14</v>
          </cell>
          <cell r="L1559">
            <v>2942142</v>
          </cell>
        </row>
        <row r="1560">
          <cell r="C1560">
            <v>8010043357</v>
          </cell>
          <cell r="D1560" t="str">
            <v>90°对接异径三通(PE配件)SDR11(1.6MPa)黑色 dn90X63</v>
          </cell>
          <cell r="E1560" t="str">
            <v>HDPE Butt-Fusion Reducing 90° Tee (1.6MPa) SDR11 dn90x63 Black</v>
          </cell>
        </row>
        <row r="1560">
          <cell r="G1560">
            <v>51201</v>
          </cell>
          <cell r="H1560">
            <v>51201</v>
          </cell>
          <cell r="I1560">
            <v>0.15</v>
          </cell>
          <cell r="J1560">
            <v>60237</v>
          </cell>
          <cell r="K1560">
            <v>0.14</v>
          </cell>
          <cell r="L1560">
            <v>59536</v>
          </cell>
        </row>
        <row r="1561">
          <cell r="C1561">
            <v>8010042265</v>
          </cell>
          <cell r="D1561" t="str">
            <v>90°对接异径三通(PE配件)SDR11(1.6MPa)黑色 dn200X90</v>
          </cell>
          <cell r="E1561" t="str">
            <v>HDPE Butt-Fusion Reducing 90° Tee (1.6MPa) SDR11 dn200x90 Black</v>
          </cell>
        </row>
        <row r="1561">
          <cell r="G1561">
            <v>279339</v>
          </cell>
          <cell r="H1561">
            <v>279339</v>
          </cell>
          <cell r="I1561">
            <v>0.15</v>
          </cell>
          <cell r="J1561">
            <v>328635</v>
          </cell>
          <cell r="K1561">
            <v>0.14</v>
          </cell>
          <cell r="L1561">
            <v>324813</v>
          </cell>
        </row>
        <row r="1562">
          <cell r="C1562">
            <v>8010042747</v>
          </cell>
          <cell r="D1562" t="str">
            <v>90°对接异径三通(PE配件)SDR11(1.6MPa)黑色 dn250X200</v>
          </cell>
          <cell r="E1562" t="str">
            <v>HDPE Butt-Fusion Reducing 90° Tee (1.6MPa) SDR11 dn250x200 Black</v>
          </cell>
        </row>
        <row r="1562">
          <cell r="G1562">
            <v>716824</v>
          </cell>
          <cell r="H1562">
            <v>716824</v>
          </cell>
          <cell r="I1562">
            <v>0.15</v>
          </cell>
          <cell r="J1562">
            <v>843323</v>
          </cell>
          <cell r="K1562">
            <v>0.14</v>
          </cell>
          <cell r="L1562">
            <v>833516</v>
          </cell>
        </row>
        <row r="1563">
          <cell r="C1563">
            <v>8010042984</v>
          </cell>
          <cell r="D1563" t="str">
            <v>90°对接异径三通(PE配件)SDR11(1.6MPa)黑色 dn250X63</v>
          </cell>
          <cell r="E1563" t="str">
            <v>HDPE Butt-Fusion Reducing 90° Tee (1.6MPa) SDR11 dn250x63 Black</v>
          </cell>
        </row>
        <row r="1563">
          <cell r="G1563">
            <v>525326</v>
          </cell>
          <cell r="H1563">
            <v>525326</v>
          </cell>
          <cell r="I1563">
            <v>0.15</v>
          </cell>
          <cell r="J1563">
            <v>618031</v>
          </cell>
          <cell r="K1563">
            <v>0.14</v>
          </cell>
          <cell r="L1563">
            <v>610844</v>
          </cell>
        </row>
        <row r="1564">
          <cell r="C1564">
            <v>8010040789</v>
          </cell>
          <cell r="D1564" t="str">
            <v>90°对接异径三通(PE配件)SDR11(1.6MPa)黑色 dn110X63</v>
          </cell>
          <cell r="E1564" t="str">
            <v>HDPE Butt-Fusion Reducing 90° Tee (1.6MPa) SDR11 dn110x63 Black</v>
          </cell>
        </row>
        <row r="1564">
          <cell r="G1564">
            <v>81546</v>
          </cell>
          <cell r="H1564">
            <v>81546</v>
          </cell>
          <cell r="I1564">
            <v>0.15</v>
          </cell>
          <cell r="J1564">
            <v>95937</v>
          </cell>
          <cell r="K1564">
            <v>0.14</v>
          </cell>
          <cell r="L1564">
            <v>94821</v>
          </cell>
        </row>
        <row r="1565">
          <cell r="C1565">
            <v>8010040790</v>
          </cell>
          <cell r="D1565" t="str">
            <v>90°对接异径三通(PE配件)SDR11(1.6MPa)黑色 dn110X75</v>
          </cell>
          <cell r="E1565" t="str">
            <v>HDPE Butt-Fusion Reducing 90° Tee (1.6MPa) SDR11 dn110x75 Black</v>
          </cell>
        </row>
        <row r="1565">
          <cell r="G1565">
            <v>83423</v>
          </cell>
          <cell r="H1565">
            <v>83423</v>
          </cell>
          <cell r="I1565">
            <v>0.15</v>
          </cell>
          <cell r="J1565">
            <v>98145</v>
          </cell>
          <cell r="K1565">
            <v>0.14</v>
          </cell>
          <cell r="L1565">
            <v>97003</v>
          </cell>
        </row>
        <row r="1566">
          <cell r="C1566">
            <v>8010040791</v>
          </cell>
          <cell r="D1566" t="str">
            <v>90°对接异径三通(PE配件)SDR11(1.6MPa)黑色 dn110X90</v>
          </cell>
          <cell r="E1566" t="str">
            <v>HDPE Butt-Fusion Reducing 90° Tee (1.6MPa) SDR11 dn110x90 Black</v>
          </cell>
        </row>
        <row r="1566">
          <cell r="G1566">
            <v>87814</v>
          </cell>
          <cell r="H1566">
            <v>87814</v>
          </cell>
          <cell r="I1566">
            <v>0.15</v>
          </cell>
          <cell r="J1566">
            <v>103311</v>
          </cell>
          <cell r="K1566">
            <v>0.14</v>
          </cell>
          <cell r="L1566">
            <v>102109</v>
          </cell>
        </row>
        <row r="1567">
          <cell r="C1567">
            <v>8010040792</v>
          </cell>
          <cell r="D1567" t="str">
            <v>90°对接异径三通(PE配件)SDR11(1.6MPa)黑色 dn125X110</v>
          </cell>
          <cell r="E1567" t="str">
            <v>HDPE Butt-Fusion Reducing 90° Tee (1.6MPa) SDR11 dn125x110 Black</v>
          </cell>
        </row>
        <row r="1567">
          <cell r="G1567">
            <v>147014</v>
          </cell>
          <cell r="H1567">
            <v>147014</v>
          </cell>
          <cell r="I1567">
            <v>0.15</v>
          </cell>
          <cell r="J1567">
            <v>172958</v>
          </cell>
          <cell r="K1567">
            <v>0.14</v>
          </cell>
          <cell r="L1567">
            <v>170947</v>
          </cell>
        </row>
        <row r="1568">
          <cell r="C1568">
            <v>8010040793</v>
          </cell>
          <cell r="D1568" t="str">
            <v>90°对接异径三通(PE配件)SDR11(1.6MPa)黑色 dn160X110</v>
          </cell>
          <cell r="E1568" t="str">
            <v>HDPE Butt-Fusion Reducing 90° Tee (1.6MPa) SDR11 dn160x110 Black</v>
          </cell>
        </row>
        <row r="1568">
          <cell r="G1568">
            <v>171571</v>
          </cell>
          <cell r="H1568">
            <v>171571</v>
          </cell>
          <cell r="I1568">
            <v>0.15</v>
          </cell>
          <cell r="J1568">
            <v>201849</v>
          </cell>
          <cell r="K1568">
            <v>0.14</v>
          </cell>
          <cell r="L1568">
            <v>199501</v>
          </cell>
        </row>
        <row r="1569">
          <cell r="C1569">
            <v>8010040794</v>
          </cell>
          <cell r="D1569" t="str">
            <v>90°对接异径三通(PE配件)SDR11(1.6MPa)黑色 dn160X63</v>
          </cell>
          <cell r="E1569" t="str">
            <v>HDPE Butt-Fusion Reducing 90° Tee (1.6MPa) SDR11 dn160x63 Black</v>
          </cell>
        </row>
        <row r="1569">
          <cell r="G1569">
            <v>156810</v>
          </cell>
          <cell r="H1569">
            <v>156810</v>
          </cell>
          <cell r="I1569">
            <v>0.15</v>
          </cell>
          <cell r="J1569">
            <v>184483</v>
          </cell>
          <cell r="K1569">
            <v>0.14</v>
          </cell>
          <cell r="L1569">
            <v>182337</v>
          </cell>
        </row>
        <row r="1570">
          <cell r="C1570">
            <v>8010040795</v>
          </cell>
          <cell r="D1570" t="str">
            <v>90°对接异径三通(PE配件)SDR11(1.6MPa)黑色 dn160X75</v>
          </cell>
          <cell r="E1570" t="str">
            <v>HDPE Butt-Fusion Reducing 90° Tee (1.6MPa) SDR11 dn160x75 Black</v>
          </cell>
        </row>
        <row r="1570">
          <cell r="G1570">
            <v>165216</v>
          </cell>
          <cell r="H1570">
            <v>165216</v>
          </cell>
          <cell r="I1570">
            <v>0.15</v>
          </cell>
          <cell r="J1570">
            <v>194372</v>
          </cell>
          <cell r="K1570">
            <v>0.14</v>
          </cell>
          <cell r="L1570">
            <v>192112</v>
          </cell>
        </row>
        <row r="1571">
          <cell r="C1571">
            <v>8010040796</v>
          </cell>
          <cell r="D1571" t="str">
            <v>90°对接异径三通(PE配件)SDR11(1.6MPa)黑色 dn160X90</v>
          </cell>
          <cell r="E1571" t="str">
            <v>HDPE Butt-Fusion Reducing 90° Tee (1.6MPa) SDR11 dn160x90 Black</v>
          </cell>
        </row>
        <row r="1571">
          <cell r="G1571">
            <v>169400</v>
          </cell>
          <cell r="H1571">
            <v>169400</v>
          </cell>
          <cell r="I1571">
            <v>0.15</v>
          </cell>
          <cell r="J1571">
            <v>199295</v>
          </cell>
          <cell r="K1571">
            <v>0.14</v>
          </cell>
          <cell r="L1571">
            <v>196977</v>
          </cell>
        </row>
        <row r="1572">
          <cell r="C1572">
            <v>8010040797</v>
          </cell>
          <cell r="D1572" t="str">
            <v>90°对接异径三通(PE配件)SDR11(1.6MPa)黑色 dn200X110</v>
          </cell>
          <cell r="E1572" t="str">
            <v>HDPE Butt-Fusion Reducing 90° Tee (1.6MPa) SDR11 dn200x110 Black</v>
          </cell>
        </row>
        <row r="1572">
          <cell r="G1572">
            <v>276826</v>
          </cell>
          <cell r="H1572">
            <v>276826</v>
          </cell>
          <cell r="I1572">
            <v>0.15</v>
          </cell>
          <cell r="J1572">
            <v>325678</v>
          </cell>
          <cell r="K1572">
            <v>0.14</v>
          </cell>
          <cell r="L1572">
            <v>321891</v>
          </cell>
        </row>
        <row r="1573">
          <cell r="C1573">
            <v>8010040798</v>
          </cell>
          <cell r="D1573" t="str">
            <v>90°对接异径三通(PE配件)SDR11(1.6MPa)黑色 dn200X160</v>
          </cell>
          <cell r="E1573" t="str">
            <v>HDPE Butt-Fusion Reducing 90° Tee (1.6MPa) SDR11 dn200x160 Black</v>
          </cell>
        </row>
        <row r="1573">
          <cell r="G1573">
            <v>358151</v>
          </cell>
          <cell r="H1573">
            <v>358151</v>
          </cell>
          <cell r="I1573">
            <v>0.15</v>
          </cell>
          <cell r="J1573">
            <v>421355</v>
          </cell>
          <cell r="K1573">
            <v>0.14</v>
          </cell>
          <cell r="L1573">
            <v>416455</v>
          </cell>
        </row>
        <row r="1574">
          <cell r="C1574">
            <v>8010040799</v>
          </cell>
          <cell r="D1574" t="str">
            <v>90°对接异径三通(PE配件)SDR11(1.6MPa)黑色 dn250X110</v>
          </cell>
          <cell r="E1574" t="str">
            <v>HDPE Butt-Fusion Reducing 90° Tee (1.6MPa) SDR11 dn250x110 Black</v>
          </cell>
        </row>
        <row r="1574">
          <cell r="G1574">
            <v>669352</v>
          </cell>
          <cell r="H1574">
            <v>669352</v>
          </cell>
          <cell r="I1574">
            <v>0.15</v>
          </cell>
          <cell r="J1574">
            <v>787473</v>
          </cell>
          <cell r="K1574">
            <v>0.14</v>
          </cell>
          <cell r="L1574">
            <v>778316</v>
          </cell>
        </row>
        <row r="1575">
          <cell r="C1575">
            <v>8010040800</v>
          </cell>
          <cell r="D1575" t="str">
            <v>90°对接异径三通(PE配件)SDR11(1.6MPa)黑色 dn250X160</v>
          </cell>
          <cell r="E1575" t="str">
            <v>HDPE Butt-Fusion Reducing 90° Tee (1.6MPa) SDR11 dn250x160 Black</v>
          </cell>
        </row>
        <row r="1575">
          <cell r="G1575">
            <v>702304</v>
          </cell>
          <cell r="H1575">
            <v>702304</v>
          </cell>
          <cell r="I1575">
            <v>0.15</v>
          </cell>
          <cell r="J1575">
            <v>826240</v>
          </cell>
          <cell r="K1575">
            <v>0.14</v>
          </cell>
          <cell r="L1575">
            <v>816633</v>
          </cell>
        </row>
        <row r="1576">
          <cell r="C1576">
            <v>8010044505</v>
          </cell>
          <cell r="D1576" t="str">
            <v>对接法兰套(PE配件)SDR17(1.0MPa)黑色 dn50</v>
          </cell>
          <cell r="E1576" t="str">
            <v>HDPE Butt-Fusion Stub Flange (1.0MPa) SDR17 dn50 Black</v>
          </cell>
        </row>
        <row r="1576">
          <cell r="G1576">
            <v>21812</v>
          </cell>
          <cell r="H1576">
            <v>21812</v>
          </cell>
          <cell r="I1576">
            <v>0.15</v>
          </cell>
          <cell r="J1576">
            <v>25662</v>
          </cell>
          <cell r="K1576">
            <v>0.14</v>
          </cell>
          <cell r="L1576">
            <v>25363</v>
          </cell>
        </row>
        <row r="1577">
          <cell r="C1577">
            <v>8010041552</v>
          </cell>
          <cell r="D1577" t="str">
            <v>对接法兰套(PE配件)SDR17(1.0MPa)黑色 dn90</v>
          </cell>
          <cell r="E1577" t="str">
            <v>HDPE Butt-Fusion Stub Flange (1.0MPa) SDR17 dn90 Black</v>
          </cell>
        </row>
        <row r="1577">
          <cell r="G1577">
            <v>31206</v>
          </cell>
          <cell r="H1577">
            <v>31206</v>
          </cell>
          <cell r="I1577">
            <v>0.15</v>
          </cell>
          <cell r="J1577">
            <v>36713</v>
          </cell>
          <cell r="K1577">
            <v>0.14</v>
          </cell>
          <cell r="L1577">
            <v>36286</v>
          </cell>
        </row>
        <row r="1578">
          <cell r="C1578">
            <v>8010042208</v>
          </cell>
          <cell r="D1578" t="str">
            <v>对接法兰套(PE配件)SDR17(1.0MPa)黑色 dn125</v>
          </cell>
          <cell r="E1578" t="str">
            <v>HDPE Butt-Fusion Stub Flange (1.0MPa) SDR17 dn125 Black</v>
          </cell>
        </row>
        <row r="1578">
          <cell r="G1578">
            <v>53705</v>
          </cell>
          <cell r="H1578">
            <v>53705</v>
          </cell>
          <cell r="I1578">
            <v>0.15</v>
          </cell>
          <cell r="J1578">
            <v>63183</v>
          </cell>
          <cell r="K1578">
            <v>0.14</v>
          </cell>
          <cell r="L1578">
            <v>62448</v>
          </cell>
        </row>
        <row r="1579">
          <cell r="C1579">
            <v>8010042209</v>
          </cell>
          <cell r="D1579" t="str">
            <v>对接法兰套(PE配件)SDR17(1.0MPa)黑色 dn180</v>
          </cell>
          <cell r="E1579" t="str">
            <v>HDPE Butt-Fusion Stub Flange (1.0MPa) SDR17 dn180 Black</v>
          </cell>
        </row>
        <row r="1579">
          <cell r="G1579">
            <v>117952</v>
          </cell>
          <cell r="H1579">
            <v>117952</v>
          </cell>
          <cell r="I1579">
            <v>0.15</v>
          </cell>
          <cell r="J1579">
            <v>138768</v>
          </cell>
          <cell r="K1579">
            <v>0.14</v>
          </cell>
          <cell r="L1579">
            <v>137153</v>
          </cell>
        </row>
        <row r="1580">
          <cell r="C1580">
            <v>8010042213</v>
          </cell>
          <cell r="D1580" t="str">
            <v>对接法兰套(PE配件)SDR17(1.0MPa)黑色 dn63</v>
          </cell>
          <cell r="E1580" t="str">
            <v>HDPE Butt-Fusion Stub Flange (1.0MPa) SDR17 dn63 Black</v>
          </cell>
        </row>
        <row r="1580">
          <cell r="G1580">
            <v>18768</v>
          </cell>
          <cell r="H1580">
            <v>18768</v>
          </cell>
          <cell r="I1580">
            <v>0.15</v>
          </cell>
          <cell r="J1580">
            <v>22080</v>
          </cell>
          <cell r="K1580">
            <v>0.14</v>
          </cell>
          <cell r="L1580">
            <v>21823</v>
          </cell>
        </row>
        <row r="1581">
          <cell r="C1581">
            <v>8010040659</v>
          </cell>
          <cell r="D1581" t="str">
            <v>对接法兰套(PE配件)SDR17(1.0MPa)黑色 dn630</v>
          </cell>
          <cell r="E1581" t="str">
            <v>HDPE Butt-Fusion Stub Flange (1.0MPa) SDR17 dn630 Black</v>
          </cell>
        </row>
        <row r="1581">
          <cell r="G1581">
            <v>1645769</v>
          </cell>
          <cell r="H1581">
            <v>1645769</v>
          </cell>
          <cell r="I1581">
            <v>0.15</v>
          </cell>
          <cell r="J1581">
            <v>1936199</v>
          </cell>
          <cell r="K1581">
            <v>0.14</v>
          </cell>
          <cell r="L1581">
            <v>1913685</v>
          </cell>
        </row>
        <row r="1582">
          <cell r="C1582">
            <v>8010040595</v>
          </cell>
          <cell r="D1582" t="str">
            <v>对接法兰套(PE配件)SDR17(1.0MPa)黑色 dn110</v>
          </cell>
          <cell r="E1582" t="str">
            <v>HDPE Butt-Fusion Stub Flange (1.0MPa) SDR17 dn110 Black</v>
          </cell>
        </row>
        <row r="1582">
          <cell r="G1582">
            <v>46491</v>
          </cell>
          <cell r="H1582">
            <v>46491</v>
          </cell>
          <cell r="I1582">
            <v>0.15</v>
          </cell>
          <cell r="J1582">
            <v>54696</v>
          </cell>
          <cell r="K1582">
            <v>0.14</v>
          </cell>
          <cell r="L1582">
            <v>54059</v>
          </cell>
        </row>
        <row r="1583">
          <cell r="C1583">
            <v>8010040597</v>
          </cell>
          <cell r="D1583" t="str">
            <v>对接法兰套(PE配件)SDR17(1.0MPa)黑色 dn160</v>
          </cell>
          <cell r="E1583" t="str">
            <v>HDPE Butt-Fusion Stub Flange (1.0MPa) SDR17 dn160 Black</v>
          </cell>
        </row>
        <row r="1583">
          <cell r="G1583">
            <v>94641</v>
          </cell>
          <cell r="H1583">
            <v>94641</v>
          </cell>
          <cell r="I1583">
            <v>0.15</v>
          </cell>
          <cell r="J1583">
            <v>111343</v>
          </cell>
          <cell r="K1583">
            <v>0.14</v>
          </cell>
          <cell r="L1583">
            <v>110048</v>
          </cell>
        </row>
        <row r="1584">
          <cell r="C1584">
            <v>8010040598</v>
          </cell>
          <cell r="D1584" t="str">
            <v>对接法兰套(PE配件)SDR17(1.0MPa)黑色 dn200</v>
          </cell>
          <cell r="E1584" t="str">
            <v>HDPE Butt-Fusion Stub Flange (1.0MPa) SDR17 dn200 Black</v>
          </cell>
        </row>
        <row r="1584">
          <cell r="G1584">
            <v>136720</v>
          </cell>
          <cell r="H1584">
            <v>136720</v>
          </cell>
          <cell r="I1584">
            <v>0.15</v>
          </cell>
          <cell r="J1584">
            <v>160848</v>
          </cell>
          <cell r="K1584">
            <v>0.14</v>
          </cell>
          <cell r="L1584">
            <v>158977</v>
          </cell>
        </row>
        <row r="1585">
          <cell r="C1585">
            <v>8010040599</v>
          </cell>
          <cell r="D1585" t="str">
            <v>对接法兰套(PE配件)SDR17(1.0MPa)黑色 dn225</v>
          </cell>
          <cell r="E1585" t="str">
            <v>HDPE Butt-Fusion Stub Flange (1.0MPa) SDR17 dn225 Black</v>
          </cell>
        </row>
        <row r="1585">
          <cell r="G1585">
            <v>190770</v>
          </cell>
          <cell r="H1585">
            <v>190770</v>
          </cell>
          <cell r="I1585">
            <v>0.15</v>
          </cell>
          <cell r="J1585">
            <v>224436</v>
          </cell>
          <cell r="K1585">
            <v>0.14</v>
          </cell>
          <cell r="L1585">
            <v>221826</v>
          </cell>
        </row>
        <row r="1586">
          <cell r="C1586">
            <v>8010040600</v>
          </cell>
          <cell r="D1586" t="str">
            <v>对接法兰套(PE配件)SDR17(1.0MPa)黑色 dn250</v>
          </cell>
          <cell r="E1586" t="str">
            <v>HDPE Butt-Fusion Stub Flange (1.0MPa) SDR17 dn250 Black</v>
          </cell>
        </row>
        <row r="1586">
          <cell r="G1586">
            <v>175505</v>
          </cell>
          <cell r="H1586">
            <v>175505</v>
          </cell>
          <cell r="I1586">
            <v>0.15</v>
          </cell>
          <cell r="J1586">
            <v>206477</v>
          </cell>
          <cell r="K1586">
            <v>0.14</v>
          </cell>
          <cell r="L1586">
            <v>204076</v>
          </cell>
        </row>
        <row r="1587">
          <cell r="C1587">
            <v>8010040601</v>
          </cell>
          <cell r="D1587" t="str">
            <v>对接法兰套(PE配件)SDR17(1.0MPa)黑色 dn280</v>
          </cell>
          <cell r="E1587" t="str">
            <v>HDPE Butt-Fusion Stub Flange (1.0MPa) SDR17 dn280 Black</v>
          </cell>
        </row>
        <row r="1587">
          <cell r="G1587">
            <v>245259</v>
          </cell>
          <cell r="H1587">
            <v>245259</v>
          </cell>
          <cell r="I1587">
            <v>0.15</v>
          </cell>
          <cell r="J1587">
            <v>288540</v>
          </cell>
          <cell r="K1587">
            <v>0.14</v>
          </cell>
          <cell r="L1587">
            <v>285185</v>
          </cell>
        </row>
        <row r="1588">
          <cell r="C1588">
            <v>8010040603</v>
          </cell>
          <cell r="D1588" t="str">
            <v>对接法兰套(PE配件)SDR17(1.0MPa)黑色 dn75</v>
          </cell>
          <cell r="E1588" t="str">
            <v>HDPE Butt-Fusion Stub Flange (1.0MPa) SDR17 dn75 Black</v>
          </cell>
        </row>
        <row r="1588">
          <cell r="G1588">
            <v>32320</v>
          </cell>
          <cell r="H1588">
            <v>32320</v>
          </cell>
          <cell r="I1588">
            <v>0.15</v>
          </cell>
          <cell r="J1588">
            <v>38024</v>
          </cell>
          <cell r="K1588">
            <v>0.14</v>
          </cell>
          <cell r="L1588">
            <v>37581</v>
          </cell>
        </row>
        <row r="1589">
          <cell r="C1589">
            <v>8010040657</v>
          </cell>
          <cell r="D1589" t="str">
            <v>对接法兰套(PE配件)SDR17(1.0MPa)黑色 dn500</v>
          </cell>
          <cell r="E1589" t="str">
            <v>HDPE Butt-Fusion Stub Flange (1.0MPa) SDR17 dn500 Black</v>
          </cell>
        </row>
        <row r="1589">
          <cell r="G1589">
            <v>1263986</v>
          </cell>
          <cell r="H1589">
            <v>1263986</v>
          </cell>
          <cell r="I1589">
            <v>0.15</v>
          </cell>
          <cell r="J1589">
            <v>1487043</v>
          </cell>
          <cell r="K1589">
            <v>0.14</v>
          </cell>
          <cell r="L1589">
            <v>1469751</v>
          </cell>
        </row>
        <row r="1590">
          <cell r="C1590">
            <v>8010040658</v>
          </cell>
          <cell r="D1590" t="str">
            <v>对接法兰套(PE配件)SDR17(1.0MPa)黑色 dn560</v>
          </cell>
          <cell r="E1590" t="str">
            <v>HDPE Butt-Fusion Stub Flange (1.0MPa) SDR17 dn560 Black</v>
          </cell>
        </row>
        <row r="1590">
          <cell r="G1590">
            <v>1684900</v>
          </cell>
          <cell r="H1590">
            <v>1684900</v>
          </cell>
          <cell r="I1590">
            <v>0.15</v>
          </cell>
          <cell r="J1590">
            <v>1982236</v>
          </cell>
          <cell r="K1590">
            <v>0.14</v>
          </cell>
          <cell r="L1590">
            <v>1959186</v>
          </cell>
        </row>
        <row r="1591">
          <cell r="C1591">
            <v>8010040656</v>
          </cell>
          <cell r="D1591" t="str">
            <v>对接法兰套(PE配件)SDR17(1.0MPa)黑色 dn450</v>
          </cell>
          <cell r="E1591" t="str">
            <v>HDPE Butt-Fusion Stub Flange (1.0MPa) SDR17 dn450 Black</v>
          </cell>
        </row>
        <row r="1591">
          <cell r="G1591">
            <v>810418</v>
          </cell>
          <cell r="H1591">
            <v>810418</v>
          </cell>
          <cell r="I1591">
            <v>0.15</v>
          </cell>
          <cell r="J1591">
            <v>953433</v>
          </cell>
          <cell r="K1591">
            <v>0.14</v>
          </cell>
          <cell r="L1591">
            <v>942347</v>
          </cell>
        </row>
        <row r="1592">
          <cell r="C1592">
            <v>8010040655</v>
          </cell>
          <cell r="D1592" t="str">
            <v>对接法兰套(PE配件)SDR17(1.0MPa)黑色 dn400</v>
          </cell>
          <cell r="E1592" t="str">
            <v>HDPE Butt-Fusion Stub Flange (1.0MPa) SDR17 dn400 Black</v>
          </cell>
        </row>
        <row r="1592">
          <cell r="G1592">
            <v>517232</v>
          </cell>
          <cell r="H1592">
            <v>517232</v>
          </cell>
          <cell r="I1592">
            <v>0.15</v>
          </cell>
          <cell r="J1592">
            <v>608509</v>
          </cell>
          <cell r="K1592">
            <v>0.14</v>
          </cell>
          <cell r="L1592">
            <v>601433</v>
          </cell>
        </row>
        <row r="1593">
          <cell r="C1593">
            <v>8010040654</v>
          </cell>
          <cell r="D1593" t="str">
            <v>对接法兰套(PE配件)SDR17(1.0MPa)黑色 dn355</v>
          </cell>
          <cell r="E1593" t="str">
            <v>HDPE Butt-Fusion Stub Flange (1.0MPa) SDR17 dn355 Black</v>
          </cell>
        </row>
        <row r="1593">
          <cell r="G1593">
            <v>526779</v>
          </cell>
          <cell r="H1593">
            <v>526779</v>
          </cell>
          <cell r="I1593">
            <v>0.15</v>
          </cell>
          <cell r="J1593">
            <v>619740</v>
          </cell>
          <cell r="K1593">
            <v>0.14</v>
          </cell>
          <cell r="L1593">
            <v>612534</v>
          </cell>
        </row>
        <row r="1594">
          <cell r="C1594">
            <v>8010040653</v>
          </cell>
          <cell r="D1594" t="str">
            <v>对接法兰套(PE配件)SDR17(1.0MPa)黑色 dn315</v>
          </cell>
          <cell r="E1594" t="str">
            <v>HDPE Butt-Fusion Stub Flange (1.0MPa) SDR17 dn315 Black</v>
          </cell>
        </row>
        <row r="1594">
          <cell r="G1594">
            <v>315377</v>
          </cell>
          <cell r="H1594">
            <v>315377</v>
          </cell>
          <cell r="I1594">
            <v>0.15</v>
          </cell>
          <cell r="J1594">
            <v>371032</v>
          </cell>
          <cell r="K1594">
            <v>0.14</v>
          </cell>
          <cell r="L1594">
            <v>366717</v>
          </cell>
        </row>
        <row r="1595">
          <cell r="C1595">
            <v>8010041626</v>
          </cell>
          <cell r="D1595" t="str">
            <v>对接法兰套(PE配件)SDR11(1.6MPa)黑色 dn560</v>
          </cell>
          <cell r="E1595" t="str">
            <v>HDPE Butt-Fusion Stub Flange (1.6MPa) SDR11 dn560 Black</v>
          </cell>
        </row>
        <row r="1595">
          <cell r="G1595">
            <v>2204643</v>
          </cell>
          <cell r="H1595">
            <v>2204643</v>
          </cell>
          <cell r="I1595">
            <v>0.15</v>
          </cell>
          <cell r="J1595">
            <v>2593698</v>
          </cell>
          <cell r="K1595">
            <v>0.14</v>
          </cell>
          <cell r="L1595">
            <v>2563538</v>
          </cell>
        </row>
        <row r="1596">
          <cell r="C1596">
            <v>8010043479</v>
          </cell>
          <cell r="D1596" t="str">
            <v>对接法兰套(PE配件)SDR11(1.6MPa)黑色 dn140</v>
          </cell>
          <cell r="E1596" t="str">
            <v>HDPE Butt-Fusion Stub Flange (1.6MPa) SDR11 dn140 Black</v>
          </cell>
        </row>
        <row r="1596">
          <cell r="G1596">
            <v>65570</v>
          </cell>
          <cell r="H1596">
            <v>65570</v>
          </cell>
          <cell r="I1596">
            <v>0.15</v>
          </cell>
          <cell r="J1596">
            <v>77142</v>
          </cell>
          <cell r="K1596">
            <v>0.14</v>
          </cell>
          <cell r="L1596">
            <v>76244</v>
          </cell>
        </row>
        <row r="1597">
          <cell r="C1597">
            <v>8010042202</v>
          </cell>
          <cell r="D1597" t="str">
            <v>对接法兰套(PE配件)SDR11(1.6MPa)黑色 dn630</v>
          </cell>
          <cell r="E1597" t="str">
            <v>HDPE Butt-Fusion Stub Flange (1.6MPa) SDR11 dn630 Black</v>
          </cell>
        </row>
        <row r="1597">
          <cell r="G1597">
            <v>1560207</v>
          </cell>
          <cell r="H1597">
            <v>1560207</v>
          </cell>
          <cell r="I1597">
            <v>0.15</v>
          </cell>
          <cell r="J1597">
            <v>1835538</v>
          </cell>
          <cell r="K1597">
            <v>0.14</v>
          </cell>
          <cell r="L1597">
            <v>1814194</v>
          </cell>
        </row>
        <row r="1598">
          <cell r="C1598">
            <v>8010042967</v>
          </cell>
          <cell r="D1598" t="str">
            <v>对接法兰套(PE配件)SDR11(1.6MPa)黑色 dn450</v>
          </cell>
          <cell r="E1598" t="str">
            <v>HDPE Butt-Fusion Stub Flange (1.6MPa) SDR11 dn450 Black</v>
          </cell>
        </row>
        <row r="1598">
          <cell r="G1598">
            <v>1033392</v>
          </cell>
          <cell r="H1598">
            <v>1033392</v>
          </cell>
          <cell r="I1598">
            <v>0.15</v>
          </cell>
          <cell r="J1598">
            <v>1215756</v>
          </cell>
          <cell r="K1598">
            <v>0.14</v>
          </cell>
          <cell r="L1598">
            <v>1201619</v>
          </cell>
        </row>
        <row r="1599">
          <cell r="C1599">
            <v>8010040571</v>
          </cell>
          <cell r="D1599" t="str">
            <v>对接法兰套(PE配件)SDR11(1.6MPa)黑色 dn110</v>
          </cell>
          <cell r="E1599" t="str">
            <v>HDPE Butt-Fusion Stub Flange (1.6MPa) SDR11 dn110 Black</v>
          </cell>
        </row>
        <row r="1599">
          <cell r="G1599">
            <v>53330</v>
          </cell>
          <cell r="H1599">
            <v>53330</v>
          </cell>
          <cell r="I1599">
            <v>0.15</v>
          </cell>
          <cell r="J1599">
            <v>62742</v>
          </cell>
          <cell r="K1599">
            <v>0.14</v>
          </cell>
          <cell r="L1599">
            <v>62012</v>
          </cell>
        </row>
        <row r="1600">
          <cell r="C1600">
            <v>8010040572</v>
          </cell>
          <cell r="D1600" t="str">
            <v>对接法兰套(PE配件)SDR11(1.6MPa)黑色 dn125</v>
          </cell>
          <cell r="E1600" t="str">
            <v>HDPE Butt-Fusion Stub Flange (1.6MPa) SDR11 dn125 Black</v>
          </cell>
        </row>
        <row r="1600">
          <cell r="G1600">
            <v>64533</v>
          </cell>
          <cell r="H1600">
            <v>64533</v>
          </cell>
          <cell r="I1600">
            <v>0.15</v>
          </cell>
          <cell r="J1600">
            <v>75922</v>
          </cell>
          <cell r="K1600">
            <v>0.14</v>
          </cell>
          <cell r="L1600">
            <v>75038</v>
          </cell>
        </row>
        <row r="1601">
          <cell r="C1601">
            <v>8010040573</v>
          </cell>
          <cell r="D1601" t="str">
            <v>对接法兰套(PE配件)SDR11(1.6MPa)黑色 dn160</v>
          </cell>
          <cell r="E1601" t="str">
            <v>HDPE Butt-Fusion Stub Flange (1.6MPa) SDR11 dn160 Black</v>
          </cell>
        </row>
        <row r="1601">
          <cell r="G1601">
            <v>101220</v>
          </cell>
          <cell r="H1601">
            <v>101220</v>
          </cell>
          <cell r="I1601">
            <v>0.15</v>
          </cell>
          <cell r="J1601">
            <v>119083</v>
          </cell>
          <cell r="K1601">
            <v>0.14</v>
          </cell>
          <cell r="L1601">
            <v>117698</v>
          </cell>
        </row>
        <row r="1602">
          <cell r="C1602">
            <v>8010040574</v>
          </cell>
          <cell r="D1602" t="str">
            <v>对接法兰套(PE配件)SDR11(1.6MPa)黑色 dn180</v>
          </cell>
          <cell r="E1602" t="str">
            <v>HDPE Butt-Fusion Stub Flange (1.6MPa) SDR11 dn180 Black</v>
          </cell>
        </row>
        <row r="1602">
          <cell r="G1602">
            <v>126803</v>
          </cell>
          <cell r="H1602">
            <v>126803</v>
          </cell>
          <cell r="I1602">
            <v>0.15</v>
          </cell>
          <cell r="J1602">
            <v>149180</v>
          </cell>
          <cell r="K1602">
            <v>0.14</v>
          </cell>
          <cell r="L1602">
            <v>147445</v>
          </cell>
        </row>
        <row r="1603">
          <cell r="C1603">
            <v>8010040575</v>
          </cell>
          <cell r="D1603" t="str">
            <v>对接法兰套(PE配件)SDR11(1.6MPa)黑色 dn200</v>
          </cell>
          <cell r="E1603" t="str">
            <v>HDPE Butt-Fusion Stub Flange (1.6MPa) SDR11 dn200 Black</v>
          </cell>
        </row>
        <row r="1603">
          <cell r="G1603">
            <v>169232</v>
          </cell>
          <cell r="H1603">
            <v>169232</v>
          </cell>
          <cell r="I1603">
            <v>0.15</v>
          </cell>
          <cell r="J1603">
            <v>199097</v>
          </cell>
          <cell r="K1603">
            <v>0.14</v>
          </cell>
          <cell r="L1603">
            <v>196781</v>
          </cell>
        </row>
        <row r="1604">
          <cell r="C1604">
            <v>8010040576</v>
          </cell>
          <cell r="D1604" t="str">
            <v>对接法兰套(PE配件)SDR11(1.6MPa)黑色 dn225</v>
          </cell>
          <cell r="E1604" t="str">
            <v>HDPE Butt-Fusion Stub Flange (1.6MPa) SDR11 dn225 Black</v>
          </cell>
        </row>
        <row r="1604">
          <cell r="G1604">
            <v>190218</v>
          </cell>
          <cell r="H1604">
            <v>190218</v>
          </cell>
          <cell r="I1604">
            <v>0.15</v>
          </cell>
          <cell r="J1604">
            <v>223786</v>
          </cell>
          <cell r="K1604">
            <v>0.14</v>
          </cell>
          <cell r="L1604">
            <v>221184</v>
          </cell>
        </row>
        <row r="1605">
          <cell r="C1605">
            <v>8010040577</v>
          </cell>
          <cell r="D1605" t="str">
            <v>对接法兰套(PE配件)SDR11(1.6MPa)黑色 dn250</v>
          </cell>
          <cell r="E1605" t="str">
            <v>HDPE Butt-Fusion Stub Flange (1.6MPa) SDR11 dn250 Black</v>
          </cell>
        </row>
        <row r="1605">
          <cell r="G1605">
            <v>191819</v>
          </cell>
          <cell r="H1605">
            <v>191819</v>
          </cell>
          <cell r="I1605">
            <v>0.15</v>
          </cell>
          <cell r="J1605">
            <v>225670</v>
          </cell>
          <cell r="K1605">
            <v>0.14</v>
          </cell>
          <cell r="L1605">
            <v>223045</v>
          </cell>
        </row>
        <row r="1606">
          <cell r="C1606">
            <v>8010040578</v>
          </cell>
          <cell r="D1606" t="str">
            <v>对接法兰套(PE配件)SDR11(1.6MPa)黑色 dn280</v>
          </cell>
          <cell r="E1606" t="str">
            <v>HDPE Butt-Fusion Stub Flange (1.6MPa) SDR11 dn280 Black</v>
          </cell>
        </row>
        <row r="1606">
          <cell r="G1606">
            <v>2088643</v>
          </cell>
          <cell r="H1606">
            <v>2088643</v>
          </cell>
          <cell r="I1606">
            <v>0.15</v>
          </cell>
          <cell r="J1606">
            <v>2457228</v>
          </cell>
          <cell r="K1606">
            <v>0.14</v>
          </cell>
          <cell r="L1606">
            <v>2428655</v>
          </cell>
        </row>
        <row r="1607">
          <cell r="C1607">
            <v>8010040664</v>
          </cell>
          <cell r="D1607" t="str">
            <v>对接法兰套(PE配件)SDR11(1.6MPa)黑色 dn315</v>
          </cell>
          <cell r="E1607" t="str">
            <v>HDPE Butt-Fusion Stub Flange (1.6MPa) SDR11 dn315 Black</v>
          </cell>
        </row>
        <row r="1607">
          <cell r="G1607">
            <v>342496</v>
          </cell>
          <cell r="H1607">
            <v>342496</v>
          </cell>
          <cell r="I1607">
            <v>0.15</v>
          </cell>
          <cell r="J1607">
            <v>402937</v>
          </cell>
          <cell r="K1607">
            <v>0.14</v>
          </cell>
          <cell r="L1607">
            <v>398251</v>
          </cell>
        </row>
        <row r="1608">
          <cell r="C1608">
            <v>8010040665</v>
          </cell>
          <cell r="D1608" t="str">
            <v>对接法兰套(PE配件)SDR11(1.6MPa)黑色 dn355</v>
          </cell>
          <cell r="E1608" t="str">
            <v>HDPE Butt-Fusion Stub Flange (1.6MPa) SDR11 dn355 Black</v>
          </cell>
        </row>
        <row r="1608">
          <cell r="G1608">
            <v>623779</v>
          </cell>
          <cell r="H1608">
            <v>623779</v>
          </cell>
          <cell r="I1608">
            <v>0.15</v>
          </cell>
          <cell r="J1608">
            <v>733858</v>
          </cell>
          <cell r="K1608">
            <v>0.14</v>
          </cell>
          <cell r="L1608">
            <v>725324</v>
          </cell>
        </row>
        <row r="1609">
          <cell r="C1609">
            <v>8010040666</v>
          </cell>
          <cell r="D1609" t="str">
            <v>对接法兰套(PE配件)SDR11(1.6MPa)黑色 dn400</v>
          </cell>
          <cell r="E1609" t="str">
            <v>HDPE Butt-Fusion Stub Flange (1.6MPa) SDR11 dn400 Black</v>
          </cell>
        </row>
        <row r="1609">
          <cell r="G1609">
            <v>533440</v>
          </cell>
          <cell r="H1609">
            <v>533440</v>
          </cell>
          <cell r="I1609">
            <v>0.15</v>
          </cell>
          <cell r="J1609">
            <v>627577</v>
          </cell>
          <cell r="K1609">
            <v>0.14</v>
          </cell>
          <cell r="L1609">
            <v>620279</v>
          </cell>
        </row>
        <row r="1610">
          <cell r="C1610">
            <v>8010040667</v>
          </cell>
          <cell r="D1610" t="str">
            <v>对接法兰套(PE配件)SDR11(1.6MPa)黑色 dn500</v>
          </cell>
          <cell r="E1610" t="str">
            <v>HDPE Butt-Fusion Stub Flange (1.6MPa) SDR11 dn500 Black</v>
          </cell>
        </row>
        <row r="1610">
          <cell r="G1610">
            <v>1515282</v>
          </cell>
          <cell r="H1610">
            <v>1515282</v>
          </cell>
          <cell r="I1610">
            <v>0.15</v>
          </cell>
          <cell r="J1610">
            <v>1782685</v>
          </cell>
          <cell r="K1610">
            <v>0.14</v>
          </cell>
          <cell r="L1610">
            <v>1761956</v>
          </cell>
        </row>
        <row r="1611">
          <cell r="C1611">
            <v>8010040580</v>
          </cell>
          <cell r="D1611" t="str">
            <v>对接法兰套(PE配件)SDR11(1.6MPa)黑色 dn50</v>
          </cell>
          <cell r="E1611" t="str">
            <v>HDPE Butt-Fusion Stub Flange (1.6MPa) SDR11 dn50 Black</v>
          </cell>
        </row>
        <row r="1611">
          <cell r="G1611">
            <v>22733</v>
          </cell>
          <cell r="H1611">
            <v>22733</v>
          </cell>
          <cell r="I1611">
            <v>0.15</v>
          </cell>
          <cell r="J1611">
            <v>26745</v>
          </cell>
          <cell r="K1611">
            <v>0.14</v>
          </cell>
          <cell r="L1611">
            <v>26434</v>
          </cell>
        </row>
        <row r="1612">
          <cell r="C1612">
            <v>8010040581</v>
          </cell>
          <cell r="D1612" t="str">
            <v>对接法兰套(PE配件)SDR11(1.6MPa)黑色 dn63</v>
          </cell>
          <cell r="E1612" t="str">
            <v>HDPE Butt-Fusion Stub Flange (1.6MPa) SDR11 dn63 Black</v>
          </cell>
        </row>
        <row r="1612">
          <cell r="G1612">
            <v>18445</v>
          </cell>
          <cell r="H1612">
            <v>18445</v>
          </cell>
          <cell r="I1612">
            <v>0.15</v>
          </cell>
          <cell r="J1612">
            <v>21700</v>
          </cell>
          <cell r="K1612">
            <v>0.14</v>
          </cell>
          <cell r="L1612">
            <v>21448</v>
          </cell>
        </row>
        <row r="1613">
          <cell r="C1613">
            <v>8010040582</v>
          </cell>
          <cell r="D1613" t="str">
            <v>对接法兰套(PE配件)SDR11(1.6MPa)黑色 dn75</v>
          </cell>
          <cell r="E1613" t="str">
            <v>HDPE Butt-Fusion Stub Flange (1.6MPa) SDR11 dn75 Black</v>
          </cell>
        </row>
        <row r="1613">
          <cell r="G1613">
            <v>30322</v>
          </cell>
          <cell r="H1613">
            <v>30322</v>
          </cell>
          <cell r="I1613">
            <v>0.15</v>
          </cell>
          <cell r="J1613">
            <v>35673</v>
          </cell>
          <cell r="K1613">
            <v>0.14</v>
          </cell>
          <cell r="L1613">
            <v>35258</v>
          </cell>
        </row>
        <row r="1614">
          <cell r="C1614">
            <v>8010040583</v>
          </cell>
          <cell r="D1614" t="str">
            <v>对接法兰套(PE配件)SDR11(1.6MPa)黑色 dn90</v>
          </cell>
          <cell r="E1614" t="str">
            <v>HDPE Butt-Fusion Stub Flange (1.6MPa) SDR11 dn90 Black</v>
          </cell>
        </row>
        <row r="1614">
          <cell r="G1614">
            <v>34622</v>
          </cell>
          <cell r="H1614">
            <v>34622</v>
          </cell>
          <cell r="I1614">
            <v>0.15</v>
          </cell>
          <cell r="J1614">
            <v>40732</v>
          </cell>
          <cell r="K1614">
            <v>0.14</v>
          </cell>
          <cell r="L1614">
            <v>40258</v>
          </cell>
        </row>
        <row r="1615">
          <cell r="C1615">
            <v>8010044812</v>
          </cell>
          <cell r="D1615" t="str">
            <v>对接异径套(PE配件)SDR17(1.0MPa)黑色 dn400X225</v>
          </cell>
          <cell r="E1615" t="str">
            <v>HDPE Butt-Fusion Reducing Coupler (1.0MPa) SDR17 dn400x225 Black</v>
          </cell>
        </row>
        <row r="1615">
          <cell r="G1615">
            <v>657043</v>
          </cell>
          <cell r="H1615">
            <v>657043</v>
          </cell>
          <cell r="I1615">
            <v>0.15</v>
          </cell>
          <cell r="J1615">
            <v>772992</v>
          </cell>
          <cell r="K1615">
            <v>0.14</v>
          </cell>
          <cell r="L1615">
            <v>764003</v>
          </cell>
        </row>
        <row r="1616">
          <cell r="C1616">
            <v>8010044709</v>
          </cell>
          <cell r="D1616" t="str">
            <v>对接异径套(PE配件)SDR17(1.0MPa)黑色 dn315X180</v>
          </cell>
          <cell r="E1616" t="str">
            <v>HDPE Butt-Fusion Reducing Coupler (1.0MPa) SDR17 dn315x180 Black</v>
          </cell>
        </row>
        <row r="1616">
          <cell r="G1616">
            <v>375860</v>
          </cell>
          <cell r="H1616">
            <v>375860</v>
          </cell>
          <cell r="I1616">
            <v>0.15</v>
          </cell>
          <cell r="J1616">
            <v>442189</v>
          </cell>
          <cell r="K1616">
            <v>0.14</v>
          </cell>
          <cell r="L1616">
            <v>437047</v>
          </cell>
        </row>
        <row r="1617">
          <cell r="C1617">
            <v>8010044502</v>
          </cell>
          <cell r="D1617" t="str">
            <v>对接异径套(PE配件)SDR17(1.0MPa)黑色 dn125X63</v>
          </cell>
          <cell r="E1617" t="str">
            <v>HDPE Butt-Fusion Reducing Coupler (1.0MPa) SDR17 dn125x63 Black</v>
          </cell>
        </row>
        <row r="1617">
          <cell r="G1617">
            <v>42834</v>
          </cell>
          <cell r="H1617">
            <v>42834</v>
          </cell>
          <cell r="I1617">
            <v>0.15</v>
          </cell>
          <cell r="J1617">
            <v>50393</v>
          </cell>
          <cell r="K1617">
            <v>0.14</v>
          </cell>
          <cell r="L1617">
            <v>49807</v>
          </cell>
        </row>
        <row r="1618">
          <cell r="C1618">
            <v>8010041971</v>
          </cell>
          <cell r="D1618" t="str">
            <v>对接异径套(PE配件)SDR17(1.0MPa)黑色 dn560X450</v>
          </cell>
          <cell r="E1618" t="str">
            <v>HDPE Butt-Fusion Reducing Coupler (1.0MPa) SDR17 dn560x450 Black</v>
          </cell>
        </row>
        <row r="1618">
          <cell r="G1618">
            <v>1088615</v>
          </cell>
          <cell r="H1618">
            <v>1088615</v>
          </cell>
          <cell r="I1618">
            <v>0.15</v>
          </cell>
          <cell r="J1618">
            <v>1280724</v>
          </cell>
          <cell r="K1618">
            <v>0.14</v>
          </cell>
          <cell r="L1618">
            <v>1265831</v>
          </cell>
        </row>
        <row r="1619">
          <cell r="C1619">
            <v>8010040863</v>
          </cell>
          <cell r="D1619" t="str">
            <v>对接异径套(PE配件)SDR17(1.0MPa)黑色 dn110X75</v>
          </cell>
          <cell r="E1619" t="str">
            <v>HDPE Butt-Fusion Reducing Coupler (1.0MPa) SDR17 dn110x75 Black</v>
          </cell>
        </row>
        <row r="1619">
          <cell r="G1619">
            <v>38724</v>
          </cell>
          <cell r="H1619">
            <v>38724</v>
          </cell>
          <cell r="I1619">
            <v>0.15</v>
          </cell>
          <cell r="J1619">
            <v>45558</v>
          </cell>
          <cell r="K1619">
            <v>0.14</v>
          </cell>
          <cell r="L1619">
            <v>45028</v>
          </cell>
        </row>
        <row r="1620">
          <cell r="C1620">
            <v>8010040864</v>
          </cell>
          <cell r="D1620" t="str">
            <v>对接异径套(PE配件)SDR17(1.0MPa)黑色 dn110X90</v>
          </cell>
          <cell r="E1620" t="str">
            <v>HDPE Butt-Fusion Reducing Coupler (1.0MPa) SDR17 dn110x90 Black</v>
          </cell>
        </row>
        <row r="1620">
          <cell r="G1620">
            <v>41297</v>
          </cell>
          <cell r="H1620">
            <v>41297</v>
          </cell>
          <cell r="I1620">
            <v>0.15</v>
          </cell>
          <cell r="J1620">
            <v>48585</v>
          </cell>
          <cell r="K1620">
            <v>0.14</v>
          </cell>
          <cell r="L1620">
            <v>48020</v>
          </cell>
        </row>
        <row r="1621">
          <cell r="C1621">
            <v>8010040865</v>
          </cell>
          <cell r="D1621" t="str">
            <v>对接异径套(PE配件)SDR17(1.0MPa)黑色 dn125X90</v>
          </cell>
          <cell r="E1621" t="str">
            <v>HDPE Butt-Fusion Reducing Coupler (1.0MPa) SDR17 dn125x90 Black</v>
          </cell>
        </row>
        <row r="1621">
          <cell r="G1621">
            <v>43356</v>
          </cell>
          <cell r="H1621">
            <v>43356</v>
          </cell>
          <cell r="I1621">
            <v>0.15</v>
          </cell>
          <cell r="J1621">
            <v>51008</v>
          </cell>
          <cell r="K1621">
            <v>0.14</v>
          </cell>
          <cell r="L1621">
            <v>50414</v>
          </cell>
        </row>
        <row r="1622">
          <cell r="C1622">
            <v>8010040866</v>
          </cell>
          <cell r="D1622" t="str">
            <v>对接异径套(PE配件)SDR17(1.0MPa)黑色 dn160X110</v>
          </cell>
          <cell r="E1622" t="str">
            <v>HDPE Butt-Fusion Reducing Coupler (1.0MPa) SDR17 dn160x110 Black</v>
          </cell>
        </row>
        <row r="1622">
          <cell r="G1622">
            <v>78692</v>
          </cell>
          <cell r="H1622">
            <v>78692</v>
          </cell>
          <cell r="I1622">
            <v>0.15</v>
          </cell>
          <cell r="J1622">
            <v>92579</v>
          </cell>
          <cell r="K1622">
            <v>0.14</v>
          </cell>
          <cell r="L1622">
            <v>91502</v>
          </cell>
        </row>
        <row r="1623">
          <cell r="C1623">
            <v>8010040867</v>
          </cell>
          <cell r="D1623" t="str">
            <v>对接异径套(PE配件)SDR17(1.0MPa)黑色 dn160X125</v>
          </cell>
          <cell r="E1623" t="str">
            <v>HDPE Butt-Fusion Reducing Coupler (1.0MPa) SDR17 dn160x125 Black</v>
          </cell>
        </row>
        <row r="1623">
          <cell r="G1623">
            <v>74904</v>
          </cell>
          <cell r="H1623">
            <v>74904</v>
          </cell>
          <cell r="I1623">
            <v>0.15</v>
          </cell>
          <cell r="J1623">
            <v>88123</v>
          </cell>
          <cell r="K1623">
            <v>0.14</v>
          </cell>
          <cell r="L1623">
            <v>87098</v>
          </cell>
        </row>
        <row r="1624">
          <cell r="C1624">
            <v>8010040868</v>
          </cell>
          <cell r="D1624" t="str">
            <v>对接异径套(PE配件)SDR17(1.0MPa)黑色 dn160X90</v>
          </cell>
          <cell r="E1624" t="str">
            <v>HDPE Butt-Fusion Reducing Coupler (1.0MPa) SDR17 dn160x90 Black</v>
          </cell>
        </row>
        <row r="1624">
          <cell r="G1624">
            <v>75238</v>
          </cell>
          <cell r="H1624">
            <v>75238</v>
          </cell>
          <cell r="I1624">
            <v>0.15</v>
          </cell>
          <cell r="J1624">
            <v>88516</v>
          </cell>
          <cell r="K1624">
            <v>0.14</v>
          </cell>
          <cell r="L1624">
            <v>87486</v>
          </cell>
        </row>
        <row r="1625">
          <cell r="C1625">
            <v>8010040869</v>
          </cell>
          <cell r="D1625" t="str">
            <v>对接异径套(PE配件)SDR17(1.0MPa)黑色 dn180X160</v>
          </cell>
          <cell r="E1625" t="str">
            <v>HDPE Butt-Fusion Reducing Coupler (1.0MPa) SDR17 dn180x160 Black</v>
          </cell>
        </row>
        <row r="1625">
          <cell r="G1625">
            <v>94663</v>
          </cell>
          <cell r="H1625">
            <v>94663</v>
          </cell>
          <cell r="I1625">
            <v>0.15</v>
          </cell>
          <cell r="J1625">
            <v>111369</v>
          </cell>
          <cell r="K1625">
            <v>0.14</v>
          </cell>
          <cell r="L1625">
            <v>110073</v>
          </cell>
        </row>
        <row r="1626">
          <cell r="C1626">
            <v>8010040870</v>
          </cell>
          <cell r="D1626" t="str">
            <v>对接异径套(PE配件)SDR17(1.0MPa)黑色 dn200X110</v>
          </cell>
          <cell r="E1626" t="str">
            <v>HDPE Butt-Fusion Reducing Coupler (1.0MPa) SDR17 dn200x110 Black</v>
          </cell>
        </row>
        <row r="1626">
          <cell r="G1626">
            <v>120912</v>
          </cell>
          <cell r="H1626">
            <v>120912</v>
          </cell>
          <cell r="I1626">
            <v>0.15</v>
          </cell>
          <cell r="J1626">
            <v>142250</v>
          </cell>
          <cell r="K1626">
            <v>0.14</v>
          </cell>
          <cell r="L1626">
            <v>140595</v>
          </cell>
        </row>
        <row r="1627">
          <cell r="C1627">
            <v>8010040897</v>
          </cell>
          <cell r="D1627" t="str">
            <v>对接异径套(PE配件)SDR17(1.0MPa)黑色 dn500X355</v>
          </cell>
          <cell r="E1627" t="str">
            <v>HDPE Butt-Fusion Reducing Coupler (1.0MPa) SDR17 dn500x355 Black</v>
          </cell>
        </row>
        <row r="1627">
          <cell r="G1627">
            <v>985719</v>
          </cell>
          <cell r="H1627">
            <v>985719</v>
          </cell>
          <cell r="I1627">
            <v>0.15</v>
          </cell>
          <cell r="J1627">
            <v>1159670</v>
          </cell>
          <cell r="K1627">
            <v>0.14</v>
          </cell>
          <cell r="L1627">
            <v>1146185</v>
          </cell>
        </row>
        <row r="1628">
          <cell r="C1628">
            <v>8010040898</v>
          </cell>
          <cell r="D1628" t="str">
            <v>对接异径套(PE配件)SDR17(1.0MPa)黑色 dn500X400</v>
          </cell>
          <cell r="E1628" t="str">
            <v>HDPE Butt-Fusion Reducing Coupler (1.0MPa) SDR17 dn500x400 Black</v>
          </cell>
        </row>
        <row r="1628">
          <cell r="G1628">
            <v>1043936</v>
          </cell>
          <cell r="H1628">
            <v>1043936</v>
          </cell>
          <cell r="I1628">
            <v>0.15</v>
          </cell>
          <cell r="J1628">
            <v>1228160</v>
          </cell>
          <cell r="K1628">
            <v>0.14</v>
          </cell>
          <cell r="L1628">
            <v>1213879</v>
          </cell>
        </row>
        <row r="1629">
          <cell r="C1629">
            <v>8010040899</v>
          </cell>
          <cell r="D1629" t="str">
            <v>对接异径套(PE配件)SDR17(1.0MPa)黑色 dn560X400</v>
          </cell>
          <cell r="E1629" t="str">
            <v>HDPE Butt-Fusion Reducing Coupler (1.0MPa) SDR17 dn560x400 Black</v>
          </cell>
        </row>
        <row r="1629">
          <cell r="G1629">
            <v>1055824</v>
          </cell>
          <cell r="H1629">
            <v>1055824</v>
          </cell>
          <cell r="I1629">
            <v>0.15</v>
          </cell>
          <cell r="J1629">
            <v>1242146</v>
          </cell>
          <cell r="K1629">
            <v>0.14</v>
          </cell>
          <cell r="L1629">
            <v>1227702</v>
          </cell>
        </row>
        <row r="1630">
          <cell r="C1630">
            <v>8010040896</v>
          </cell>
          <cell r="D1630" t="str">
            <v>对接异径套(PE配件)SDR17(1.0MPa)黑色 dn500X315</v>
          </cell>
          <cell r="E1630" t="str">
            <v>HDPE Butt-Fusion Reducing Coupler (1.0MPa) SDR17 dn500x315 Black</v>
          </cell>
        </row>
        <row r="1630">
          <cell r="G1630">
            <v>987076</v>
          </cell>
          <cell r="H1630">
            <v>987076</v>
          </cell>
          <cell r="I1630">
            <v>0.15</v>
          </cell>
          <cell r="J1630">
            <v>1161266</v>
          </cell>
          <cell r="K1630">
            <v>0.14</v>
          </cell>
          <cell r="L1630">
            <v>1147763</v>
          </cell>
        </row>
        <row r="1631">
          <cell r="C1631">
            <v>8010040871</v>
          </cell>
          <cell r="D1631" t="str">
            <v>对接异径套(PE配件)SDR17(1.0MPa)黑色 dn200X160</v>
          </cell>
          <cell r="E1631" t="str">
            <v>HDPE Butt-Fusion Reducing Coupler (1.0MPa) SDR17 dn200x160 Black</v>
          </cell>
        </row>
        <row r="1631">
          <cell r="G1631">
            <v>127367</v>
          </cell>
          <cell r="H1631">
            <v>127367</v>
          </cell>
          <cell r="I1631">
            <v>0.15</v>
          </cell>
          <cell r="J1631">
            <v>149844</v>
          </cell>
          <cell r="K1631">
            <v>0.14</v>
          </cell>
          <cell r="L1631">
            <v>148101</v>
          </cell>
        </row>
        <row r="1632">
          <cell r="C1632">
            <v>8010040872</v>
          </cell>
          <cell r="D1632" t="str">
            <v>对接异径套(PE配件)SDR17(1.0MPa)黑色 dn225X160</v>
          </cell>
          <cell r="E1632" t="str">
            <v>HDPE Butt-Fusion Reducing Coupler (1.0MPa) SDR17 dn225x160 Black</v>
          </cell>
        </row>
        <row r="1632">
          <cell r="G1632">
            <v>157979</v>
          </cell>
          <cell r="H1632">
            <v>157979</v>
          </cell>
          <cell r="I1632">
            <v>0.15</v>
          </cell>
          <cell r="J1632">
            <v>185858</v>
          </cell>
          <cell r="K1632">
            <v>0.14</v>
          </cell>
          <cell r="L1632">
            <v>183697</v>
          </cell>
        </row>
        <row r="1633">
          <cell r="C1633">
            <v>8010040873</v>
          </cell>
          <cell r="D1633" t="str">
            <v>对接异径套(PE配件)SDR17(1.0MPa)黑色 dn250X110</v>
          </cell>
          <cell r="E1633" t="str">
            <v>HDPE Butt-Fusion Reducing Coupler (1.0MPa) SDR17 dn250x110 Black</v>
          </cell>
        </row>
        <row r="1633">
          <cell r="G1633">
            <v>151932</v>
          </cell>
          <cell r="H1633">
            <v>151932</v>
          </cell>
          <cell r="I1633">
            <v>0.15</v>
          </cell>
          <cell r="J1633">
            <v>178744</v>
          </cell>
          <cell r="K1633">
            <v>0.14</v>
          </cell>
          <cell r="L1633">
            <v>176665</v>
          </cell>
        </row>
        <row r="1634">
          <cell r="C1634">
            <v>8010040874</v>
          </cell>
          <cell r="D1634" t="str">
            <v>对接异径套(PE配件)SDR17(1.0MPa)黑色 dn250X160</v>
          </cell>
          <cell r="E1634" t="str">
            <v>HDPE Butt-Fusion Reducing Coupler (1.0MPa) SDR17 dn250x160 Black</v>
          </cell>
        </row>
        <row r="1634">
          <cell r="G1634">
            <v>219598</v>
          </cell>
          <cell r="H1634">
            <v>219598</v>
          </cell>
          <cell r="I1634">
            <v>0.15</v>
          </cell>
          <cell r="J1634">
            <v>258351</v>
          </cell>
          <cell r="K1634">
            <v>0.14</v>
          </cell>
          <cell r="L1634">
            <v>255347</v>
          </cell>
        </row>
        <row r="1635">
          <cell r="C1635">
            <v>8010040875</v>
          </cell>
          <cell r="D1635" t="str">
            <v>对接异径套(PE配件)SDR17(1.0MPa)黑色 dn250X200</v>
          </cell>
          <cell r="E1635" t="str">
            <v>HDPE Butt-Fusion Reducing Coupler (1.0MPa) SDR17 dn250x200 Black</v>
          </cell>
        </row>
        <row r="1635">
          <cell r="G1635">
            <v>209053</v>
          </cell>
          <cell r="H1635">
            <v>209053</v>
          </cell>
          <cell r="I1635">
            <v>0.15</v>
          </cell>
          <cell r="J1635">
            <v>245945</v>
          </cell>
          <cell r="K1635">
            <v>0.14</v>
          </cell>
          <cell r="L1635">
            <v>243085</v>
          </cell>
        </row>
        <row r="1636">
          <cell r="C1636">
            <v>8010040876</v>
          </cell>
          <cell r="D1636" t="str">
            <v>对接异径套(PE配件)SDR17(1.0MPa)黑色 dn250X225</v>
          </cell>
          <cell r="E1636" t="str">
            <v>HDPE Butt-Fusion Reducing Coupler (1.0MPa) SDR17 dn250x225 Black</v>
          </cell>
        </row>
        <row r="1636">
          <cell r="G1636">
            <v>196791</v>
          </cell>
          <cell r="H1636">
            <v>196791</v>
          </cell>
          <cell r="I1636">
            <v>0.15</v>
          </cell>
          <cell r="J1636">
            <v>231519</v>
          </cell>
          <cell r="K1636">
            <v>0.14</v>
          </cell>
          <cell r="L1636">
            <v>228827</v>
          </cell>
        </row>
        <row r="1637">
          <cell r="C1637">
            <v>8010040877</v>
          </cell>
          <cell r="D1637" t="str">
            <v>对接异径套(PE配件)SDR17(1.0MPa)黑色 dn280X160</v>
          </cell>
          <cell r="E1637" t="str">
            <v>HDPE Butt-Fusion Reducing Coupler (1.0MPa) SDR17 dn280x160 Black</v>
          </cell>
        </row>
        <row r="1637">
          <cell r="G1637">
            <v>206668</v>
          </cell>
          <cell r="H1637">
            <v>206668</v>
          </cell>
          <cell r="I1637">
            <v>0.15</v>
          </cell>
          <cell r="J1637">
            <v>243139</v>
          </cell>
          <cell r="K1637">
            <v>0.14</v>
          </cell>
          <cell r="L1637">
            <v>240312</v>
          </cell>
        </row>
        <row r="1638">
          <cell r="C1638">
            <v>8010040878</v>
          </cell>
          <cell r="D1638" t="str">
            <v>对接异径套(PE配件)SDR17(1.0MPa)黑色 dn315X110</v>
          </cell>
          <cell r="E1638" t="str">
            <v>HDPE Butt-Fusion Reducing Coupler (1.0MPa) SDR17 dn315x110 Black</v>
          </cell>
        </row>
        <row r="1638">
          <cell r="G1638">
            <v>212020</v>
          </cell>
          <cell r="H1638">
            <v>212020</v>
          </cell>
          <cell r="I1638">
            <v>0.15</v>
          </cell>
          <cell r="J1638">
            <v>249436</v>
          </cell>
          <cell r="K1638">
            <v>0.14</v>
          </cell>
          <cell r="L1638">
            <v>246535</v>
          </cell>
        </row>
        <row r="1639">
          <cell r="C1639">
            <v>8010040879</v>
          </cell>
          <cell r="D1639" t="str">
            <v>对接异径套(PE配件)SDR17(1.0MPa)黑色 dn315X160</v>
          </cell>
          <cell r="E1639" t="str">
            <v>HDPE Butt-Fusion Reducing Coupler (1.0MPa) SDR17 dn315x160 Black</v>
          </cell>
        </row>
        <row r="1639">
          <cell r="G1639">
            <v>246308</v>
          </cell>
          <cell r="H1639">
            <v>246308</v>
          </cell>
          <cell r="I1639">
            <v>0.15</v>
          </cell>
          <cell r="J1639">
            <v>289775</v>
          </cell>
          <cell r="K1639">
            <v>0.14</v>
          </cell>
          <cell r="L1639">
            <v>286405</v>
          </cell>
        </row>
        <row r="1640">
          <cell r="C1640">
            <v>8010040880</v>
          </cell>
          <cell r="D1640" t="str">
            <v>对接异径套(PE配件)SDR17(1.0MPa)黑色 dn315X200</v>
          </cell>
          <cell r="E1640" t="str">
            <v>HDPE Butt-Fusion Reducing Coupler (1.0MPa) SDR17 dn316x200 Black</v>
          </cell>
        </row>
        <row r="1640">
          <cell r="G1640">
            <v>327098</v>
          </cell>
          <cell r="H1640">
            <v>327098</v>
          </cell>
          <cell r="I1640">
            <v>0.15</v>
          </cell>
          <cell r="J1640">
            <v>384822</v>
          </cell>
          <cell r="K1640">
            <v>0.14</v>
          </cell>
          <cell r="L1640">
            <v>380347</v>
          </cell>
        </row>
        <row r="1641">
          <cell r="C1641">
            <v>8010040881</v>
          </cell>
          <cell r="D1641" t="str">
            <v>对接异径套(PE配件)SDR17(1.0MPa)黑色 dn315X225</v>
          </cell>
          <cell r="E1641" t="str">
            <v>HDPE Butt-Fusion Reducing Coupler (1.0MPa) SDR17 dn316x225 Black</v>
          </cell>
        </row>
        <row r="1641">
          <cell r="G1641">
            <v>265780</v>
          </cell>
          <cell r="H1641">
            <v>265780</v>
          </cell>
          <cell r="I1641">
            <v>0.15</v>
          </cell>
          <cell r="J1641">
            <v>312683</v>
          </cell>
          <cell r="K1641">
            <v>0.14</v>
          </cell>
          <cell r="L1641">
            <v>309047</v>
          </cell>
        </row>
        <row r="1642">
          <cell r="C1642">
            <v>8010040882</v>
          </cell>
          <cell r="D1642" t="str">
            <v>对接异径套(PE配件)SDR17(1.0MPa)黑色 dn315X250</v>
          </cell>
          <cell r="E1642" t="str">
            <v>HDPE Butt-Fusion Reducing Coupler (1.0MPa) SDR17 dn315x250 Black</v>
          </cell>
        </row>
        <row r="1642">
          <cell r="G1642">
            <v>317603</v>
          </cell>
          <cell r="H1642">
            <v>317603</v>
          </cell>
          <cell r="I1642">
            <v>0.15</v>
          </cell>
          <cell r="J1642">
            <v>373651</v>
          </cell>
          <cell r="K1642">
            <v>0.14</v>
          </cell>
          <cell r="L1642">
            <v>369306</v>
          </cell>
        </row>
        <row r="1643">
          <cell r="C1643">
            <v>8010040883</v>
          </cell>
          <cell r="D1643" t="str">
            <v>对接异径套(PE配件)SDR17(1.0MPa)黑色 dn315X280</v>
          </cell>
          <cell r="E1643" t="str">
            <v>HDPE Butt-Fusion Reducing Coupler (1.0MPa) SDR17 dn315x280 Black</v>
          </cell>
        </row>
        <row r="1643">
          <cell r="G1643">
            <v>263195</v>
          </cell>
          <cell r="H1643">
            <v>263195</v>
          </cell>
          <cell r="I1643">
            <v>0.15</v>
          </cell>
          <cell r="J1643">
            <v>309642</v>
          </cell>
          <cell r="K1643">
            <v>0.14</v>
          </cell>
          <cell r="L1643">
            <v>306041</v>
          </cell>
        </row>
        <row r="1644">
          <cell r="C1644">
            <v>8010040884</v>
          </cell>
          <cell r="D1644" t="str">
            <v>对接异径套(PE配件)SDR17(1.0MPa)黑色 dn355X200</v>
          </cell>
          <cell r="E1644" t="str">
            <v>HDPE Butt-Fusion Reducing Coupler (1.0MPa) SDR17 dn355x200 Black</v>
          </cell>
        </row>
        <row r="1644">
          <cell r="G1644">
            <v>379723</v>
          </cell>
          <cell r="H1644">
            <v>379723</v>
          </cell>
          <cell r="I1644">
            <v>0.15</v>
          </cell>
          <cell r="J1644">
            <v>446733</v>
          </cell>
          <cell r="K1644">
            <v>0.14</v>
          </cell>
          <cell r="L1644">
            <v>441538</v>
          </cell>
        </row>
        <row r="1645">
          <cell r="C1645">
            <v>8010040885</v>
          </cell>
          <cell r="D1645" t="str">
            <v>对接异径套(PE配件)SDR17(1.0MPa)黑色 dn355X250</v>
          </cell>
          <cell r="E1645" t="str">
            <v>HDPE Butt-Fusion Reducing Coupler (1.0MPa) SDR17 dn355x250 Black</v>
          </cell>
        </row>
        <row r="1645">
          <cell r="G1645">
            <v>371123</v>
          </cell>
          <cell r="H1645">
            <v>371123</v>
          </cell>
          <cell r="I1645">
            <v>0.15</v>
          </cell>
          <cell r="J1645">
            <v>436616</v>
          </cell>
          <cell r="K1645">
            <v>0.14</v>
          </cell>
          <cell r="L1645">
            <v>431538</v>
          </cell>
        </row>
        <row r="1646">
          <cell r="C1646">
            <v>8010040886</v>
          </cell>
          <cell r="D1646" t="str">
            <v>对接异径套(PE配件)SDR17(1.0MPa)黑色 dn355X315</v>
          </cell>
          <cell r="E1646" t="str">
            <v>HDPE Butt-Fusion Reducing Coupler (1.0MPa) SDR17 dn355x315 Black</v>
          </cell>
        </row>
        <row r="1646">
          <cell r="G1646">
            <v>333025</v>
          </cell>
          <cell r="H1646">
            <v>333025</v>
          </cell>
          <cell r="I1646">
            <v>0.15</v>
          </cell>
          <cell r="J1646">
            <v>391795</v>
          </cell>
          <cell r="K1646">
            <v>0.14</v>
          </cell>
          <cell r="L1646">
            <v>387238</v>
          </cell>
        </row>
        <row r="1647">
          <cell r="C1647">
            <v>8010040887</v>
          </cell>
          <cell r="D1647" t="str">
            <v>对接异径套(PE配件)SDR17(1.0MPa)黑色 dn400X200</v>
          </cell>
          <cell r="E1647" t="str">
            <v>HDPE Butt-Fusion Reducing Coupler (1.0MPa) SDR17 dn400x200 Black</v>
          </cell>
        </row>
        <row r="1647">
          <cell r="G1647">
            <v>413662</v>
          </cell>
          <cell r="H1647">
            <v>413662</v>
          </cell>
          <cell r="I1647">
            <v>0.15</v>
          </cell>
          <cell r="J1647">
            <v>486662</v>
          </cell>
          <cell r="K1647">
            <v>0.14</v>
          </cell>
          <cell r="L1647">
            <v>481002</v>
          </cell>
        </row>
        <row r="1648">
          <cell r="C1648">
            <v>8010040888</v>
          </cell>
          <cell r="D1648" t="str">
            <v>对接异径套(PE配件)SDR17(1.0MPa)黑色 dn400X250</v>
          </cell>
          <cell r="E1648" t="str">
            <v>HDPE Butt-Fusion Reducing Coupler (1.0MPa) SDR17 dn400x250 Black</v>
          </cell>
        </row>
        <row r="1648">
          <cell r="G1648">
            <v>420592</v>
          </cell>
          <cell r="H1648">
            <v>420592</v>
          </cell>
          <cell r="I1648">
            <v>0.15</v>
          </cell>
          <cell r="J1648">
            <v>494815</v>
          </cell>
          <cell r="K1648">
            <v>0.14</v>
          </cell>
          <cell r="L1648">
            <v>489060</v>
          </cell>
        </row>
        <row r="1649">
          <cell r="C1649">
            <v>8010040889</v>
          </cell>
          <cell r="D1649" t="str">
            <v>对接异径套(PE配件)SDR17(1.0MPa)黑色 dn400X315</v>
          </cell>
          <cell r="E1649" t="str">
            <v>HDPE Butt-Fusion Reducing Coupler (1.0MPa) SDR17 dn400x315 Black</v>
          </cell>
        </row>
        <row r="1649">
          <cell r="G1649">
            <v>364393</v>
          </cell>
          <cell r="H1649">
            <v>364393</v>
          </cell>
          <cell r="I1649">
            <v>0.15</v>
          </cell>
          <cell r="J1649">
            <v>428698</v>
          </cell>
          <cell r="K1649">
            <v>0.14</v>
          </cell>
          <cell r="L1649">
            <v>423713</v>
          </cell>
        </row>
        <row r="1650">
          <cell r="C1650">
            <v>8010040891</v>
          </cell>
          <cell r="D1650" t="str">
            <v>对接异径套(PE配件)SDR17(1.0MPa)黑色 dn450X200</v>
          </cell>
          <cell r="E1650" t="str">
            <v>HDPE Butt-Fusion Reducing Coupler (1.0MPa) SDR17 dn450x200 Black</v>
          </cell>
        </row>
        <row r="1650">
          <cell r="G1650">
            <v>554555</v>
          </cell>
          <cell r="H1650">
            <v>554555</v>
          </cell>
          <cell r="I1650">
            <v>0.15</v>
          </cell>
          <cell r="J1650">
            <v>652418</v>
          </cell>
          <cell r="K1650">
            <v>0.14</v>
          </cell>
          <cell r="L1650">
            <v>644831</v>
          </cell>
        </row>
        <row r="1651">
          <cell r="C1651">
            <v>8010040892</v>
          </cell>
          <cell r="D1651" t="str">
            <v>对接异径套(PE配件)SDR17(1.0MPa)黑色 dn450X250</v>
          </cell>
          <cell r="E1651" t="str">
            <v>HDPE Butt-Fusion Reducing Coupler (1.0MPa) SDR17 dn450x250 Black</v>
          </cell>
        </row>
        <row r="1651">
          <cell r="G1651">
            <v>557836</v>
          </cell>
          <cell r="H1651">
            <v>557836</v>
          </cell>
          <cell r="I1651">
            <v>0.15</v>
          </cell>
          <cell r="J1651">
            <v>656278</v>
          </cell>
          <cell r="K1651">
            <v>0.14</v>
          </cell>
          <cell r="L1651">
            <v>648647</v>
          </cell>
        </row>
        <row r="1652">
          <cell r="C1652">
            <v>8010040893</v>
          </cell>
          <cell r="D1652" t="str">
            <v>对接异径套(PE配件)SDR17(1.0MPa)黑色 dn450X315</v>
          </cell>
          <cell r="E1652" t="str">
            <v>HDPE Butt-Fusion Reducing Coupler (1.0MPa) SDR17 dn450x315 Black</v>
          </cell>
        </row>
        <row r="1652">
          <cell r="G1652">
            <v>429894</v>
          </cell>
          <cell r="H1652">
            <v>429894</v>
          </cell>
          <cell r="I1652">
            <v>0.15</v>
          </cell>
          <cell r="J1652">
            <v>505758</v>
          </cell>
          <cell r="K1652">
            <v>0.14</v>
          </cell>
          <cell r="L1652">
            <v>499877</v>
          </cell>
        </row>
        <row r="1653">
          <cell r="C1653">
            <v>8010043182</v>
          </cell>
          <cell r="D1653" t="str">
            <v>对接异径套(PE配件)SDR17(1.0MPa)黑色 dn400X280</v>
          </cell>
          <cell r="E1653" t="str">
            <v>HDPE Butt-Fusion Reducing Coupler (1.0MPa) SDR17 dn400x280 Black</v>
          </cell>
        </row>
        <row r="1653">
          <cell r="G1653">
            <v>449681</v>
          </cell>
          <cell r="H1653">
            <v>449681</v>
          </cell>
          <cell r="I1653">
            <v>0.15</v>
          </cell>
          <cell r="J1653">
            <v>529037</v>
          </cell>
          <cell r="K1653">
            <v>0.14</v>
          </cell>
          <cell r="L1653">
            <v>522885</v>
          </cell>
        </row>
        <row r="1654">
          <cell r="C1654">
            <v>8010042295</v>
          </cell>
          <cell r="D1654" t="str">
            <v>对接异径套(PE配件)SDR17(1.0MPa)黑色 dn110X50</v>
          </cell>
          <cell r="E1654" t="str">
            <v>HDPE Butt-Fusion Reducing Coupler (1.0MPa) SDR17 dn110x50 Black</v>
          </cell>
        </row>
        <row r="1654">
          <cell r="G1654">
            <v>35230</v>
          </cell>
          <cell r="H1654">
            <v>35230</v>
          </cell>
          <cell r="I1654">
            <v>0.15</v>
          </cell>
          <cell r="J1654">
            <v>41448</v>
          </cell>
          <cell r="K1654">
            <v>0.14</v>
          </cell>
          <cell r="L1654">
            <v>40965</v>
          </cell>
        </row>
        <row r="1655">
          <cell r="C1655">
            <v>8010042296</v>
          </cell>
          <cell r="D1655" t="str">
            <v>对接异径套(PE配件)SDR17(1.0MPa)黑色 dn110X63</v>
          </cell>
          <cell r="E1655" t="str">
            <v>HDPE Butt-Fusion Reducing Coupler (1.0MPa) SDR17 dn110x63 Black</v>
          </cell>
        </row>
        <row r="1655">
          <cell r="G1655">
            <v>38263</v>
          </cell>
          <cell r="H1655">
            <v>38263</v>
          </cell>
          <cell r="I1655">
            <v>0.15</v>
          </cell>
          <cell r="J1655">
            <v>45016</v>
          </cell>
          <cell r="K1655">
            <v>0.14</v>
          </cell>
          <cell r="L1655">
            <v>44492</v>
          </cell>
        </row>
        <row r="1656">
          <cell r="C1656">
            <v>8010042297</v>
          </cell>
          <cell r="D1656" t="str">
            <v>对接异径套(PE配件)SDR17(1.0MPa)黑色 dn125X110</v>
          </cell>
          <cell r="E1656" t="str">
            <v>HDPE Butt-Fusion Reducing Coupler (1.0MPa) SDR17 dn125x110 Black</v>
          </cell>
        </row>
        <row r="1656">
          <cell r="G1656">
            <v>49369</v>
          </cell>
          <cell r="H1656">
            <v>49369</v>
          </cell>
          <cell r="I1656">
            <v>0.15</v>
          </cell>
          <cell r="J1656">
            <v>58082</v>
          </cell>
          <cell r="K1656">
            <v>0.14</v>
          </cell>
          <cell r="L1656">
            <v>57406</v>
          </cell>
        </row>
        <row r="1657">
          <cell r="C1657">
            <v>8010042298</v>
          </cell>
          <cell r="D1657" t="str">
            <v>对接异径套(PE配件)SDR17(1.0MPa)黑色 dn180X110</v>
          </cell>
          <cell r="E1657" t="str">
            <v>HDPE Butt-Fusion Reducing Coupler (1.0MPa) SDR17 dn180x110 Black</v>
          </cell>
        </row>
        <row r="1657">
          <cell r="G1657">
            <v>81151</v>
          </cell>
          <cell r="H1657">
            <v>81151</v>
          </cell>
          <cell r="I1657">
            <v>0.15</v>
          </cell>
          <cell r="J1657">
            <v>95472</v>
          </cell>
          <cell r="K1657">
            <v>0.14</v>
          </cell>
          <cell r="L1657">
            <v>94362</v>
          </cell>
        </row>
        <row r="1658">
          <cell r="C1658">
            <v>8010042299</v>
          </cell>
          <cell r="D1658" t="str">
            <v>对接异径套(PE配件)SDR17(1.0MPa)黑色 dn200X180</v>
          </cell>
          <cell r="E1658" t="str">
            <v>HDPE Butt-Fusion Reducing Coupler (1.0MPa) SDR17 dn200x180 Black</v>
          </cell>
        </row>
        <row r="1658">
          <cell r="G1658">
            <v>119562</v>
          </cell>
          <cell r="H1658">
            <v>119562</v>
          </cell>
          <cell r="I1658">
            <v>0.15</v>
          </cell>
          <cell r="J1658">
            <v>140662</v>
          </cell>
          <cell r="K1658">
            <v>0.14</v>
          </cell>
          <cell r="L1658">
            <v>139026</v>
          </cell>
        </row>
        <row r="1659">
          <cell r="C1659">
            <v>8010042301</v>
          </cell>
          <cell r="D1659" t="str">
            <v>对接异径套(PE配件)SDR17(1.0MPa)黑色 dn225X200</v>
          </cell>
          <cell r="E1659" t="str">
            <v>HDPE Butt-Fusion Reducing Coupler (1.0MPa) SDR17 dn225x200 Black</v>
          </cell>
        </row>
        <row r="1659">
          <cell r="G1659">
            <v>165965</v>
          </cell>
          <cell r="H1659">
            <v>165965</v>
          </cell>
          <cell r="I1659">
            <v>0.15</v>
          </cell>
          <cell r="J1659">
            <v>195253</v>
          </cell>
          <cell r="K1659">
            <v>0.14</v>
          </cell>
          <cell r="L1659">
            <v>192983</v>
          </cell>
        </row>
        <row r="1660">
          <cell r="C1660">
            <v>8010042302</v>
          </cell>
          <cell r="D1660" t="str">
            <v>对接异径套(PE配件)SDR17(1.0MPa)黑色 dn280X110</v>
          </cell>
          <cell r="E1660" t="str">
            <v>HDPE Butt-Fusion Reducing Coupler (1.0MPa) SDR17 dn280x110 Black</v>
          </cell>
        </row>
        <row r="1660">
          <cell r="G1660">
            <v>203279</v>
          </cell>
          <cell r="H1660">
            <v>203279</v>
          </cell>
          <cell r="I1660">
            <v>0.15</v>
          </cell>
          <cell r="J1660">
            <v>239152</v>
          </cell>
          <cell r="K1660">
            <v>0.14</v>
          </cell>
          <cell r="L1660">
            <v>236371</v>
          </cell>
        </row>
        <row r="1661">
          <cell r="C1661">
            <v>8010042303</v>
          </cell>
          <cell r="D1661" t="str">
            <v>对接异径套(PE配件)SDR17(1.0MPa)黑色 dn280X200</v>
          </cell>
          <cell r="E1661" t="str">
            <v>HDPE Butt-Fusion Reducing Coupler (1.0MPa) SDR17 dn280x200 Black</v>
          </cell>
        </row>
        <row r="1661">
          <cell r="G1661">
            <v>221235</v>
          </cell>
          <cell r="H1661">
            <v>221235</v>
          </cell>
          <cell r="I1661">
            <v>0.15</v>
          </cell>
          <cell r="J1661">
            <v>260277</v>
          </cell>
          <cell r="K1661">
            <v>0.14</v>
          </cell>
          <cell r="L1661">
            <v>257250</v>
          </cell>
        </row>
        <row r="1662">
          <cell r="C1662">
            <v>8010042307</v>
          </cell>
          <cell r="D1662" t="str">
            <v>对接异径套(PE配件)SDR17(1.0MPa)黑色 dn500X450</v>
          </cell>
          <cell r="E1662" t="str">
            <v>HDPE Butt-Fusion Reducing Coupler (1.0MPa) SDR17 dn500x450 Black</v>
          </cell>
        </row>
        <row r="1662">
          <cell r="G1662">
            <v>1152539</v>
          </cell>
          <cell r="H1662">
            <v>1152539</v>
          </cell>
          <cell r="I1662">
            <v>0.15</v>
          </cell>
          <cell r="J1662">
            <v>1355929</v>
          </cell>
          <cell r="K1662">
            <v>0.14</v>
          </cell>
          <cell r="L1662">
            <v>1340162</v>
          </cell>
        </row>
        <row r="1663">
          <cell r="C1663">
            <v>8010042308</v>
          </cell>
          <cell r="D1663" t="str">
            <v>对接异径套(PE配件)SDR17(1.0MPa)黑色 dn560X500</v>
          </cell>
          <cell r="E1663" t="str">
            <v>HDPE Butt-Fusion Reducing Coupler (1.0MPa) SDR17 dn560x500 Black</v>
          </cell>
        </row>
        <row r="1663">
          <cell r="G1663">
            <v>1141847</v>
          </cell>
          <cell r="H1663">
            <v>1141847</v>
          </cell>
          <cell r="I1663">
            <v>0.15</v>
          </cell>
          <cell r="J1663">
            <v>1343350</v>
          </cell>
          <cell r="K1663">
            <v>0.14</v>
          </cell>
          <cell r="L1663">
            <v>1327729</v>
          </cell>
        </row>
        <row r="1664">
          <cell r="C1664">
            <v>8010042311</v>
          </cell>
          <cell r="D1664" t="str">
            <v>对接异径套(PE配件)SDR17(1.0MPa)黑色 dn75X63</v>
          </cell>
          <cell r="E1664" t="str">
            <v>HDPE Butt-Fusion Reducing Coupler (1.0MPa) SDR17 dn75x63 Black</v>
          </cell>
        </row>
        <row r="1664">
          <cell r="G1664">
            <v>23682</v>
          </cell>
          <cell r="H1664">
            <v>23682</v>
          </cell>
          <cell r="I1664">
            <v>0.15</v>
          </cell>
          <cell r="J1664">
            <v>27862</v>
          </cell>
          <cell r="K1664">
            <v>0.14</v>
          </cell>
          <cell r="L1664">
            <v>27537</v>
          </cell>
        </row>
        <row r="1665">
          <cell r="C1665">
            <v>8010042313</v>
          </cell>
          <cell r="D1665" t="str">
            <v>对接异径套(PE配件)SDR17(1.0MPa)黑色 dn90X63</v>
          </cell>
          <cell r="E1665" t="str">
            <v>HDPE Butt-Fusion Reducing Coupler (1.6MPa) SDR11 dn90x63 Black</v>
          </cell>
        </row>
        <row r="1665">
          <cell r="G1665">
            <v>29670</v>
          </cell>
          <cell r="H1665">
            <v>29670</v>
          </cell>
          <cell r="I1665">
            <v>0.15</v>
          </cell>
          <cell r="J1665">
            <v>34906</v>
          </cell>
          <cell r="K1665">
            <v>0.14</v>
          </cell>
          <cell r="L1665">
            <v>34500</v>
          </cell>
        </row>
        <row r="1666">
          <cell r="C1666">
            <v>8010042314</v>
          </cell>
          <cell r="D1666" t="str">
            <v>对接异径套(PE配件)SDR17(1.0MPa)黑色 dn90X75</v>
          </cell>
          <cell r="E1666" t="str">
            <v>HDPE Butt-Fusion Reducing Coupler (1.0MPa) SDR17 dn90x75 Black</v>
          </cell>
        </row>
        <row r="1666">
          <cell r="G1666">
            <v>28775</v>
          </cell>
          <cell r="H1666">
            <v>28775</v>
          </cell>
          <cell r="I1666">
            <v>0.15</v>
          </cell>
          <cell r="J1666">
            <v>33853</v>
          </cell>
          <cell r="K1666">
            <v>0.14</v>
          </cell>
          <cell r="L1666">
            <v>33459</v>
          </cell>
        </row>
        <row r="1667">
          <cell r="C1667">
            <v>8010042983</v>
          </cell>
          <cell r="D1667" t="str">
            <v>对接异径套(PE配件)SDR17(1.0MPa)黑色 dn180X63</v>
          </cell>
          <cell r="E1667" t="str">
            <v>HDPE Butt-Fusion Reducing Coupler (1.0MPa) SDR17 dn180x63 Black</v>
          </cell>
        </row>
        <row r="1667">
          <cell r="G1667">
            <v>69938</v>
          </cell>
          <cell r="H1667">
            <v>69938</v>
          </cell>
          <cell r="I1667">
            <v>0.15</v>
          </cell>
          <cell r="J1667">
            <v>82280</v>
          </cell>
          <cell r="K1667">
            <v>0.14</v>
          </cell>
          <cell r="L1667">
            <v>81323</v>
          </cell>
        </row>
        <row r="1668">
          <cell r="C1668">
            <v>8010044822</v>
          </cell>
          <cell r="D1668" t="str">
            <v>对接异径套(PE配件)SDR11(1.6MPa)黑色 dn400X225</v>
          </cell>
          <cell r="E1668" t="str">
            <v>HDPE Butt-Fusion Reducing Coupler (1.6MPa) SDR11 dn400x225 Black</v>
          </cell>
        </row>
        <row r="1668">
          <cell r="G1668">
            <v>688505</v>
          </cell>
          <cell r="H1668">
            <v>688505</v>
          </cell>
          <cell r="I1668">
            <v>0.15</v>
          </cell>
          <cell r="J1668">
            <v>810006</v>
          </cell>
          <cell r="K1668">
            <v>0.14</v>
          </cell>
          <cell r="L1668">
            <v>800587</v>
          </cell>
        </row>
        <row r="1669">
          <cell r="C1669">
            <v>8010044911</v>
          </cell>
          <cell r="D1669" t="str">
            <v>对接异径套(PE配件)SDR11(1.6MPa)黑色 dn500X400</v>
          </cell>
          <cell r="E1669" t="str">
            <v>HDPE Butt-Fusion Reducing Coupler (1.6MPa) SDR11 dn500x400 Black</v>
          </cell>
        </row>
        <row r="1669">
          <cell r="G1669">
            <v>1889825</v>
          </cell>
          <cell r="H1669">
            <v>1889825</v>
          </cell>
          <cell r="I1669">
            <v>0.15</v>
          </cell>
          <cell r="J1669">
            <v>2223324</v>
          </cell>
          <cell r="K1669">
            <v>0.14</v>
          </cell>
          <cell r="L1669">
            <v>2197471</v>
          </cell>
        </row>
        <row r="1670">
          <cell r="C1670">
            <v>8010044562</v>
          </cell>
          <cell r="D1670" t="str">
            <v>对接异径套(PE配件)SDR11(1.6MPa)黑色 dn160X63</v>
          </cell>
          <cell r="E1670" t="str">
            <v>HDPE Butt-Fusion Reducing Coupler (1.6MPa) SDR11 dn160x63 Black</v>
          </cell>
        </row>
        <row r="1670">
          <cell r="G1670">
            <v>100363</v>
          </cell>
          <cell r="H1670">
            <v>100363</v>
          </cell>
          <cell r="I1670">
            <v>0.15</v>
          </cell>
          <cell r="J1670">
            <v>118075</v>
          </cell>
          <cell r="K1670">
            <v>0.14</v>
          </cell>
          <cell r="L1670">
            <v>116701</v>
          </cell>
        </row>
        <row r="1671">
          <cell r="C1671">
            <v>8010044613</v>
          </cell>
          <cell r="D1671" t="str">
            <v>对接异径套(PE配件)SDR11(1.6MPa)黑色 dn315X225</v>
          </cell>
          <cell r="E1671" t="str">
            <v>HDPE Butt-Fusion Reducing Coupler (1.6MPa) SDR11 dn315x225 Black</v>
          </cell>
        </row>
        <row r="1671">
          <cell r="G1671">
            <v>504557</v>
          </cell>
          <cell r="H1671">
            <v>504557</v>
          </cell>
          <cell r="I1671">
            <v>0.15</v>
          </cell>
          <cell r="J1671">
            <v>593597</v>
          </cell>
          <cell r="K1671">
            <v>0.14</v>
          </cell>
          <cell r="L1671">
            <v>586694</v>
          </cell>
        </row>
        <row r="1672">
          <cell r="C1672">
            <v>8010044633</v>
          </cell>
          <cell r="D1672" t="str">
            <v>对接异径套(PE配件)SDR11(1.6MPa)黑色 dn315X180</v>
          </cell>
          <cell r="E1672" t="str">
            <v>HDPE Butt-Fusion Reducing Coupler (1.6MPa) SDR11 dn315x180 Black</v>
          </cell>
        </row>
        <row r="1672">
          <cell r="G1672">
            <v>396769</v>
          </cell>
          <cell r="H1672">
            <v>396769</v>
          </cell>
          <cell r="I1672">
            <v>0.15</v>
          </cell>
          <cell r="J1672">
            <v>466788</v>
          </cell>
          <cell r="K1672">
            <v>0.14</v>
          </cell>
          <cell r="L1672">
            <v>461359</v>
          </cell>
        </row>
        <row r="1673">
          <cell r="C1673">
            <v>8010043784</v>
          </cell>
          <cell r="D1673" t="str">
            <v>对接异径套(PE配件)SDR11(1.6MPa)黑色 dn160X75</v>
          </cell>
          <cell r="E1673" t="str">
            <v>HDPE Butt-Fusion Reducing Coupler (1.0MPa) SDR11 dn160x75 Black</v>
          </cell>
        </row>
        <row r="1673">
          <cell r="G1673">
            <v>90500</v>
          </cell>
          <cell r="H1673">
            <v>90500</v>
          </cell>
          <cell r="I1673">
            <v>0.15</v>
          </cell>
          <cell r="J1673">
            <v>106471</v>
          </cell>
          <cell r="K1673">
            <v>0.14</v>
          </cell>
          <cell r="L1673">
            <v>105233</v>
          </cell>
        </row>
        <row r="1674">
          <cell r="C1674">
            <v>8010040837</v>
          </cell>
          <cell r="D1674" t="str">
            <v>对接异径套(PE配件)SDR11(1.6MPa)黑色 dn250X225</v>
          </cell>
          <cell r="E1674" t="str">
            <v>HDPE Butt-Fusion Reducing Coupler (1.6MPa) SDR11 dn250x225 Black</v>
          </cell>
        </row>
        <row r="1674">
          <cell r="G1674">
            <v>210343</v>
          </cell>
          <cell r="H1674">
            <v>210343</v>
          </cell>
          <cell r="I1674">
            <v>0.15</v>
          </cell>
          <cell r="J1674">
            <v>247463</v>
          </cell>
          <cell r="K1674">
            <v>0.14</v>
          </cell>
          <cell r="L1674">
            <v>244585</v>
          </cell>
        </row>
        <row r="1675">
          <cell r="C1675">
            <v>8010040838</v>
          </cell>
          <cell r="D1675" t="str">
            <v>对接异径套(PE配件)SDR11(1.6MPa)黑色 dn315X200</v>
          </cell>
          <cell r="E1675" t="str">
            <v>HDPE Butt-Fusion Reducing Coupler (1.6MPa) SDR11 dn315x200 Black</v>
          </cell>
        </row>
        <row r="1675">
          <cell r="G1675">
            <v>500587</v>
          </cell>
          <cell r="H1675">
            <v>500587</v>
          </cell>
          <cell r="I1675">
            <v>0.15</v>
          </cell>
          <cell r="J1675">
            <v>588926</v>
          </cell>
          <cell r="K1675">
            <v>0.14</v>
          </cell>
          <cell r="L1675">
            <v>582078</v>
          </cell>
        </row>
        <row r="1676">
          <cell r="C1676">
            <v>8010040839</v>
          </cell>
          <cell r="D1676" t="str">
            <v>对接异径套(PE配件)SDR11(1.6MPa)黑色 dn315X250</v>
          </cell>
          <cell r="E1676" t="str">
            <v>HDPE Butt-Fusion Reducing Coupler (1.6MPa) SDR11 dn315x250 Black</v>
          </cell>
        </row>
        <row r="1676">
          <cell r="G1676">
            <v>548200</v>
          </cell>
          <cell r="H1676">
            <v>548200</v>
          </cell>
          <cell r="I1676">
            <v>0.15</v>
          </cell>
          <cell r="J1676">
            <v>644942</v>
          </cell>
          <cell r="K1676">
            <v>0.14</v>
          </cell>
          <cell r="L1676">
            <v>637442</v>
          </cell>
        </row>
        <row r="1677">
          <cell r="C1677">
            <v>8010040840</v>
          </cell>
          <cell r="D1677" t="str">
            <v>对接异径套(PE配件)SDR11(1.6MPa)黑色 dn75X63</v>
          </cell>
          <cell r="E1677" t="str">
            <v>HDPE Butt-Fusion Reducing Coupler (1.6MPa) SDR11 dn75x63 Black</v>
          </cell>
        </row>
        <row r="1677">
          <cell r="G1677">
            <v>24157</v>
          </cell>
          <cell r="H1677">
            <v>24157</v>
          </cell>
          <cell r="I1677">
            <v>0.15</v>
          </cell>
          <cell r="J1677">
            <v>28420</v>
          </cell>
          <cell r="K1677">
            <v>0.14</v>
          </cell>
          <cell r="L1677">
            <v>28090</v>
          </cell>
        </row>
        <row r="1678">
          <cell r="C1678">
            <v>8010040841</v>
          </cell>
          <cell r="D1678" t="str">
            <v>对接异径套(PE配件)SDR11(1.6MPa)黑色 dn90X63</v>
          </cell>
          <cell r="E1678" t="str">
            <v>HDPE Butt-Fusion Reducing Coupler (1.6MPa) SDR11 dn90x63 Black</v>
          </cell>
        </row>
        <row r="1678">
          <cell r="G1678">
            <v>30131</v>
          </cell>
          <cell r="H1678">
            <v>30131</v>
          </cell>
          <cell r="I1678">
            <v>0.15</v>
          </cell>
          <cell r="J1678">
            <v>35449</v>
          </cell>
          <cell r="K1678">
            <v>0.14</v>
          </cell>
          <cell r="L1678">
            <v>35036</v>
          </cell>
        </row>
        <row r="1679">
          <cell r="C1679">
            <v>8010040842</v>
          </cell>
          <cell r="D1679" t="str">
            <v>对接异径套(PE配件)SDR11(1.6MPa)黑色 dn90X75</v>
          </cell>
          <cell r="E1679" t="str">
            <v>HDPE Butt-Fusion Reducing Coupler (1.6MPa) SDR11 dn90x75 Black</v>
          </cell>
        </row>
        <row r="1679">
          <cell r="G1679">
            <v>28868</v>
          </cell>
          <cell r="H1679">
            <v>28868</v>
          </cell>
          <cell r="I1679">
            <v>0.15</v>
          </cell>
          <cell r="J1679">
            <v>33963</v>
          </cell>
          <cell r="K1679">
            <v>0.14</v>
          </cell>
          <cell r="L1679">
            <v>33567</v>
          </cell>
        </row>
        <row r="1680">
          <cell r="C1680">
            <v>8010040836</v>
          </cell>
          <cell r="D1680" t="str">
            <v>对接异径套(PE配件)SDR11(1.6MPa)黑色 dn250X200</v>
          </cell>
          <cell r="E1680" t="str">
            <v>HDPE Butt-Fusion Reducing Coupler (1.0MPa) SDR17 dn250x200 Black</v>
          </cell>
        </row>
        <row r="1680">
          <cell r="G1680">
            <v>221149</v>
          </cell>
          <cell r="H1680">
            <v>221149</v>
          </cell>
          <cell r="I1680">
            <v>0.15</v>
          </cell>
          <cell r="J1680">
            <v>260176</v>
          </cell>
          <cell r="K1680">
            <v>0.14</v>
          </cell>
          <cell r="L1680">
            <v>257150</v>
          </cell>
        </row>
        <row r="1681">
          <cell r="C1681">
            <v>8010040816</v>
          </cell>
          <cell r="D1681" t="str">
            <v>对接异径套(PE配件)SDR11(1.6MPa)黑色 dn110X50</v>
          </cell>
          <cell r="E1681" t="str">
            <v>HDPE Butt-Fusion Reducing Coupler (1.6MPa) SDR11 dn110x50 Black</v>
          </cell>
        </row>
        <row r="1681">
          <cell r="G1681">
            <v>36640</v>
          </cell>
          <cell r="H1681">
            <v>36640</v>
          </cell>
          <cell r="I1681">
            <v>0.15</v>
          </cell>
          <cell r="J1681">
            <v>43106</v>
          </cell>
          <cell r="K1681">
            <v>0.14</v>
          </cell>
          <cell r="L1681">
            <v>42605</v>
          </cell>
        </row>
        <row r="1682">
          <cell r="C1682">
            <v>8010040817</v>
          </cell>
          <cell r="D1682" t="str">
            <v>对接异径套(PE配件)SDR11(1.6MPa)黑色 dn110X63</v>
          </cell>
          <cell r="E1682" t="str">
            <v>HDPE Butt-Fusion Reducing Coupler (1.6MPa) SDR11 dn110x63 Black</v>
          </cell>
        </row>
        <row r="1682">
          <cell r="G1682">
            <v>39633</v>
          </cell>
          <cell r="H1682">
            <v>39633</v>
          </cell>
          <cell r="I1682">
            <v>0.15</v>
          </cell>
          <cell r="J1682">
            <v>46628</v>
          </cell>
          <cell r="K1682">
            <v>0.14</v>
          </cell>
          <cell r="L1682">
            <v>46085</v>
          </cell>
        </row>
        <row r="1683">
          <cell r="C1683">
            <v>8010040818</v>
          </cell>
          <cell r="D1683" t="str">
            <v>对接异径套(PE配件)SDR11(1.6MPa)黑色 dn110X75</v>
          </cell>
          <cell r="E1683" t="str">
            <v>HDPE Butt-Fusion Reducing Coupler (1.6MPa) SDR11 dn110x75 Black</v>
          </cell>
        </row>
        <row r="1683">
          <cell r="G1683">
            <v>39640</v>
          </cell>
          <cell r="H1683">
            <v>39640</v>
          </cell>
          <cell r="I1683">
            <v>0.15</v>
          </cell>
          <cell r="J1683">
            <v>46636</v>
          </cell>
          <cell r="K1683">
            <v>0.14</v>
          </cell>
          <cell r="L1683">
            <v>46093</v>
          </cell>
        </row>
        <row r="1684">
          <cell r="C1684">
            <v>8010040819</v>
          </cell>
          <cell r="D1684" t="str">
            <v>对接异径套(PE配件)SDR11(1.6MPa)黑色 dn110X90</v>
          </cell>
          <cell r="E1684" t="str">
            <v>HDPE Butt-Fusion Reducing Coupler (1.6MPa) SDR11 dn110x90 Black</v>
          </cell>
        </row>
        <row r="1684">
          <cell r="G1684">
            <v>42213</v>
          </cell>
          <cell r="H1684">
            <v>42213</v>
          </cell>
          <cell r="I1684">
            <v>0.15</v>
          </cell>
          <cell r="J1684">
            <v>49663</v>
          </cell>
          <cell r="K1684">
            <v>0.14</v>
          </cell>
          <cell r="L1684">
            <v>49085</v>
          </cell>
        </row>
        <row r="1685">
          <cell r="C1685">
            <v>8010040820</v>
          </cell>
          <cell r="D1685" t="str">
            <v>对接异径套(PE配件)SDR11(1.6MPa)黑色 dn125X110</v>
          </cell>
          <cell r="E1685" t="str">
            <v>HDPE Butt-Fusion Reducing Coupler (1.6MPa) SDR11 dn125x110 Black</v>
          </cell>
        </row>
        <row r="1685">
          <cell r="G1685">
            <v>52785</v>
          </cell>
          <cell r="H1685">
            <v>52785</v>
          </cell>
          <cell r="I1685">
            <v>0.15</v>
          </cell>
          <cell r="J1685">
            <v>62100</v>
          </cell>
          <cell r="K1685">
            <v>0.14</v>
          </cell>
          <cell r="L1685">
            <v>61378</v>
          </cell>
        </row>
        <row r="1686">
          <cell r="C1686">
            <v>8010040821</v>
          </cell>
          <cell r="D1686" t="str">
            <v>对接异径套(PE配件)SDR11(1.6MPa)黑色 dn125X63</v>
          </cell>
          <cell r="E1686" t="str">
            <v>HDPE Butt-Fusion Reducing Coupler (1.6MPa) SDR11 dn125x63 Black</v>
          </cell>
        </row>
        <row r="1686">
          <cell r="G1686">
            <v>45086</v>
          </cell>
          <cell r="H1686">
            <v>45086</v>
          </cell>
          <cell r="I1686">
            <v>0.15</v>
          </cell>
          <cell r="J1686">
            <v>53043</v>
          </cell>
          <cell r="K1686">
            <v>0.14</v>
          </cell>
          <cell r="L1686">
            <v>52426</v>
          </cell>
        </row>
        <row r="1687">
          <cell r="C1687">
            <v>8010040822</v>
          </cell>
          <cell r="D1687" t="str">
            <v>对接异径套(PE配件)SDR11(1.6MPa)黑色 dn125X90</v>
          </cell>
          <cell r="E1687" t="str">
            <v>HDPE Butt-Fusion Reducing Coupler (1.6MPa) SDR11 dn125x90 Black</v>
          </cell>
        </row>
        <row r="1687">
          <cell r="G1687">
            <v>45173</v>
          </cell>
          <cell r="H1687">
            <v>45173</v>
          </cell>
          <cell r="I1687">
            <v>0.15</v>
          </cell>
          <cell r="J1687">
            <v>53145</v>
          </cell>
          <cell r="K1687">
            <v>0.14</v>
          </cell>
          <cell r="L1687">
            <v>52527</v>
          </cell>
        </row>
        <row r="1688">
          <cell r="C1688">
            <v>8010040823</v>
          </cell>
          <cell r="D1688" t="str">
            <v>对接异径套(PE配件)SDR11(1.6MPa)黑色 dn160X110</v>
          </cell>
          <cell r="E1688" t="str">
            <v>HDPE Butt-Fusion Reducing Coupler (1.6MPa) SDR11 dn160x110 Black</v>
          </cell>
        </row>
        <row r="1688">
          <cell r="G1688">
            <v>82334</v>
          </cell>
          <cell r="H1688">
            <v>82334</v>
          </cell>
          <cell r="I1688">
            <v>0.15</v>
          </cell>
          <cell r="J1688">
            <v>96864</v>
          </cell>
          <cell r="K1688">
            <v>0.14</v>
          </cell>
          <cell r="L1688">
            <v>95737</v>
          </cell>
        </row>
        <row r="1689">
          <cell r="C1689">
            <v>8010040824</v>
          </cell>
          <cell r="D1689" t="str">
            <v>对接异径套(PE配件)SDR11(1.6MPa)黑色 dn160X125</v>
          </cell>
          <cell r="E1689" t="str">
            <v>HDPE Butt-Fusion Reducing Coupler (1.6MPa) SDR11 dn160x125 Black</v>
          </cell>
        </row>
        <row r="1689">
          <cell r="G1689">
            <v>78545</v>
          </cell>
          <cell r="H1689">
            <v>78545</v>
          </cell>
          <cell r="I1689">
            <v>0.15</v>
          </cell>
          <cell r="J1689">
            <v>92406</v>
          </cell>
          <cell r="K1689">
            <v>0.14</v>
          </cell>
          <cell r="L1689">
            <v>91331</v>
          </cell>
        </row>
        <row r="1690">
          <cell r="C1690">
            <v>8010040825</v>
          </cell>
          <cell r="D1690" t="str">
            <v>对接异径套(PE配件)SDR11(1.6MPa)黑色 dn160X90</v>
          </cell>
          <cell r="E1690" t="str">
            <v>HDPE Butt-Fusion Reducing Coupler (1.6MPa) SDR11 dn160x90 Black</v>
          </cell>
        </row>
        <row r="1690">
          <cell r="G1690">
            <v>78197</v>
          </cell>
          <cell r="H1690">
            <v>78197</v>
          </cell>
          <cell r="I1690">
            <v>0.15</v>
          </cell>
          <cell r="J1690">
            <v>91997</v>
          </cell>
          <cell r="K1690">
            <v>0.14</v>
          </cell>
          <cell r="L1690">
            <v>90927</v>
          </cell>
        </row>
        <row r="1691">
          <cell r="C1691">
            <v>8010040826</v>
          </cell>
          <cell r="D1691" t="str">
            <v>对接异径套(PE配件)SDR11(1.6MPa)黑色 dn180X110</v>
          </cell>
          <cell r="E1691" t="str">
            <v>HDPE Butt-Fusion Reducing Coupler (1.6MPa) SDR11 dn180x110 Black</v>
          </cell>
        </row>
        <row r="1691">
          <cell r="G1691">
            <v>84112</v>
          </cell>
          <cell r="H1691">
            <v>84112</v>
          </cell>
          <cell r="I1691">
            <v>0.15</v>
          </cell>
          <cell r="J1691">
            <v>98956</v>
          </cell>
          <cell r="K1691">
            <v>0.14</v>
          </cell>
          <cell r="L1691">
            <v>97805</v>
          </cell>
        </row>
        <row r="1692">
          <cell r="C1692">
            <v>8010040827</v>
          </cell>
          <cell r="D1692" t="str">
            <v>对接异径套(PE配件)SDR11(1.6MPa)黑色 dn180X160</v>
          </cell>
          <cell r="E1692" t="str">
            <v>HDPE Butt-Fusion Reducing Coupler (1.6MPa) SDR11 dn180x160 Black</v>
          </cell>
        </row>
        <row r="1692">
          <cell r="G1692">
            <v>96487</v>
          </cell>
          <cell r="H1692">
            <v>96487</v>
          </cell>
          <cell r="I1692">
            <v>0.15</v>
          </cell>
          <cell r="J1692">
            <v>113515</v>
          </cell>
          <cell r="K1692">
            <v>0.14</v>
          </cell>
          <cell r="L1692">
            <v>112194</v>
          </cell>
        </row>
        <row r="1693">
          <cell r="C1693">
            <v>8010040828</v>
          </cell>
          <cell r="D1693" t="str">
            <v>对接异径套(PE配件)SDR11(1.6MPa)黑色 dn180X63</v>
          </cell>
          <cell r="E1693" t="str">
            <v>HDPE Butt-Fusion Reducing Coupler (1.6MPa) SDR11 dn180x63 Black</v>
          </cell>
        </row>
        <row r="1693">
          <cell r="G1693">
            <v>70440</v>
          </cell>
          <cell r="H1693">
            <v>70440</v>
          </cell>
          <cell r="I1693">
            <v>0.15</v>
          </cell>
          <cell r="J1693">
            <v>82871</v>
          </cell>
          <cell r="K1693">
            <v>0.14</v>
          </cell>
          <cell r="L1693">
            <v>81907</v>
          </cell>
        </row>
        <row r="1694">
          <cell r="C1694">
            <v>8010040829</v>
          </cell>
          <cell r="D1694" t="str">
            <v>对接异径套(PE配件)SDR11(1.6MPa)黑色 dn200X110</v>
          </cell>
          <cell r="E1694" t="str">
            <v>HDPE Butt-Fusion Reducing Coupler (1.6MPa) SDR11 dn200x110 Black</v>
          </cell>
        </row>
        <row r="1694">
          <cell r="G1694">
            <v>128195</v>
          </cell>
          <cell r="H1694">
            <v>128195</v>
          </cell>
          <cell r="I1694">
            <v>0.15</v>
          </cell>
          <cell r="J1694">
            <v>150818</v>
          </cell>
          <cell r="K1694">
            <v>0.14</v>
          </cell>
          <cell r="L1694">
            <v>149064</v>
          </cell>
        </row>
        <row r="1695">
          <cell r="C1695">
            <v>8010040830</v>
          </cell>
          <cell r="D1695" t="str">
            <v>对接异径套(PE配件)SDR11(1.6MPa)黑色 dn200X160</v>
          </cell>
          <cell r="E1695" t="str">
            <v>HDPE Butt-Fusion Reducing Coupler (1.6MPa) SDR11 dn200x160 Black</v>
          </cell>
        </row>
        <row r="1695">
          <cell r="G1695">
            <v>135112</v>
          </cell>
          <cell r="H1695">
            <v>135112</v>
          </cell>
          <cell r="I1695">
            <v>0.15</v>
          </cell>
          <cell r="J1695">
            <v>158956</v>
          </cell>
          <cell r="K1695">
            <v>0.14</v>
          </cell>
          <cell r="L1695">
            <v>157107</v>
          </cell>
        </row>
        <row r="1696">
          <cell r="C1696">
            <v>8010040831</v>
          </cell>
          <cell r="D1696" t="str">
            <v>对接异径套(PE配件)SDR11(1.6MPa)黑色 dn200X180</v>
          </cell>
          <cell r="E1696" t="str">
            <v>HDPE Butt-Fusion Reducing Coupler (1.6MPa) SDR11 dn200x180 Black</v>
          </cell>
        </row>
        <row r="1696">
          <cell r="G1696">
            <v>132540</v>
          </cell>
          <cell r="H1696">
            <v>132540</v>
          </cell>
          <cell r="I1696">
            <v>0.15</v>
          </cell>
          <cell r="J1696">
            <v>155930</v>
          </cell>
          <cell r="K1696">
            <v>0.14</v>
          </cell>
          <cell r="L1696">
            <v>154116</v>
          </cell>
        </row>
        <row r="1697">
          <cell r="C1697">
            <v>8010040832</v>
          </cell>
          <cell r="D1697" t="str">
            <v>对接异径套(PE配件)SDR11(1.6MPa)黑色 dn225X160</v>
          </cell>
          <cell r="E1697" t="str">
            <v>HDPE Butt-Fusion Reducing Coupler (1.6MPa) SDR11 dn225x160 Black</v>
          </cell>
        </row>
        <row r="1697">
          <cell r="G1697">
            <v>170081</v>
          </cell>
          <cell r="H1697">
            <v>170081</v>
          </cell>
          <cell r="I1697">
            <v>0.15</v>
          </cell>
          <cell r="J1697">
            <v>200096</v>
          </cell>
          <cell r="K1697">
            <v>0.14</v>
          </cell>
          <cell r="L1697">
            <v>197769</v>
          </cell>
        </row>
        <row r="1698">
          <cell r="C1698">
            <v>8010040833</v>
          </cell>
          <cell r="D1698" t="str">
            <v>对接异径套(PE配件)SDR11(1.6MPa)黑色 dn225X200</v>
          </cell>
          <cell r="E1698" t="str">
            <v>HDPE Butt-Fusion Reducing Coupler (1.6MPa) SDR11 dn225x200 Black</v>
          </cell>
        </row>
        <row r="1698">
          <cell r="G1698">
            <v>176129</v>
          </cell>
          <cell r="H1698">
            <v>176129</v>
          </cell>
          <cell r="I1698">
            <v>0.15</v>
          </cell>
          <cell r="J1698">
            <v>207211</v>
          </cell>
          <cell r="K1698">
            <v>0.14</v>
          </cell>
          <cell r="L1698">
            <v>204801</v>
          </cell>
        </row>
        <row r="1699">
          <cell r="C1699">
            <v>8010040834</v>
          </cell>
          <cell r="D1699" t="str">
            <v>对接异径套(PE配件)SDR11(1.6MPa)黑色 dn250X110</v>
          </cell>
          <cell r="E1699" t="str">
            <v>HDPE Butt-Fusion Reducing Coupler (1.6MPa) SDR11 dn250x110 Black</v>
          </cell>
        </row>
        <row r="1699">
          <cell r="G1699">
            <v>168872</v>
          </cell>
          <cell r="H1699">
            <v>168872</v>
          </cell>
          <cell r="I1699">
            <v>0.15</v>
          </cell>
          <cell r="J1699">
            <v>198673</v>
          </cell>
          <cell r="K1699">
            <v>0.14</v>
          </cell>
          <cell r="L1699">
            <v>196363</v>
          </cell>
        </row>
        <row r="1700">
          <cell r="C1700">
            <v>8010040835</v>
          </cell>
          <cell r="D1700" t="str">
            <v>对接异径套(PE配件)SDR11(1.6MPa)黑色 dn250X160</v>
          </cell>
          <cell r="E1700" t="str">
            <v>HDPE Butt-Fusion Reducing Coupler (1.6MPa) SDR11 dn250x160 Black</v>
          </cell>
        </row>
        <row r="1700">
          <cell r="G1700">
            <v>237394</v>
          </cell>
          <cell r="H1700">
            <v>237394</v>
          </cell>
          <cell r="I1700">
            <v>0.15</v>
          </cell>
          <cell r="J1700">
            <v>279288</v>
          </cell>
          <cell r="K1700">
            <v>0.14</v>
          </cell>
          <cell r="L1700">
            <v>276040</v>
          </cell>
        </row>
        <row r="1701">
          <cell r="C1701">
            <v>8010043391</v>
          </cell>
          <cell r="D1701" t="str">
            <v>对接异径套(PE配件)SDR11(1.6MPa)黑色 dn315X160</v>
          </cell>
          <cell r="E1701" t="str">
            <v>HDPE Butt-Fusion Reducing Coupler (1.6MPa) SDR11 dn315x160 Black</v>
          </cell>
        </row>
        <row r="1701">
          <cell r="G1701">
            <v>447676</v>
          </cell>
          <cell r="H1701">
            <v>447676</v>
          </cell>
          <cell r="I1701">
            <v>0.15</v>
          </cell>
          <cell r="J1701">
            <v>526678</v>
          </cell>
          <cell r="K1701">
            <v>0.14</v>
          </cell>
          <cell r="L1701">
            <v>520553</v>
          </cell>
        </row>
        <row r="1702">
          <cell r="C1702">
            <v>8010042755</v>
          </cell>
          <cell r="D1702" t="str">
            <v>对接异径套(PE配件)SDR11(1.6MPa)黑色 dn355X315</v>
          </cell>
          <cell r="E1702" t="str">
            <v>HDPE Butt-Fusion Reducing Coupler (1.6MPa) SDR11 dn355x315 Black</v>
          </cell>
        </row>
        <row r="1702">
          <cell r="G1702">
            <v>672413</v>
          </cell>
          <cell r="H1702">
            <v>672413</v>
          </cell>
          <cell r="I1702">
            <v>0.15</v>
          </cell>
          <cell r="J1702">
            <v>791075</v>
          </cell>
          <cell r="K1702">
            <v>0.14</v>
          </cell>
          <cell r="L1702">
            <v>781876</v>
          </cell>
        </row>
        <row r="1703">
          <cell r="C1703">
            <v>8010045489</v>
          </cell>
          <cell r="D1703" t="str">
            <v>对接管帽(PE配件)SDR17(1.0MPa)黑色 dn800</v>
          </cell>
          <cell r="E1703" t="str">
            <v>HDPE Butt-Fusion Cap (1.0MPa) SDR17 dn800 Black</v>
          </cell>
        </row>
        <row r="1703">
          <cell r="G1703">
            <v>2963224</v>
          </cell>
          <cell r="H1703">
            <v>2963224</v>
          </cell>
          <cell r="I1703">
            <v>0.15</v>
          </cell>
          <cell r="J1703">
            <v>3486146</v>
          </cell>
          <cell r="K1703">
            <v>0.14</v>
          </cell>
          <cell r="L1703">
            <v>3445609</v>
          </cell>
        </row>
        <row r="1704">
          <cell r="C1704">
            <v>8010044972</v>
          </cell>
          <cell r="D1704" t="str">
            <v>对接管帽(PE配件)SDR17(1.0MPa)黑色 dn710</v>
          </cell>
          <cell r="E1704" t="str">
            <v>HDPE Butt-Fusion Cap (1.0MPa) SDR17 dn710 Black</v>
          </cell>
        </row>
        <row r="1704">
          <cell r="G1704">
            <v>2226921</v>
          </cell>
          <cell r="H1704">
            <v>2226921</v>
          </cell>
          <cell r="I1704">
            <v>0.15</v>
          </cell>
          <cell r="J1704">
            <v>2619908</v>
          </cell>
          <cell r="K1704">
            <v>0.14</v>
          </cell>
          <cell r="L1704">
            <v>2589443</v>
          </cell>
        </row>
        <row r="1705">
          <cell r="C1705">
            <v>8010044503</v>
          </cell>
          <cell r="D1705" t="str">
            <v>对接管帽(PE配件)SDR17(1.0MPa)黑色 dn63</v>
          </cell>
          <cell r="E1705" t="str">
            <v>HDPE Butt-Fusion Cap (1.0MPa) SDR17 dn63 Black</v>
          </cell>
        </row>
        <row r="1705">
          <cell r="G1705">
            <v>12696</v>
          </cell>
          <cell r="H1705">
            <v>12696</v>
          </cell>
          <cell r="I1705">
            <v>0.15</v>
          </cell>
          <cell r="J1705">
            <v>14937</v>
          </cell>
          <cell r="K1705">
            <v>0.14</v>
          </cell>
          <cell r="L1705">
            <v>14763</v>
          </cell>
        </row>
        <row r="1706">
          <cell r="C1706">
            <v>8010044504</v>
          </cell>
          <cell r="D1706" t="str">
            <v>对接管帽(PE配件)SDR17(1.0MPa)黑色 dn125</v>
          </cell>
          <cell r="E1706" t="str">
            <v>HDPE Butt-Fusion Cap (1.0MPa) SDR17 dn125 Black</v>
          </cell>
        </row>
        <row r="1706">
          <cell r="G1706">
            <v>34522</v>
          </cell>
          <cell r="H1706">
            <v>34522</v>
          </cell>
          <cell r="I1706">
            <v>0.15</v>
          </cell>
          <cell r="J1706">
            <v>40615</v>
          </cell>
          <cell r="K1706">
            <v>0.14</v>
          </cell>
          <cell r="L1706">
            <v>40142</v>
          </cell>
        </row>
        <row r="1707">
          <cell r="C1707">
            <v>8010044689</v>
          </cell>
          <cell r="D1707" t="str">
            <v>对接管帽(PE配件)SDR17(1.0MPa)黑色 dn500</v>
          </cell>
          <cell r="E1707" t="str">
            <v>HDPE Butt-Fusion Cap (1.0MPa) SDR17 dn500 Black</v>
          </cell>
        </row>
        <row r="1707">
          <cell r="G1707">
            <v>832711</v>
          </cell>
          <cell r="H1707">
            <v>832711</v>
          </cell>
          <cell r="I1707">
            <v>0.15</v>
          </cell>
          <cell r="J1707">
            <v>979660</v>
          </cell>
          <cell r="K1707">
            <v>0.14</v>
          </cell>
          <cell r="L1707">
            <v>968269</v>
          </cell>
        </row>
        <row r="1708">
          <cell r="C1708">
            <v>8010044690</v>
          </cell>
          <cell r="D1708" t="str">
            <v>对接管帽(PE配件)SDR17(1.0MPa)黑色 dn560</v>
          </cell>
          <cell r="E1708" t="str">
            <v>HDPE Butt-Fusion Cap (1.0MPa) SDR17 dn560 Black</v>
          </cell>
        </row>
        <row r="1708">
          <cell r="G1708">
            <v>1052924</v>
          </cell>
          <cell r="H1708">
            <v>1052924</v>
          </cell>
          <cell r="I1708">
            <v>0.15</v>
          </cell>
          <cell r="J1708">
            <v>1238735</v>
          </cell>
          <cell r="K1708">
            <v>0.14</v>
          </cell>
          <cell r="L1708">
            <v>1224330</v>
          </cell>
        </row>
        <row r="1709">
          <cell r="C1709">
            <v>8010044691</v>
          </cell>
          <cell r="D1709" t="str">
            <v>对接管帽(PE配件)SDR17(1.0MPa)黑色 dn630</v>
          </cell>
          <cell r="E1709" t="str">
            <v>HDPE Butt-Fusion Cap (1.0MPa) SDR17 dn630 Black</v>
          </cell>
        </row>
        <row r="1709">
          <cell r="G1709">
            <v>1504704</v>
          </cell>
          <cell r="H1709">
            <v>1504704</v>
          </cell>
          <cell r="I1709">
            <v>0.15</v>
          </cell>
          <cell r="J1709">
            <v>1770240</v>
          </cell>
          <cell r="K1709">
            <v>0.14</v>
          </cell>
          <cell r="L1709">
            <v>1749656</v>
          </cell>
        </row>
        <row r="1710">
          <cell r="C1710">
            <v>8010044698</v>
          </cell>
          <cell r="D1710" t="str">
            <v>对接管帽(PE配件)SDR17(1.0MPa)黑色 dn450</v>
          </cell>
          <cell r="E1710" t="str">
            <v>HDPE Butt-Fusion Cap (1.0MPa) SDR17 dn450 Black</v>
          </cell>
        </row>
        <row r="1710">
          <cell r="G1710">
            <v>658961</v>
          </cell>
          <cell r="H1710">
            <v>658961</v>
          </cell>
          <cell r="I1710">
            <v>0.15</v>
          </cell>
          <cell r="J1710">
            <v>775249</v>
          </cell>
          <cell r="K1710">
            <v>0.14</v>
          </cell>
          <cell r="L1710">
            <v>766234</v>
          </cell>
        </row>
        <row r="1711">
          <cell r="C1711">
            <v>8010041409</v>
          </cell>
          <cell r="D1711" t="str">
            <v>对接管帽(PE配件)SDR17(1.0MPa)黑色 dn90</v>
          </cell>
          <cell r="E1711" t="str">
            <v>HDPE Butt-Fusion End Cap (1.0MPa) SDR17 dn90 Black</v>
          </cell>
        </row>
        <row r="1711">
          <cell r="G1711">
            <v>20942</v>
          </cell>
          <cell r="H1711">
            <v>20942</v>
          </cell>
          <cell r="I1711">
            <v>0.15</v>
          </cell>
          <cell r="J1711">
            <v>24638</v>
          </cell>
          <cell r="K1711">
            <v>0.14</v>
          </cell>
          <cell r="L1711">
            <v>24351</v>
          </cell>
        </row>
        <row r="1712">
          <cell r="C1712">
            <v>8010041542</v>
          </cell>
          <cell r="D1712" t="str">
            <v>对接管帽(PE配件)SDR17(1.0MPa)黑色 dn110</v>
          </cell>
          <cell r="E1712" t="str">
            <v>HDPE Butt-Fusion Cap (1.0MPa) SDR17 dn110 Black</v>
          </cell>
        </row>
        <row r="1712">
          <cell r="G1712">
            <v>28400</v>
          </cell>
          <cell r="H1712">
            <v>28400</v>
          </cell>
          <cell r="I1712">
            <v>0.15</v>
          </cell>
          <cell r="J1712">
            <v>33412</v>
          </cell>
          <cell r="K1712">
            <v>0.14</v>
          </cell>
          <cell r="L1712">
            <v>33023</v>
          </cell>
        </row>
        <row r="1713">
          <cell r="C1713">
            <v>8010041543</v>
          </cell>
          <cell r="D1713" t="str">
            <v>对接管帽(PE配件)SDR17(1.0MPa)黑色 dn250</v>
          </cell>
          <cell r="E1713" t="str">
            <v>HDPE Butt-Fusion Cap (1.0MPa) SDR17 dn250 Black</v>
          </cell>
        </row>
        <row r="1713">
          <cell r="G1713">
            <v>188084</v>
          </cell>
          <cell r="H1713">
            <v>188084</v>
          </cell>
          <cell r="I1713">
            <v>0.15</v>
          </cell>
          <cell r="J1713">
            <v>221276</v>
          </cell>
          <cell r="K1713">
            <v>0.14</v>
          </cell>
          <cell r="L1713">
            <v>218702</v>
          </cell>
        </row>
        <row r="1714">
          <cell r="C1714">
            <v>8010042238</v>
          </cell>
          <cell r="D1714" t="str">
            <v>对接管帽(PE配件)SDR17(1.0MPa)黑色 dn75</v>
          </cell>
          <cell r="E1714" t="str">
            <v>HDPE Butt-Fusion Cap (1.0MPa) SDR17 dn75 Black</v>
          </cell>
        </row>
        <row r="1714">
          <cell r="G1714">
            <v>15710</v>
          </cell>
          <cell r="H1714">
            <v>15710</v>
          </cell>
          <cell r="I1714">
            <v>0.15</v>
          </cell>
          <cell r="J1714">
            <v>18483</v>
          </cell>
          <cell r="K1714">
            <v>0.14</v>
          </cell>
          <cell r="L1714">
            <v>18267</v>
          </cell>
        </row>
        <row r="1715">
          <cell r="C1715">
            <v>8010042982</v>
          </cell>
          <cell r="D1715" t="str">
            <v>对接管帽(PE配件)SDR17(1.0MPa)黑色 dn180</v>
          </cell>
          <cell r="E1715" t="str">
            <v>HDPE Butt-Fusion Cap (1.0MPa) SDR17 dn180 Black</v>
          </cell>
        </row>
        <row r="1715">
          <cell r="G1715">
            <v>75104</v>
          </cell>
          <cell r="H1715">
            <v>75104</v>
          </cell>
          <cell r="I1715">
            <v>0.15</v>
          </cell>
          <cell r="J1715">
            <v>88358</v>
          </cell>
          <cell r="K1715">
            <v>0.14</v>
          </cell>
          <cell r="L1715">
            <v>87330</v>
          </cell>
        </row>
        <row r="1716">
          <cell r="C1716">
            <v>8010040695</v>
          </cell>
          <cell r="D1716" t="str">
            <v>对接管帽(PE配件)SDR17(1.0MPa)黑色 dn355</v>
          </cell>
          <cell r="E1716" t="str">
            <v>HDPE Butt-Fusion Cap (1.0MPa) SDR17 dn355 Black</v>
          </cell>
        </row>
        <row r="1716">
          <cell r="G1716">
            <v>253224</v>
          </cell>
          <cell r="H1716">
            <v>253224</v>
          </cell>
          <cell r="I1716">
            <v>0.15</v>
          </cell>
          <cell r="J1716">
            <v>297911</v>
          </cell>
          <cell r="K1716">
            <v>0.14</v>
          </cell>
          <cell r="L1716">
            <v>294447</v>
          </cell>
        </row>
        <row r="1717">
          <cell r="C1717">
            <v>8010040696</v>
          </cell>
          <cell r="D1717" t="str">
            <v>对接管帽(PE配件)SDR17(1.0MPa)黑色 dn400</v>
          </cell>
          <cell r="E1717" t="str">
            <v>HDPE Butt-Fusion Cap (1.0MPa) SDR17 dn400 Black</v>
          </cell>
        </row>
        <row r="1717">
          <cell r="G1717">
            <v>442664</v>
          </cell>
          <cell r="H1717">
            <v>442664</v>
          </cell>
          <cell r="I1717">
            <v>0.15</v>
          </cell>
          <cell r="J1717">
            <v>520782</v>
          </cell>
          <cell r="K1717">
            <v>0.14</v>
          </cell>
          <cell r="L1717">
            <v>514726</v>
          </cell>
        </row>
        <row r="1718">
          <cell r="C1718">
            <v>8010040694</v>
          </cell>
          <cell r="D1718" t="str">
            <v>对接管帽(PE配件)SDR17(1.0MPa)黑色 dn315</v>
          </cell>
          <cell r="E1718" t="str">
            <v>HDPE Butt-Fusion Cap (1.0MPa) SDR17 dn315 Black</v>
          </cell>
        </row>
        <row r="1718">
          <cell r="G1718">
            <v>250785</v>
          </cell>
          <cell r="H1718">
            <v>250785</v>
          </cell>
          <cell r="I1718">
            <v>0.15</v>
          </cell>
          <cell r="J1718">
            <v>295042</v>
          </cell>
          <cell r="K1718">
            <v>0.14</v>
          </cell>
          <cell r="L1718">
            <v>291610</v>
          </cell>
        </row>
        <row r="1719">
          <cell r="C1719">
            <v>8010040691</v>
          </cell>
          <cell r="D1719" t="str">
            <v>对接管帽(PE配件)SDR17(1.0MPa)黑色 dn160</v>
          </cell>
          <cell r="E1719" t="str">
            <v>HDPE Butt-Fusion Cap (1.0MPa) SDR17 dn160 Black</v>
          </cell>
        </row>
        <row r="1719">
          <cell r="G1719">
            <v>67532</v>
          </cell>
          <cell r="H1719">
            <v>67532</v>
          </cell>
          <cell r="I1719">
            <v>0.15</v>
          </cell>
          <cell r="J1719">
            <v>79450</v>
          </cell>
          <cell r="K1719">
            <v>0.14</v>
          </cell>
          <cell r="L1719">
            <v>78526</v>
          </cell>
        </row>
        <row r="1720">
          <cell r="C1720">
            <v>8010040692</v>
          </cell>
          <cell r="D1720" t="str">
            <v>对接管帽(PE配件)SDR17(1.0MPa)黑色 dn200</v>
          </cell>
          <cell r="E1720" t="str">
            <v>HDPE Butt-Fusion Cap (1.0MPa) SDR17 dn200 Black</v>
          </cell>
        </row>
        <row r="1720">
          <cell r="G1720">
            <v>106972</v>
          </cell>
          <cell r="H1720">
            <v>106972</v>
          </cell>
          <cell r="I1720">
            <v>0.15</v>
          </cell>
          <cell r="J1720">
            <v>125850</v>
          </cell>
          <cell r="K1720">
            <v>0.14</v>
          </cell>
          <cell r="L1720">
            <v>124386</v>
          </cell>
        </row>
        <row r="1721">
          <cell r="C1721">
            <v>8010040693</v>
          </cell>
          <cell r="D1721" t="str">
            <v>对接管帽(PE配件)SDR17(1.0MPa)黑色 dn225</v>
          </cell>
          <cell r="E1721" t="str">
            <v>HDPE Butt-Fusion Cap (1.0MPa) SDR17 dn225 Black</v>
          </cell>
        </row>
        <row r="1721">
          <cell r="G1721">
            <v>143946</v>
          </cell>
          <cell r="H1721">
            <v>143946</v>
          </cell>
          <cell r="I1721">
            <v>0.15</v>
          </cell>
          <cell r="J1721">
            <v>169349</v>
          </cell>
          <cell r="K1721">
            <v>0.14</v>
          </cell>
          <cell r="L1721">
            <v>167379</v>
          </cell>
        </row>
        <row r="1722">
          <cell r="C1722">
            <v>8010044466</v>
          </cell>
          <cell r="D1722" t="str">
            <v>对接管帽(PE配件)SDR11(1.6MPa)黑色 dn450</v>
          </cell>
          <cell r="E1722" t="str">
            <v>HDPE Butt-Fusion Cap (1.6MPa) SDR11 dn450 Black</v>
          </cell>
        </row>
        <row r="1722">
          <cell r="G1722">
            <v>1040835</v>
          </cell>
          <cell r="H1722">
            <v>1040835</v>
          </cell>
          <cell r="I1722">
            <v>0.15</v>
          </cell>
          <cell r="J1722">
            <v>1224512</v>
          </cell>
          <cell r="K1722">
            <v>0.14</v>
          </cell>
          <cell r="L1722">
            <v>1210273</v>
          </cell>
        </row>
        <row r="1723">
          <cell r="C1723">
            <v>8010042229</v>
          </cell>
          <cell r="D1723" t="str">
            <v>对接管帽(PE配件)SDR11(1.6MPa)黑色 dn63</v>
          </cell>
          <cell r="E1723" t="str">
            <v>HDPE Butt-Fusion Cap (1.6MPa) SDR11 dn63 Black</v>
          </cell>
        </row>
        <row r="1723">
          <cell r="G1723">
            <v>13158</v>
          </cell>
          <cell r="H1723">
            <v>13158</v>
          </cell>
          <cell r="I1723">
            <v>0.15</v>
          </cell>
          <cell r="J1723">
            <v>15480</v>
          </cell>
          <cell r="K1723">
            <v>0.14</v>
          </cell>
          <cell r="L1723">
            <v>15300</v>
          </cell>
        </row>
        <row r="1724">
          <cell r="C1724">
            <v>8010040672</v>
          </cell>
          <cell r="D1724" t="str">
            <v>对接管帽(PE配件)SDR11(1.6MPa)黑色 dn110</v>
          </cell>
          <cell r="E1724" t="str">
            <v>HDPE Butt-Fusion Cap (1.6MPa) SDR11 dn110 Black</v>
          </cell>
        </row>
        <row r="1724">
          <cell r="G1724">
            <v>28855</v>
          </cell>
          <cell r="H1724">
            <v>28855</v>
          </cell>
          <cell r="I1724">
            <v>0.15</v>
          </cell>
          <cell r="J1724">
            <v>33948</v>
          </cell>
          <cell r="K1724">
            <v>0.14</v>
          </cell>
          <cell r="L1724">
            <v>33552</v>
          </cell>
        </row>
        <row r="1725">
          <cell r="C1725">
            <v>8010040673</v>
          </cell>
          <cell r="D1725" t="str">
            <v>对接管帽(PE配件)SDR11(1.6MPa)黑色 dn125</v>
          </cell>
          <cell r="E1725" t="str">
            <v>HDPE Butt-Fusion Cap (1.6MPa) SDR11 dn125 Black</v>
          </cell>
        </row>
        <row r="1725">
          <cell r="G1725">
            <v>37094</v>
          </cell>
          <cell r="H1725">
            <v>37094</v>
          </cell>
          <cell r="I1725">
            <v>0.15</v>
          </cell>
          <cell r="J1725">
            <v>43640</v>
          </cell>
          <cell r="K1725">
            <v>0.14</v>
          </cell>
          <cell r="L1725">
            <v>43133</v>
          </cell>
        </row>
        <row r="1726">
          <cell r="C1726">
            <v>8010040674</v>
          </cell>
          <cell r="D1726" t="str">
            <v>对接管帽(PE配件)SDR11(1.6MPa)黑色 dn160</v>
          </cell>
          <cell r="E1726" t="str">
            <v>HDPE Butt-Fusion Cap (1.6MPa) SDR11 dn160 Black</v>
          </cell>
        </row>
        <row r="1726">
          <cell r="G1726">
            <v>71181</v>
          </cell>
          <cell r="H1726">
            <v>71181</v>
          </cell>
          <cell r="I1726">
            <v>0.15</v>
          </cell>
          <cell r="J1726">
            <v>83743</v>
          </cell>
          <cell r="K1726">
            <v>0.14</v>
          </cell>
          <cell r="L1726">
            <v>82769</v>
          </cell>
        </row>
        <row r="1727">
          <cell r="C1727">
            <v>8010040675</v>
          </cell>
          <cell r="D1727" t="str">
            <v>对接管帽(PE配件)SDR11(1.6MPa)黑色 dn180</v>
          </cell>
          <cell r="E1727" t="str">
            <v>HDPE Butt-Fusion Cap (1.6MPa) SDR11 dn180 Black</v>
          </cell>
        </row>
        <row r="1727">
          <cell r="G1727">
            <v>78973</v>
          </cell>
          <cell r="H1727">
            <v>78973</v>
          </cell>
          <cell r="I1727">
            <v>0.15</v>
          </cell>
          <cell r="J1727">
            <v>92910</v>
          </cell>
          <cell r="K1727">
            <v>0.14</v>
          </cell>
          <cell r="L1727">
            <v>91829</v>
          </cell>
        </row>
        <row r="1728">
          <cell r="C1728">
            <v>8010040676</v>
          </cell>
          <cell r="D1728" t="str">
            <v>对接管帽(PE配件)SDR11(1.6MPa)黑色 dn200</v>
          </cell>
          <cell r="E1728" t="str">
            <v>HDPE Butt-Fusion Cap (1.6MPa) SDR11 dn200 Black</v>
          </cell>
        </row>
        <row r="1728">
          <cell r="G1728">
            <v>110159</v>
          </cell>
          <cell r="H1728">
            <v>110159</v>
          </cell>
          <cell r="I1728">
            <v>0.15</v>
          </cell>
          <cell r="J1728">
            <v>129599</v>
          </cell>
          <cell r="K1728">
            <v>0.14</v>
          </cell>
          <cell r="L1728">
            <v>128092</v>
          </cell>
        </row>
        <row r="1729">
          <cell r="C1729">
            <v>8010040677</v>
          </cell>
          <cell r="D1729" t="str">
            <v>对接管帽(PE配件)SDR11(1.6MPa)黑色 dn225</v>
          </cell>
          <cell r="E1729" t="str">
            <v>HDPE Butt-Fusion Cap (1.6MPa) SDR11 dn225 Black</v>
          </cell>
        </row>
        <row r="1729">
          <cell r="G1729">
            <v>148785</v>
          </cell>
          <cell r="H1729">
            <v>148785</v>
          </cell>
          <cell r="I1729">
            <v>0.15</v>
          </cell>
          <cell r="J1729">
            <v>175042</v>
          </cell>
          <cell r="K1729">
            <v>0.14</v>
          </cell>
          <cell r="L1729">
            <v>173006</v>
          </cell>
        </row>
        <row r="1730">
          <cell r="C1730">
            <v>8010040678</v>
          </cell>
          <cell r="D1730" t="str">
            <v>对接管帽(PE配件)SDR11(1.6MPa)黑色 dn250</v>
          </cell>
          <cell r="E1730" t="str">
            <v>HDPE Butt-Fusion Cap (1.6MPa) SDR11 dn250 Black</v>
          </cell>
        </row>
        <row r="1730">
          <cell r="G1730">
            <v>192628</v>
          </cell>
          <cell r="H1730">
            <v>192628</v>
          </cell>
          <cell r="I1730">
            <v>0.15</v>
          </cell>
          <cell r="J1730">
            <v>226622</v>
          </cell>
          <cell r="K1730">
            <v>0.14</v>
          </cell>
          <cell r="L1730">
            <v>223986</v>
          </cell>
        </row>
        <row r="1731">
          <cell r="C1731">
            <v>8010040679</v>
          </cell>
          <cell r="D1731" t="str">
            <v>对接管帽(PE配件)SDR11(1.6MPa)黑色 dn315</v>
          </cell>
          <cell r="E1731" t="str">
            <v>HDPE Butt-Fusion Cap (1.6MPa) SDR11 dn315 Black</v>
          </cell>
        </row>
        <row r="1731">
          <cell r="G1731">
            <v>263241</v>
          </cell>
          <cell r="H1731">
            <v>263241</v>
          </cell>
          <cell r="I1731">
            <v>0.15</v>
          </cell>
          <cell r="J1731">
            <v>309696</v>
          </cell>
          <cell r="K1731">
            <v>0.14</v>
          </cell>
          <cell r="L1731">
            <v>306094</v>
          </cell>
        </row>
        <row r="1732">
          <cell r="C1732">
            <v>8010040680</v>
          </cell>
          <cell r="D1732" t="str">
            <v>对接管帽(PE配件)SDR11(1.6MPa)黑色 dn400</v>
          </cell>
          <cell r="E1732" t="str">
            <v>HDPE Butt-Fusion Cap (1.6MPa) SDR11 dn400 Black</v>
          </cell>
        </row>
        <row r="1732">
          <cell r="G1732">
            <v>444910</v>
          </cell>
          <cell r="H1732">
            <v>444910</v>
          </cell>
          <cell r="I1732">
            <v>0.15</v>
          </cell>
          <cell r="J1732">
            <v>523424</v>
          </cell>
          <cell r="K1732">
            <v>0.14</v>
          </cell>
          <cell r="L1732">
            <v>517337</v>
          </cell>
        </row>
        <row r="1733">
          <cell r="C1733">
            <v>8010040681</v>
          </cell>
          <cell r="D1733" t="str">
            <v>对接管帽(PE配件)SDR11(1.6MPa)黑色 dn75</v>
          </cell>
          <cell r="E1733" t="str">
            <v>HDPE Butt-Fusion Cap (1.6MPa) SDR11 dn75 Black</v>
          </cell>
        </row>
        <row r="1733">
          <cell r="G1733">
            <v>16278</v>
          </cell>
          <cell r="H1733">
            <v>16278</v>
          </cell>
          <cell r="I1733">
            <v>0.15</v>
          </cell>
          <cell r="J1733">
            <v>19151</v>
          </cell>
          <cell r="K1733">
            <v>0.14</v>
          </cell>
          <cell r="L1733">
            <v>18928</v>
          </cell>
        </row>
        <row r="1734">
          <cell r="C1734">
            <v>8010040682</v>
          </cell>
          <cell r="D1734" t="str">
            <v>对接管帽(PE配件)SDR11(1.6MPa)黑色 dn90</v>
          </cell>
          <cell r="E1734" t="str">
            <v>HDPE Butt-Fusion Cap (1.6MPa) SDR11 dn90 Black</v>
          </cell>
        </row>
        <row r="1734">
          <cell r="G1734">
            <v>21558</v>
          </cell>
          <cell r="H1734">
            <v>21558</v>
          </cell>
          <cell r="I1734">
            <v>0.15</v>
          </cell>
          <cell r="J1734">
            <v>25363</v>
          </cell>
          <cell r="K1734">
            <v>0.14</v>
          </cell>
          <cell r="L1734">
            <v>25067</v>
          </cell>
        </row>
        <row r="1735">
          <cell r="C1735">
            <v>8010044712</v>
          </cell>
          <cell r="D1735" t="str">
            <v>正四通(PE配件)SDR17(1.0MPa)黑色 dn125</v>
          </cell>
          <cell r="E1735" t="str">
            <v>HDPE Equal Cross (1.0 Mpa) SDR17 dn125 Black</v>
          </cell>
        </row>
        <row r="1735">
          <cell r="G1735">
            <v>162015</v>
          </cell>
          <cell r="H1735">
            <v>162015</v>
          </cell>
          <cell r="I1735">
            <v>0.15</v>
          </cell>
          <cell r="J1735">
            <v>190606</v>
          </cell>
          <cell r="K1735">
            <v>0.14</v>
          </cell>
          <cell r="L1735">
            <v>188390</v>
          </cell>
        </row>
        <row r="1736">
          <cell r="C1736">
            <v>8010044713</v>
          </cell>
          <cell r="D1736" t="str">
            <v>正四通(PE配件)SDR17(1.0MPa)黑色 dn200</v>
          </cell>
          <cell r="E1736" t="str">
            <v>HDPE Equal Cross (1.0 Mpa) SDR17 dn200 Black</v>
          </cell>
        </row>
        <row r="1736">
          <cell r="G1736">
            <v>507470</v>
          </cell>
          <cell r="H1736">
            <v>507470</v>
          </cell>
          <cell r="I1736">
            <v>0.15</v>
          </cell>
          <cell r="J1736">
            <v>597024</v>
          </cell>
          <cell r="K1736">
            <v>0.14</v>
          </cell>
          <cell r="L1736">
            <v>590081</v>
          </cell>
        </row>
        <row r="1737">
          <cell r="C1737">
            <v>8010044791</v>
          </cell>
          <cell r="D1737" t="str">
            <v>正四通(PE配件)SDR17(1.0MPa)黑色 dn225</v>
          </cell>
          <cell r="E1737" t="str">
            <v>HDPE Equal Cross (1.0Mpa) SDR17 dn225 Black</v>
          </cell>
        </row>
        <row r="1737">
          <cell r="G1737">
            <v>772562</v>
          </cell>
          <cell r="H1737">
            <v>772562</v>
          </cell>
          <cell r="I1737">
            <v>0.15</v>
          </cell>
          <cell r="J1737">
            <v>908897</v>
          </cell>
          <cell r="K1737">
            <v>0.14</v>
          </cell>
          <cell r="L1737">
            <v>898328</v>
          </cell>
        </row>
        <row r="1738">
          <cell r="C1738">
            <v>8010044711</v>
          </cell>
          <cell r="D1738" t="str">
            <v>正四通(PE配件)SDR17(1.0MPa)黑色 dn110</v>
          </cell>
          <cell r="E1738" t="str">
            <v>HDPE Equal Cross (1.0Mpa) SDR17 dn110 Black</v>
          </cell>
        </row>
        <row r="1738">
          <cell r="G1738">
            <v>127194</v>
          </cell>
          <cell r="H1738">
            <v>127194</v>
          </cell>
          <cell r="I1738">
            <v>0.15</v>
          </cell>
          <cell r="J1738">
            <v>149640</v>
          </cell>
          <cell r="K1738">
            <v>0.14</v>
          </cell>
          <cell r="L1738">
            <v>147900</v>
          </cell>
        </row>
        <row r="1739">
          <cell r="C1739">
            <v>8010044498</v>
          </cell>
          <cell r="D1739" t="str">
            <v>正四通(PE配件)SDR17(1.0MPa)黑色 dn63</v>
          </cell>
          <cell r="E1739" t="str">
            <v>HDPE Equal Cross (1.0Mpa) SDR17 dn63 Black</v>
          </cell>
        </row>
        <row r="1739">
          <cell r="G1739">
            <v>41705</v>
          </cell>
          <cell r="H1739">
            <v>41705</v>
          </cell>
          <cell r="I1739">
            <v>0.15</v>
          </cell>
          <cell r="J1739">
            <v>49065</v>
          </cell>
          <cell r="K1739">
            <v>0.14</v>
          </cell>
          <cell r="L1739">
            <v>48494</v>
          </cell>
        </row>
        <row r="1740">
          <cell r="C1740">
            <v>8010044499</v>
          </cell>
          <cell r="D1740" t="str">
            <v>正四通(PE配件)SDR17(1.0MPa)黑色 dn75</v>
          </cell>
          <cell r="E1740" t="str">
            <v>HDPE Equal Cross (1.0Mpa) SDR17 dn75 Black</v>
          </cell>
        </row>
        <row r="1740">
          <cell r="G1740">
            <v>52450</v>
          </cell>
          <cell r="H1740">
            <v>52450</v>
          </cell>
          <cell r="I1740">
            <v>0.15</v>
          </cell>
          <cell r="J1740">
            <v>61706</v>
          </cell>
          <cell r="K1740">
            <v>0.14</v>
          </cell>
          <cell r="L1740">
            <v>60988</v>
          </cell>
        </row>
        <row r="1741">
          <cell r="C1741">
            <v>8010044500</v>
          </cell>
          <cell r="D1741" t="str">
            <v>正四通(PE配件)SDR17(1.0MPa)黑色 dn90</v>
          </cell>
          <cell r="E1741" t="str">
            <v>HDPE Equal Cross (1.0Mpa) SDR17 dn90 Black</v>
          </cell>
        </row>
        <row r="1741">
          <cell r="G1741">
            <v>75605</v>
          </cell>
          <cell r="H1741">
            <v>75605</v>
          </cell>
          <cell r="I1741">
            <v>0.15</v>
          </cell>
          <cell r="J1741">
            <v>88948</v>
          </cell>
          <cell r="K1741">
            <v>0.14</v>
          </cell>
          <cell r="L1741">
            <v>87913</v>
          </cell>
        </row>
        <row r="1742">
          <cell r="C1742">
            <v>8010044501</v>
          </cell>
          <cell r="D1742" t="str">
            <v>正四通(PE配件)SDR17(1.0MPa)黑色 dn160</v>
          </cell>
          <cell r="E1742" t="str">
            <v>HDPE Equal Cross (1.0Mpa) SDR17 dn160 Black</v>
          </cell>
        </row>
        <row r="1742">
          <cell r="G1742">
            <v>290699</v>
          </cell>
          <cell r="H1742">
            <v>290699</v>
          </cell>
          <cell r="I1742">
            <v>0.15</v>
          </cell>
          <cell r="J1742">
            <v>341999</v>
          </cell>
          <cell r="K1742">
            <v>0.14</v>
          </cell>
          <cell r="L1742">
            <v>338022</v>
          </cell>
        </row>
        <row r="1743">
          <cell r="C1743">
            <v>8010044790</v>
          </cell>
          <cell r="D1743" t="str">
            <v>正四通(PE配件)SDR11(1.6MPa)黑色 dn225</v>
          </cell>
          <cell r="E1743" t="str">
            <v>HDPE Equal Cross (1.6Mpa) SDR11 dn225 Black</v>
          </cell>
        </row>
        <row r="1743">
          <cell r="G1743">
            <v>797000</v>
          </cell>
          <cell r="H1743">
            <v>797000</v>
          </cell>
          <cell r="I1743">
            <v>0.15</v>
          </cell>
          <cell r="J1743">
            <v>937648</v>
          </cell>
          <cell r="K1743">
            <v>0.14</v>
          </cell>
          <cell r="L1743">
            <v>926744</v>
          </cell>
        </row>
        <row r="1744">
          <cell r="C1744">
            <v>8010044510</v>
          </cell>
          <cell r="D1744" t="str">
            <v>正四通(PE配件)SDR11(1.6MPa)黑色 dn110</v>
          </cell>
          <cell r="E1744" t="str">
            <v>HDPE Equal Cross (1.6Mpa) SDR11 dn110 Black</v>
          </cell>
        </row>
        <row r="1744">
          <cell r="G1744">
            <v>132045</v>
          </cell>
          <cell r="H1744">
            <v>132045</v>
          </cell>
          <cell r="I1744">
            <v>0.15</v>
          </cell>
          <cell r="J1744">
            <v>155348</v>
          </cell>
          <cell r="K1744">
            <v>0.14</v>
          </cell>
          <cell r="L1744">
            <v>153541</v>
          </cell>
        </row>
        <row r="1745">
          <cell r="C1745">
            <v>8010044511</v>
          </cell>
          <cell r="D1745" t="str">
            <v>正四通(PE配件)SDR11(1.6MPa)黑色 dn125</v>
          </cell>
          <cell r="E1745" t="str">
            <v>HDPE Equal Cross (1.6Mpa) SDR11 dn125 Black</v>
          </cell>
        </row>
        <row r="1745">
          <cell r="G1745">
            <v>169299</v>
          </cell>
          <cell r="H1745">
            <v>169299</v>
          </cell>
          <cell r="I1745">
            <v>0.15</v>
          </cell>
          <cell r="J1745">
            <v>199176</v>
          </cell>
          <cell r="K1745">
            <v>0.14</v>
          </cell>
          <cell r="L1745">
            <v>196859</v>
          </cell>
        </row>
        <row r="1746">
          <cell r="C1746">
            <v>8010044605</v>
          </cell>
          <cell r="D1746" t="str">
            <v>正四通(PE配件)SDR11(1.6MPa)黑色 dn200</v>
          </cell>
          <cell r="E1746" t="str">
            <v>HDPE Equal Cross (1.6Mpa) SDR11 dn200 Black</v>
          </cell>
        </row>
        <row r="1746">
          <cell r="G1746">
            <v>530932</v>
          </cell>
          <cell r="H1746">
            <v>530932</v>
          </cell>
          <cell r="I1746">
            <v>0.15</v>
          </cell>
          <cell r="J1746">
            <v>624626</v>
          </cell>
          <cell r="K1746">
            <v>0.14</v>
          </cell>
          <cell r="L1746">
            <v>617363</v>
          </cell>
        </row>
        <row r="1747">
          <cell r="C1747">
            <v>8010044006</v>
          </cell>
          <cell r="D1747" t="str">
            <v>正四通(PE配件)SDR11(1.6MPa)黑色 dn160</v>
          </cell>
          <cell r="E1747" t="str">
            <v>HDPE Equal Cross (1.6Mpa) SDR11 dn160 Black</v>
          </cell>
        </row>
        <row r="1747">
          <cell r="G1747">
            <v>309009</v>
          </cell>
          <cell r="H1747">
            <v>309009</v>
          </cell>
          <cell r="I1747">
            <v>0.15</v>
          </cell>
          <cell r="J1747">
            <v>363540</v>
          </cell>
          <cell r="K1747">
            <v>0.14</v>
          </cell>
          <cell r="L1747">
            <v>359313</v>
          </cell>
        </row>
        <row r="1748">
          <cell r="C1748">
            <v>8010043326</v>
          </cell>
          <cell r="D1748" t="str">
            <v>正四通(PE配件)SDR11(1.6MPa)黑色 dn63</v>
          </cell>
          <cell r="E1748" t="str">
            <v>HDPE Equal Cross (1.6Mpa) SDR11 dn63 Black</v>
          </cell>
        </row>
        <row r="1748">
          <cell r="G1748">
            <v>43182</v>
          </cell>
          <cell r="H1748">
            <v>43182</v>
          </cell>
          <cell r="I1748">
            <v>0.15</v>
          </cell>
          <cell r="J1748">
            <v>50803</v>
          </cell>
          <cell r="K1748">
            <v>0.14</v>
          </cell>
          <cell r="L1748">
            <v>50212</v>
          </cell>
        </row>
        <row r="1749">
          <cell r="C1749">
            <v>8010043327</v>
          </cell>
          <cell r="D1749" t="str">
            <v>正四通(PE配件)SDR11(1.6MPa)黑色 dn75</v>
          </cell>
          <cell r="E1749" t="str">
            <v>HDPE Equal Cross (1.6Mpa) SDR11 dn75 Black</v>
          </cell>
        </row>
        <row r="1749">
          <cell r="G1749">
            <v>54568</v>
          </cell>
          <cell r="H1749">
            <v>54568</v>
          </cell>
          <cell r="I1749">
            <v>0.15</v>
          </cell>
          <cell r="J1749">
            <v>64198</v>
          </cell>
          <cell r="K1749">
            <v>0.14</v>
          </cell>
          <cell r="L1749">
            <v>63451</v>
          </cell>
        </row>
        <row r="1750">
          <cell r="C1750">
            <v>8010043438</v>
          </cell>
          <cell r="D1750" t="str">
            <v>正四通(PE配件)SDR11(1.6MPa)黑色 dn90</v>
          </cell>
          <cell r="E1750" t="str">
            <v>HDPE Equal Cross (1.6Mpa) SDR11 dn90 Black</v>
          </cell>
        </row>
        <row r="1750">
          <cell r="G1750">
            <v>78291</v>
          </cell>
          <cell r="H1750">
            <v>78291</v>
          </cell>
          <cell r="I1750">
            <v>0.15</v>
          </cell>
          <cell r="J1750">
            <v>92108</v>
          </cell>
          <cell r="K1750">
            <v>0.14</v>
          </cell>
          <cell r="L1750">
            <v>91036</v>
          </cell>
        </row>
        <row r="1751">
          <cell r="C1751">
            <v>8020035095</v>
          </cell>
          <cell r="D1751" t="str">
            <v>(IDN)PIPE双壁波纹管(带扩口) SN4 200 6M/根(N1)</v>
          </cell>
          <cell r="E1751" t="str">
            <v>HDPE Double-Wall Corrugated Pipe (Expanding End) SN4 200 6M/pcs (N1)</v>
          </cell>
        </row>
        <row r="1751">
          <cell r="G1751">
            <v>410678</v>
          </cell>
          <cell r="H1751">
            <v>410678</v>
          </cell>
          <cell r="I1751">
            <v>0.1</v>
          </cell>
          <cell r="J1751">
            <v>456309</v>
          </cell>
          <cell r="K1751">
            <v>0.1</v>
          </cell>
          <cell r="L1751">
            <v>456309</v>
          </cell>
        </row>
        <row r="1752">
          <cell r="C1752">
            <v>8020035096</v>
          </cell>
          <cell r="D1752" t="str">
            <v>(IDN)PIPE双壁波纹管(带扩口) SN4 300 6M/根(N1)</v>
          </cell>
          <cell r="E1752" t="str">
            <v>HDPE Double-Wall Corrugated Pipe (Expanding End) SN4 300 6M/pcs (N1)</v>
          </cell>
        </row>
        <row r="1752">
          <cell r="G1752">
            <v>758859</v>
          </cell>
          <cell r="H1752">
            <v>758859</v>
          </cell>
          <cell r="I1752">
            <v>0.1</v>
          </cell>
          <cell r="J1752">
            <v>843177</v>
          </cell>
          <cell r="K1752">
            <v>0.1</v>
          </cell>
          <cell r="L1752">
            <v>843177</v>
          </cell>
        </row>
        <row r="1753">
          <cell r="C1753">
            <v>8020035097</v>
          </cell>
          <cell r="D1753" t="str">
            <v>(IDN)PIPE双壁波纹管(带扩口) SN4 400 6M/根(N1)</v>
          </cell>
          <cell r="E1753" t="str">
            <v>HDPE Double-Wall Corrugated Pipe (Expanding End) SN4 400 6M/pcs (N1)</v>
          </cell>
        </row>
        <row r="1753">
          <cell r="G1753">
            <v>1024252</v>
          </cell>
          <cell r="H1753">
            <v>1024252</v>
          </cell>
          <cell r="I1753">
            <v>0.1</v>
          </cell>
          <cell r="J1753">
            <v>1138058</v>
          </cell>
          <cell r="K1753">
            <v>0.1</v>
          </cell>
          <cell r="L1753">
            <v>1138058</v>
          </cell>
        </row>
        <row r="1754">
          <cell r="C1754">
            <v>8020035144</v>
          </cell>
          <cell r="D1754" t="str">
            <v>(IDN)PIPE双壁波纹管(带扩口) SN4 500 6M/根(N1)</v>
          </cell>
          <cell r="E1754" t="str">
            <v>HDPE Double-Wall Corrugated Pipe (Expanding End) SN4 500 6M/pcs (N1)</v>
          </cell>
        </row>
        <row r="1754">
          <cell r="G1754">
            <v>1944403</v>
          </cell>
          <cell r="H1754">
            <v>1944403</v>
          </cell>
          <cell r="I1754">
            <v>0.1</v>
          </cell>
          <cell r="J1754">
            <v>2160448</v>
          </cell>
          <cell r="K1754">
            <v>0.1</v>
          </cell>
          <cell r="L1754">
            <v>2160448</v>
          </cell>
        </row>
        <row r="1755">
          <cell r="C1755">
            <v>8020035145</v>
          </cell>
          <cell r="D1755" t="str">
            <v>(IDN)PIPE双壁波纹管(带扩口) SN4 600 6M/根(N1)</v>
          </cell>
          <cell r="E1755" t="str">
            <v>HDPE Double-Wall Corrugated Pipe (Expanding End) SN4 600 6M/pcs (N1)</v>
          </cell>
        </row>
        <row r="1755">
          <cell r="G1755">
            <v>2254486</v>
          </cell>
          <cell r="H1755">
            <v>2254486</v>
          </cell>
          <cell r="I1755">
            <v>0.1</v>
          </cell>
          <cell r="J1755">
            <v>2504985</v>
          </cell>
          <cell r="K1755">
            <v>0.1</v>
          </cell>
          <cell r="L1755">
            <v>2504984</v>
          </cell>
        </row>
        <row r="1756">
          <cell r="C1756">
            <v>8020035098</v>
          </cell>
          <cell r="D1756" t="str">
            <v>(IDN)PIPE双壁波纹管(带扩口) SN8 200 6M/根(N1)</v>
          </cell>
          <cell r="E1756" t="str">
            <v>HDPE Double-Wall Corrugated Pipe (Expanding End) SN8 200 6M/pcs (N1)</v>
          </cell>
        </row>
        <row r="1756">
          <cell r="G1756">
            <v>466655</v>
          </cell>
          <cell r="H1756">
            <v>466655</v>
          </cell>
          <cell r="I1756">
            <v>0.1</v>
          </cell>
          <cell r="J1756">
            <v>518506</v>
          </cell>
          <cell r="K1756">
            <v>0.1</v>
          </cell>
          <cell r="L1756">
            <v>518506</v>
          </cell>
        </row>
        <row r="1757">
          <cell r="C1757">
            <v>8020035099</v>
          </cell>
          <cell r="D1757" t="str">
            <v>(IDN)PIPE双壁波纹管(带扩口) SN8 300 6M/根(N1)</v>
          </cell>
          <cell r="E1757" t="str">
            <v>HDPE Double-Wall Corrugated Pipe (Expanding End) SN8 300 6M/pcs (N1)</v>
          </cell>
        </row>
        <row r="1757">
          <cell r="G1757">
            <v>902569</v>
          </cell>
          <cell r="H1757">
            <v>902569</v>
          </cell>
          <cell r="I1757">
            <v>0.1</v>
          </cell>
          <cell r="J1757">
            <v>1002855</v>
          </cell>
          <cell r="K1757">
            <v>0.1</v>
          </cell>
          <cell r="L1757">
            <v>1002854</v>
          </cell>
        </row>
        <row r="1758">
          <cell r="C1758">
            <v>8020035100</v>
          </cell>
          <cell r="D1758" t="str">
            <v>(IDN)PIPE双壁波纹管(带扩口) SN8 400 6M/根(N1)</v>
          </cell>
          <cell r="E1758" t="str">
            <v>HDPE Double-Wall Corrugated Pipe (Expanding End) SN8 400 6M/pcs (N1)</v>
          </cell>
        </row>
        <row r="1758">
          <cell r="G1758">
            <v>1415843</v>
          </cell>
          <cell r="H1758">
            <v>1415843</v>
          </cell>
          <cell r="I1758">
            <v>0.1</v>
          </cell>
          <cell r="J1758">
            <v>1573159</v>
          </cell>
          <cell r="K1758">
            <v>0.1</v>
          </cell>
          <cell r="L1758">
            <v>1573159</v>
          </cell>
        </row>
        <row r="1759">
          <cell r="C1759">
            <v>8020035146</v>
          </cell>
          <cell r="D1759" t="str">
            <v>(IDN)PIPE双壁波纹管(带扩口) SN8 500 6M/根(N1)</v>
          </cell>
          <cell r="E1759" t="str">
            <v>HDPE Double-Wall Corrugated Pipe (Expanding End) SN8 500 6M/pcs (N1)</v>
          </cell>
        </row>
        <row r="1759">
          <cell r="G1759">
            <v>2325823</v>
          </cell>
          <cell r="H1759">
            <v>2325823</v>
          </cell>
          <cell r="I1759">
            <v>0.1</v>
          </cell>
          <cell r="J1759">
            <v>2584248</v>
          </cell>
          <cell r="K1759">
            <v>0.1</v>
          </cell>
          <cell r="L1759">
            <v>2584248</v>
          </cell>
        </row>
        <row r="1760">
          <cell r="C1760">
            <v>8020035147</v>
          </cell>
          <cell r="D1760" t="str">
            <v>(IDN)PIPE双壁波纹管(带扩口) SN8 600 6M/根(N1)</v>
          </cell>
          <cell r="E1760" t="str">
            <v>HDPE Double-Wall Corrugated Pipe (Expanding End) SN8 600 6M/pcs (N1)</v>
          </cell>
        </row>
        <row r="1760">
          <cell r="G1760">
            <v>3255025</v>
          </cell>
          <cell r="H1760">
            <v>3255025</v>
          </cell>
          <cell r="I1760">
            <v>0.1</v>
          </cell>
          <cell r="J1760">
            <v>3616695</v>
          </cell>
          <cell r="K1760">
            <v>0.1</v>
          </cell>
          <cell r="L1760">
            <v>3616694</v>
          </cell>
        </row>
        <row r="1761">
          <cell r="C1761">
            <v>8020035148</v>
          </cell>
          <cell r="D1761" t="str">
            <v>(IDN)PIPE双壁波纹管(带扩口) SN8 800 6M/根(N1)</v>
          </cell>
          <cell r="E1761" t="str">
            <v>HDPE Double-Wall Corrugated Pipe (Expanding End)  SN8 800 6M/pcs (N1)</v>
          </cell>
        </row>
        <row r="1761">
          <cell r="G1761">
            <v>6232324</v>
          </cell>
          <cell r="H1761">
            <v>6232324</v>
          </cell>
          <cell r="I1761">
            <v>0.1</v>
          </cell>
          <cell r="J1761">
            <v>6924805</v>
          </cell>
          <cell r="K1761">
            <v>0.1</v>
          </cell>
          <cell r="L1761">
            <v>6924804</v>
          </cell>
        </row>
        <row r="1762">
          <cell r="C1762">
            <v>8020040806</v>
          </cell>
          <cell r="D1762" t="str">
            <v>橡胶密封圈HDPE双壁波纹管(扩口)N/N1/NG SN8  DN/ID200</v>
          </cell>
        </row>
        <row r="1762">
          <cell r="G1762">
            <v>9369</v>
          </cell>
          <cell r="H1762">
            <v>9369</v>
          </cell>
          <cell r="I1762">
            <v>0.1</v>
          </cell>
          <cell r="J1762">
            <v>10410</v>
          </cell>
          <cell r="K1762">
            <v>0.1</v>
          </cell>
          <cell r="L1762">
            <v>10410</v>
          </cell>
        </row>
        <row r="1763">
          <cell r="C1763">
            <v>8020040635</v>
          </cell>
          <cell r="D1763" t="str">
            <v>橡胶密封圈HDPE双壁波纹管(扩口)N/N1/NG SN8  DN/ID300</v>
          </cell>
        </row>
        <row r="1763">
          <cell r="G1763">
            <v>25982</v>
          </cell>
          <cell r="H1763">
            <v>25982</v>
          </cell>
          <cell r="I1763">
            <v>0.1</v>
          </cell>
          <cell r="J1763">
            <v>28869</v>
          </cell>
          <cell r="K1763">
            <v>0.1</v>
          </cell>
          <cell r="L1763">
            <v>28869</v>
          </cell>
        </row>
        <row r="1764">
          <cell r="C1764">
            <v>8020040638</v>
          </cell>
          <cell r="D1764" t="str">
            <v>橡胶密封圈HDPE双壁波纹管(扩口)N1/NG SN8  DN/ID400</v>
          </cell>
        </row>
        <row r="1764">
          <cell r="G1764">
            <v>61405</v>
          </cell>
          <cell r="H1764">
            <v>61405</v>
          </cell>
          <cell r="I1764">
            <v>0.1</v>
          </cell>
          <cell r="J1764">
            <v>68228</v>
          </cell>
          <cell r="K1764">
            <v>0.1</v>
          </cell>
          <cell r="L1764">
            <v>68228</v>
          </cell>
        </row>
        <row r="1765">
          <cell r="C1765">
            <v>8020040706</v>
          </cell>
          <cell r="D1765" t="str">
            <v>橡胶密封圈HDPE双壁波纹管(扩口)N/N1/NG SN8 DN/ID500</v>
          </cell>
        </row>
        <row r="1765">
          <cell r="G1765">
            <v>86198</v>
          </cell>
          <cell r="H1765">
            <v>86198</v>
          </cell>
          <cell r="I1765">
            <v>0.1</v>
          </cell>
          <cell r="J1765">
            <v>95776</v>
          </cell>
          <cell r="K1765">
            <v>0.1</v>
          </cell>
          <cell r="L1765">
            <v>95776</v>
          </cell>
        </row>
        <row r="1766">
          <cell r="C1766">
            <v>8020040709</v>
          </cell>
          <cell r="D1766" t="str">
            <v>橡胶密封圈HDPE双壁波纹管(扩口)N/N1/NG SN8 DN/ID600</v>
          </cell>
        </row>
        <row r="1766">
          <cell r="G1766">
            <v>130450</v>
          </cell>
          <cell r="H1766">
            <v>130450</v>
          </cell>
          <cell r="I1766">
            <v>0.1</v>
          </cell>
          <cell r="J1766">
            <v>144945</v>
          </cell>
          <cell r="K1766">
            <v>0.1</v>
          </cell>
          <cell r="L1766">
            <v>144944</v>
          </cell>
        </row>
        <row r="1767">
          <cell r="C1767">
            <v>8020040256</v>
          </cell>
          <cell r="D1767" t="str">
            <v>橡胶密封圈HDPE双壁波纹管(扩口)黑色  SN8 DN800</v>
          </cell>
        </row>
        <row r="1767">
          <cell r="G1767">
            <v>183941</v>
          </cell>
          <cell r="H1767">
            <v>183941</v>
          </cell>
          <cell r="I1767">
            <v>0.1</v>
          </cell>
          <cell r="J1767">
            <v>204379</v>
          </cell>
          <cell r="K1767">
            <v>0.1</v>
          </cell>
          <cell r="L1767">
            <v>204379</v>
          </cell>
        </row>
        <row r="1768">
          <cell r="C1768">
            <v>8020040805</v>
          </cell>
          <cell r="D1768" t="str">
            <v>橡胶密封圈HDPE双壁波纹管(扩口)N1 SN4 DN/ID200</v>
          </cell>
        </row>
        <row r="1768">
          <cell r="G1768">
            <v>7099</v>
          </cell>
          <cell r="H1768">
            <v>7099</v>
          </cell>
          <cell r="I1768">
            <v>0.1</v>
          </cell>
          <cell r="J1768">
            <v>7888</v>
          </cell>
          <cell r="K1768">
            <v>0.1</v>
          </cell>
          <cell r="L1768">
            <v>7888</v>
          </cell>
        </row>
        <row r="1769">
          <cell r="C1769">
            <v>8020040634</v>
          </cell>
          <cell r="D1769" t="str">
            <v>橡胶密封圈HDPE双壁波纹管(扩口)N1 SN4 DN/ID300</v>
          </cell>
        </row>
        <row r="1769">
          <cell r="G1769">
            <v>18883</v>
          </cell>
          <cell r="H1769">
            <v>18883</v>
          </cell>
          <cell r="I1769">
            <v>0.1</v>
          </cell>
          <cell r="J1769">
            <v>20982</v>
          </cell>
          <cell r="K1769">
            <v>0.1</v>
          </cell>
          <cell r="L1769">
            <v>20981</v>
          </cell>
        </row>
        <row r="1770">
          <cell r="C1770">
            <v>8020040636</v>
          </cell>
          <cell r="D1770" t="str">
            <v>橡胶密封圈HDPE双壁波纹管(扩口)N1 SN4 DN/ID400</v>
          </cell>
        </row>
        <row r="1770">
          <cell r="G1770">
            <v>52207</v>
          </cell>
          <cell r="H1770">
            <v>52207</v>
          </cell>
          <cell r="I1770">
            <v>0.1</v>
          </cell>
          <cell r="J1770">
            <v>58008</v>
          </cell>
          <cell r="K1770">
            <v>0.1</v>
          </cell>
          <cell r="L1770">
            <v>58008</v>
          </cell>
        </row>
        <row r="1771">
          <cell r="C1771">
            <v>8020040707</v>
          </cell>
          <cell r="D1771" t="str">
            <v>橡胶密封圈HDPE双壁波纹管(扩口)N SN4 DN/ID500</v>
          </cell>
        </row>
        <row r="1771">
          <cell r="G1771">
            <v>59640</v>
          </cell>
          <cell r="H1771">
            <v>59640</v>
          </cell>
          <cell r="I1771">
            <v>0.1</v>
          </cell>
          <cell r="J1771">
            <v>66267</v>
          </cell>
          <cell r="K1771">
            <v>0.1</v>
          </cell>
          <cell r="L1771">
            <v>66267</v>
          </cell>
        </row>
        <row r="1772">
          <cell r="C1772">
            <v>8020040708</v>
          </cell>
          <cell r="D1772" t="str">
            <v>橡胶密封圈HDPE双壁波纹管(扩口)N SN4 DN/ID600</v>
          </cell>
        </row>
        <row r="1772">
          <cell r="G1772">
            <v>98697</v>
          </cell>
          <cell r="H1772">
            <v>98697</v>
          </cell>
          <cell r="I1772">
            <v>0.1</v>
          </cell>
          <cell r="J1772">
            <v>109664</v>
          </cell>
          <cell r="K1772">
            <v>0.1</v>
          </cell>
          <cell r="L1772">
            <v>109663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Ketersediaan Stok Penjualan"/>
    </sheetNames>
    <sheetDataSet>
      <sheetData sheetId="0">
        <row r="1">
          <cell r="B1" t="str">
            <v>PT Vantsing International Group</v>
          </cell>
        </row>
        <row r="2">
          <cell r="B2" t="str">
            <v>Ketersediaan Stok Penjualan</v>
          </cell>
        </row>
        <row r="3">
          <cell r="B3" t="str">
            <v>As of Date. 28 Feb 2027</v>
          </cell>
        </row>
        <row r="4">
          <cell r="B4" t="str">
            <v>Branch : Head Quarter, KHUSUS PT DATANG</v>
          </cell>
        </row>
        <row r="5">
          <cell r="B5" t="str">
            <v>Kode Barang</v>
          </cell>
        </row>
        <row r="6">
          <cell r="B6" t="str">
            <v>8010062296</v>
          </cell>
        </row>
        <row r="6">
          <cell r="W6">
            <v>0</v>
          </cell>
        </row>
        <row r="7">
          <cell r="B7" t="str">
            <v>8010040743</v>
          </cell>
        </row>
        <row r="7">
          <cell r="W7">
            <v>0</v>
          </cell>
        </row>
        <row r="8">
          <cell r="B8" t="str">
            <v>8010043577</v>
          </cell>
        </row>
        <row r="8">
          <cell r="W8">
            <v>0</v>
          </cell>
        </row>
        <row r="9">
          <cell r="B9" t="str">
            <v>8010072472</v>
          </cell>
        </row>
        <row r="9">
          <cell r="W9">
            <v>374</v>
          </cell>
        </row>
        <row r="10">
          <cell r="B10" t="str">
            <v>8010072483</v>
          </cell>
        </row>
        <row r="10">
          <cell r="W10">
            <v>150</v>
          </cell>
        </row>
        <row r="11">
          <cell r="B11" t="str">
            <v>8030020562</v>
          </cell>
        </row>
        <row r="11">
          <cell r="W11">
            <v>0</v>
          </cell>
        </row>
        <row r="12">
          <cell r="B12" t="str">
            <v>102307</v>
          </cell>
        </row>
        <row r="12">
          <cell r="W12">
            <v>0</v>
          </cell>
        </row>
        <row r="13">
          <cell r="B13" t="str">
            <v>8010071230</v>
          </cell>
        </row>
        <row r="13">
          <cell r="W13">
            <v>0</v>
          </cell>
        </row>
        <row r="14">
          <cell r="B14" t="str">
            <v>8020026151</v>
          </cell>
        </row>
        <row r="14">
          <cell r="W14">
            <v>12</v>
          </cell>
        </row>
        <row r="15">
          <cell r="B15" t="str">
            <v>8010072775</v>
          </cell>
        </row>
        <row r="15">
          <cell r="W15">
            <v>0</v>
          </cell>
        </row>
        <row r="16">
          <cell r="B16" t="str">
            <v>8020015125</v>
          </cell>
        </row>
        <row r="16">
          <cell r="W16">
            <v>0</v>
          </cell>
        </row>
        <row r="17">
          <cell r="B17" t="str">
            <v>102516</v>
          </cell>
        </row>
        <row r="17">
          <cell r="W17">
            <v>0</v>
          </cell>
        </row>
        <row r="18">
          <cell r="B18" t="str">
            <v>01747</v>
          </cell>
        </row>
        <row r="18">
          <cell r="W18">
            <v>0</v>
          </cell>
        </row>
        <row r="19">
          <cell r="B19" t="str">
            <v>102517</v>
          </cell>
        </row>
        <row r="19">
          <cell r="W19">
            <v>0</v>
          </cell>
        </row>
        <row r="20">
          <cell r="B20" t="str">
            <v>102518</v>
          </cell>
        </row>
        <row r="20">
          <cell r="W20">
            <v>0</v>
          </cell>
        </row>
        <row r="21">
          <cell r="B21" t="str">
            <v>102519</v>
          </cell>
        </row>
        <row r="21">
          <cell r="W21">
            <v>0</v>
          </cell>
        </row>
        <row r="22">
          <cell r="B22" t="str">
            <v>102520</v>
          </cell>
        </row>
        <row r="22">
          <cell r="W22">
            <v>0</v>
          </cell>
        </row>
        <row r="23">
          <cell r="B23" t="str">
            <v>102521</v>
          </cell>
        </row>
        <row r="23">
          <cell r="W23">
            <v>0</v>
          </cell>
        </row>
        <row r="24">
          <cell r="B24" t="str">
            <v>8020026126</v>
          </cell>
        </row>
        <row r="24">
          <cell r="W24">
            <v>5</v>
          </cell>
        </row>
        <row r="25">
          <cell r="B25" t="str">
            <v>8010072767</v>
          </cell>
        </row>
        <row r="25">
          <cell r="W25">
            <v>1091</v>
          </cell>
        </row>
        <row r="26">
          <cell r="B26" t="str">
            <v>GPR-PP04S33003</v>
          </cell>
        </row>
        <row r="26">
          <cell r="W26">
            <v>0</v>
          </cell>
        </row>
        <row r="27">
          <cell r="B27" t="str">
            <v>DS70239</v>
          </cell>
        </row>
        <row r="27">
          <cell r="W27">
            <v>1</v>
          </cell>
        </row>
        <row r="28">
          <cell r="B28" t="str">
            <v>6900010080230</v>
          </cell>
        </row>
        <row r="28">
          <cell r="W28">
            <v>0</v>
          </cell>
        </row>
        <row r="29">
          <cell r="B29" t="str">
            <v>8068810110</v>
          </cell>
        </row>
        <row r="29">
          <cell r="W29">
            <v>1</v>
          </cell>
        </row>
        <row r="30">
          <cell r="B30" t="str">
            <v>8010072740</v>
          </cell>
        </row>
        <row r="30">
          <cell r="W30">
            <v>20</v>
          </cell>
        </row>
        <row r="31">
          <cell r="B31" t="str">
            <v>8020026128</v>
          </cell>
        </row>
        <row r="31">
          <cell r="W31">
            <v>4</v>
          </cell>
        </row>
        <row r="32">
          <cell r="B32" t="str">
            <v>6900010080150</v>
          </cell>
        </row>
        <row r="32">
          <cell r="W32">
            <v>1308</v>
          </cell>
        </row>
        <row r="33">
          <cell r="B33" t="str">
            <v>0119830000</v>
          </cell>
        </row>
        <row r="33">
          <cell r="W33">
            <v>0</v>
          </cell>
        </row>
        <row r="34">
          <cell r="B34" t="str">
            <v>6900010080218</v>
          </cell>
        </row>
        <row r="34">
          <cell r="W34">
            <v>1000</v>
          </cell>
        </row>
        <row r="35">
          <cell r="B35" t="str">
            <v>8020026146</v>
          </cell>
        </row>
        <row r="35">
          <cell r="W35">
            <v>15</v>
          </cell>
        </row>
        <row r="36">
          <cell r="B36" t="str">
            <v>8020026152</v>
          </cell>
        </row>
        <row r="36">
          <cell r="W36">
            <v>14</v>
          </cell>
        </row>
        <row r="37">
          <cell r="B37" t="str">
            <v>8010040385</v>
          </cell>
        </row>
        <row r="37">
          <cell r="W37">
            <v>0</v>
          </cell>
        </row>
        <row r="38">
          <cell r="B38" t="str">
            <v>8010036561</v>
          </cell>
        </row>
        <row r="38">
          <cell r="W38">
            <v>0</v>
          </cell>
        </row>
        <row r="39">
          <cell r="B39" t="str">
            <v>8010072756</v>
          </cell>
        </row>
        <row r="39">
          <cell r="W39">
            <v>0</v>
          </cell>
        </row>
        <row r="40">
          <cell r="B40" t="str">
            <v>102524</v>
          </cell>
        </row>
        <row r="40">
          <cell r="W40">
            <v>0</v>
          </cell>
        </row>
        <row r="41">
          <cell r="B41" t="str">
            <v>8010062297</v>
          </cell>
        </row>
        <row r="41">
          <cell r="W41">
            <v>0</v>
          </cell>
        </row>
        <row r="42">
          <cell r="B42" t="str">
            <v>VPR-WD01M11002</v>
          </cell>
        </row>
        <row r="42">
          <cell r="W42">
            <v>0</v>
          </cell>
        </row>
        <row r="43">
          <cell r="B43" t="str">
            <v>8020026145</v>
          </cell>
        </row>
        <row r="43">
          <cell r="W43">
            <v>6</v>
          </cell>
        </row>
        <row r="44">
          <cell r="B44" t="str">
            <v>102522</v>
          </cell>
        </row>
        <row r="44">
          <cell r="W44">
            <v>0</v>
          </cell>
        </row>
        <row r="45">
          <cell r="B45" t="str">
            <v>102382</v>
          </cell>
        </row>
        <row r="45">
          <cell r="W45">
            <v>0</v>
          </cell>
        </row>
        <row r="46">
          <cell r="B46" t="str">
            <v>102526</v>
          </cell>
        </row>
        <row r="46">
          <cell r="W46">
            <v>0</v>
          </cell>
        </row>
        <row r="47">
          <cell r="B47" t="str">
            <v>102456</v>
          </cell>
        </row>
        <row r="47">
          <cell r="W47">
            <v>0</v>
          </cell>
        </row>
        <row r="48">
          <cell r="B48" t="str">
            <v>102523</v>
          </cell>
        </row>
        <row r="48">
          <cell r="W48">
            <v>0</v>
          </cell>
        </row>
        <row r="49">
          <cell r="B49" t="str">
            <v>8020020324</v>
          </cell>
        </row>
        <row r="49">
          <cell r="W49">
            <v>443</v>
          </cell>
        </row>
        <row r="50">
          <cell r="B50" t="str">
            <v>8010036442</v>
          </cell>
        </row>
        <row r="50">
          <cell r="W50">
            <v>0</v>
          </cell>
        </row>
        <row r="51">
          <cell r="B51" t="str">
            <v>8010072743</v>
          </cell>
        </row>
        <row r="51">
          <cell r="W51">
            <v>0</v>
          </cell>
        </row>
        <row r="52">
          <cell r="B52" t="str">
            <v>102529</v>
          </cell>
        </row>
        <row r="52">
          <cell r="W52">
            <v>0</v>
          </cell>
        </row>
        <row r="53">
          <cell r="B53" t="str">
            <v>102530</v>
          </cell>
        </row>
        <row r="53">
          <cell r="W53">
            <v>3</v>
          </cell>
        </row>
        <row r="54">
          <cell r="B54" t="str">
            <v>80516307</v>
          </cell>
        </row>
        <row r="54">
          <cell r="W54">
            <v>1</v>
          </cell>
        </row>
        <row r="55">
          <cell r="B55" t="str">
            <v>102531</v>
          </cell>
        </row>
        <row r="55">
          <cell r="W55">
            <v>0</v>
          </cell>
        </row>
        <row r="56">
          <cell r="B56" t="str">
            <v>102527</v>
          </cell>
        </row>
        <row r="56">
          <cell r="W56">
            <v>0</v>
          </cell>
        </row>
        <row r="57">
          <cell r="B57" t="str">
            <v>102528</v>
          </cell>
        </row>
        <row r="57">
          <cell r="W57">
            <v>0</v>
          </cell>
        </row>
        <row r="58">
          <cell r="B58" t="str">
            <v>8020025899</v>
          </cell>
        </row>
        <row r="58">
          <cell r="W58">
            <v>202</v>
          </cell>
        </row>
        <row r="59">
          <cell r="B59" t="str">
            <v>8010072776</v>
          </cell>
        </row>
        <row r="59">
          <cell r="W59">
            <v>12</v>
          </cell>
        </row>
        <row r="60">
          <cell r="B60" t="str">
            <v>8010036436</v>
          </cell>
        </row>
        <row r="60">
          <cell r="W60">
            <v>0</v>
          </cell>
        </row>
        <row r="61">
          <cell r="B61" t="str">
            <v>8030020386</v>
          </cell>
        </row>
        <row r="61">
          <cell r="W61">
            <v>120</v>
          </cell>
        </row>
        <row r="62">
          <cell r="B62" t="str">
            <v>102364</v>
          </cell>
        </row>
        <row r="62">
          <cell r="W62">
            <v>-2</v>
          </cell>
        </row>
        <row r="63">
          <cell r="B63" t="str">
            <v>8010072826</v>
          </cell>
        </row>
        <row r="63">
          <cell r="W63">
            <v>0</v>
          </cell>
        </row>
        <row r="64">
          <cell r="B64" t="str">
            <v>8020026141</v>
          </cell>
        </row>
        <row r="64">
          <cell r="W64">
            <v>7</v>
          </cell>
        </row>
        <row r="65">
          <cell r="B65" t="str">
            <v>102335</v>
          </cell>
        </row>
        <row r="65">
          <cell r="W65">
            <v>0</v>
          </cell>
        </row>
        <row r="66">
          <cell r="B66" t="str">
            <v>GPR-EQ01M02002</v>
          </cell>
        </row>
        <row r="66">
          <cell r="W66">
            <v>0</v>
          </cell>
        </row>
        <row r="67">
          <cell r="B67" t="str">
            <v>102533</v>
          </cell>
        </row>
        <row r="67">
          <cell r="W67">
            <v>0</v>
          </cell>
        </row>
        <row r="68">
          <cell r="B68" t="str">
            <v>102534</v>
          </cell>
        </row>
        <row r="68">
          <cell r="W68">
            <v>0</v>
          </cell>
        </row>
        <row r="69">
          <cell r="B69" t="str">
            <v>102525</v>
          </cell>
        </row>
        <row r="69">
          <cell r="W69">
            <v>0</v>
          </cell>
        </row>
        <row r="70">
          <cell r="B70" t="str">
            <v>102535</v>
          </cell>
        </row>
        <row r="70">
          <cell r="W70">
            <v>0</v>
          </cell>
        </row>
        <row r="71">
          <cell r="B71" t="str">
            <v>102532</v>
          </cell>
        </row>
        <row r="71">
          <cell r="W71">
            <v>0</v>
          </cell>
        </row>
        <row r="72">
          <cell r="B72" t="str">
            <v>102536</v>
          </cell>
        </row>
        <row r="72">
          <cell r="W72">
            <v>0</v>
          </cell>
        </row>
        <row r="73">
          <cell r="B73" t="str">
            <v>102537</v>
          </cell>
        </row>
        <row r="73">
          <cell r="W73">
            <v>6</v>
          </cell>
        </row>
        <row r="74">
          <cell r="B74" t="str">
            <v>102538</v>
          </cell>
        </row>
        <row r="74">
          <cell r="W74">
            <v>0</v>
          </cell>
        </row>
        <row r="75">
          <cell r="B75" t="str">
            <v>8020022039</v>
          </cell>
        </row>
        <row r="75">
          <cell r="W75">
            <v>931</v>
          </cell>
        </row>
        <row r="76">
          <cell r="B76" t="str">
            <v>8010036645</v>
          </cell>
        </row>
        <row r="76">
          <cell r="W76">
            <v>0</v>
          </cell>
        </row>
        <row r="77">
          <cell r="B77" t="str">
            <v>102541</v>
          </cell>
        </row>
        <row r="77">
          <cell r="W77">
            <v>0</v>
          </cell>
        </row>
        <row r="78">
          <cell r="B78" t="str">
            <v>102542</v>
          </cell>
        </row>
        <row r="78">
          <cell r="W78">
            <v>0</v>
          </cell>
        </row>
        <row r="79">
          <cell r="B79" t="str">
            <v>102543</v>
          </cell>
        </row>
        <row r="79">
          <cell r="W79">
            <v>0</v>
          </cell>
        </row>
        <row r="80">
          <cell r="B80" t="str">
            <v>102544</v>
          </cell>
        </row>
        <row r="80">
          <cell r="W80">
            <v>0</v>
          </cell>
        </row>
        <row r="81">
          <cell r="B81" t="str">
            <v>102545</v>
          </cell>
        </row>
        <row r="81">
          <cell r="W81">
            <v>-8</v>
          </cell>
        </row>
        <row r="82">
          <cell r="B82" t="str">
            <v>8010072853</v>
          </cell>
        </row>
        <row r="82">
          <cell r="W82">
            <v>34</v>
          </cell>
        </row>
        <row r="83">
          <cell r="B83" t="str">
            <v>102546</v>
          </cell>
        </row>
        <row r="83">
          <cell r="W83">
            <v>-70</v>
          </cell>
        </row>
        <row r="84">
          <cell r="B84" t="str">
            <v>6900012091346</v>
          </cell>
        </row>
        <row r="84">
          <cell r="W84">
            <v>0</v>
          </cell>
        </row>
        <row r="85">
          <cell r="B85" t="str">
            <v>102539</v>
          </cell>
        </row>
        <row r="85">
          <cell r="W85">
            <v>0</v>
          </cell>
        </row>
        <row r="86">
          <cell r="B86" t="str">
            <v>102540</v>
          </cell>
        </row>
        <row r="86">
          <cell r="W86">
            <v>0</v>
          </cell>
        </row>
        <row r="87">
          <cell r="B87" t="str">
            <v>GPR-PP03C15001</v>
          </cell>
        </row>
        <row r="87">
          <cell r="W87">
            <v>0</v>
          </cell>
        </row>
        <row r="88">
          <cell r="B88" t="str">
            <v>10036177717300</v>
          </cell>
        </row>
        <row r="88">
          <cell r="W88">
            <v>-1</v>
          </cell>
        </row>
        <row r="89">
          <cell r="B89" t="str">
            <v>102505</v>
          </cell>
        </row>
        <row r="89">
          <cell r="W89">
            <v>0</v>
          </cell>
        </row>
        <row r="90">
          <cell r="B90" t="str">
            <v>GPR-OT02M02018</v>
          </cell>
        </row>
        <row r="90">
          <cell r="W90">
            <v>0</v>
          </cell>
        </row>
        <row r="91">
          <cell r="B91" t="str">
            <v>GPR-HO03M02001</v>
          </cell>
        </row>
        <row r="91">
          <cell r="W91">
            <v>0</v>
          </cell>
        </row>
        <row r="92">
          <cell r="B92" t="str">
            <v>102369</v>
          </cell>
        </row>
        <row r="92">
          <cell r="W92">
            <v>0</v>
          </cell>
        </row>
        <row r="93">
          <cell r="B93" t="str">
            <v>GPR-SP09M21029</v>
          </cell>
        </row>
        <row r="93">
          <cell r="W93">
            <v>0</v>
          </cell>
        </row>
        <row r="94">
          <cell r="B94" t="str">
            <v>GPR-SP32M21008</v>
          </cell>
        </row>
        <row r="94">
          <cell r="W94">
            <v>0</v>
          </cell>
        </row>
        <row r="95">
          <cell r="B95" t="str">
            <v>8020022760</v>
          </cell>
        </row>
        <row r="95">
          <cell r="W95">
            <v>141</v>
          </cell>
        </row>
        <row r="96">
          <cell r="B96" t="str">
            <v>6900012091319</v>
          </cell>
        </row>
        <row r="96">
          <cell r="W96">
            <v>0</v>
          </cell>
        </row>
        <row r="97">
          <cell r="B97" t="str">
            <v>8010012692</v>
          </cell>
        </row>
        <row r="97">
          <cell r="W97">
            <v>158</v>
          </cell>
        </row>
        <row r="98">
          <cell r="B98" t="str">
            <v>GPR-EQ13M01002</v>
          </cell>
        </row>
        <row r="98">
          <cell r="W98">
            <v>0</v>
          </cell>
        </row>
        <row r="99">
          <cell r="B99" t="str">
            <v>80576839</v>
          </cell>
        </row>
        <row r="99">
          <cell r="W99">
            <v>0</v>
          </cell>
        </row>
        <row r="100">
          <cell r="B100" t="str">
            <v>GPR-EQ21O04001</v>
          </cell>
        </row>
        <row r="100">
          <cell r="W100">
            <v>0</v>
          </cell>
        </row>
        <row r="101">
          <cell r="B101" t="str">
            <v>8110010815</v>
          </cell>
        </row>
        <row r="101">
          <cell r="W101">
            <v>360</v>
          </cell>
        </row>
        <row r="102">
          <cell r="B102" t="str">
            <v>VPR-SE04D15002</v>
          </cell>
        </row>
        <row r="102">
          <cell r="W102">
            <v>0</v>
          </cell>
        </row>
        <row r="103">
          <cell r="B103" t="str">
            <v>GPR-HD19M02012</v>
          </cell>
        </row>
        <row r="103">
          <cell r="W103">
            <v>0</v>
          </cell>
        </row>
        <row r="104">
          <cell r="B104" t="str">
            <v>GPR-EL37C02001</v>
          </cell>
        </row>
        <row r="104">
          <cell r="W104">
            <v>0</v>
          </cell>
        </row>
        <row r="105">
          <cell r="B105" t="str">
            <v>6900012091323</v>
          </cell>
        </row>
        <row r="105">
          <cell r="W105">
            <v>0</v>
          </cell>
        </row>
        <row r="106">
          <cell r="B106" t="str">
            <v>8302410000008</v>
          </cell>
        </row>
        <row r="106">
          <cell r="W106">
            <v>0</v>
          </cell>
        </row>
        <row r="107">
          <cell r="B107" t="str">
            <v>GPR-HO12S21001</v>
          </cell>
        </row>
        <row r="107">
          <cell r="W107">
            <v>0</v>
          </cell>
        </row>
        <row r="108">
          <cell r="B108" t="str">
            <v>6900012091316</v>
          </cell>
        </row>
        <row r="108">
          <cell r="W108">
            <v>0</v>
          </cell>
        </row>
        <row r="109">
          <cell r="B109" t="str">
            <v>VPR-HO13O04001</v>
          </cell>
        </row>
        <row r="109">
          <cell r="W109">
            <v>0</v>
          </cell>
        </row>
        <row r="110">
          <cell r="B110" t="str">
            <v>GPR-PP04M21002</v>
          </cell>
        </row>
        <row r="110">
          <cell r="W110">
            <v>0</v>
          </cell>
        </row>
        <row r="111">
          <cell r="B111" t="str">
            <v>GPR-HO10C01001</v>
          </cell>
        </row>
        <row r="111">
          <cell r="W111">
            <v>0</v>
          </cell>
        </row>
        <row r="112">
          <cell r="B112" t="str">
            <v>GPR-SP09M21030</v>
          </cell>
        </row>
        <row r="112">
          <cell r="W112">
            <v>0</v>
          </cell>
        </row>
        <row r="113">
          <cell r="B113" t="str">
            <v>GPR-PT02M21005</v>
          </cell>
        </row>
        <row r="113">
          <cell r="W113">
            <v>0</v>
          </cell>
        </row>
        <row r="114">
          <cell r="B114" t="str">
            <v>GPR-MB07I22001</v>
          </cell>
        </row>
        <row r="114">
          <cell r="W114">
            <v>0</v>
          </cell>
        </row>
        <row r="115">
          <cell r="B115" t="str">
            <v>GPR-PP02C01004</v>
          </cell>
        </row>
        <row r="115">
          <cell r="W115">
            <v>0</v>
          </cell>
        </row>
        <row r="116">
          <cell r="B116" t="str">
            <v>GPR-PT09M21010</v>
          </cell>
        </row>
        <row r="116">
          <cell r="W116">
            <v>0</v>
          </cell>
        </row>
        <row r="117">
          <cell r="B117" t="str">
            <v>VPR-HD13M14001</v>
          </cell>
        </row>
        <row r="117">
          <cell r="W117">
            <v>0</v>
          </cell>
        </row>
        <row r="118">
          <cell r="B118" t="str">
            <v>GPR-GS10E01003</v>
          </cell>
        </row>
        <row r="118">
          <cell r="W118">
            <v>0</v>
          </cell>
        </row>
        <row r="119">
          <cell r="B119" t="str">
            <v>GPR-SA07M21001</v>
          </cell>
        </row>
        <row r="119">
          <cell r="W119">
            <v>0</v>
          </cell>
        </row>
        <row r="120">
          <cell r="B120" t="str">
            <v>GPR-ME04N01002</v>
          </cell>
        </row>
        <row r="120">
          <cell r="W120">
            <v>0</v>
          </cell>
        </row>
        <row r="121">
          <cell r="B121" t="str">
            <v>GPR-PP04M21007</v>
          </cell>
        </row>
        <row r="121">
          <cell r="W121">
            <v>0</v>
          </cell>
        </row>
        <row r="122">
          <cell r="B122" t="str">
            <v>GPR-EQ38R01002</v>
          </cell>
        </row>
        <row r="122">
          <cell r="W122">
            <v>0</v>
          </cell>
        </row>
        <row r="123">
          <cell r="B123" t="str">
            <v>GPR-MB14C01001</v>
          </cell>
        </row>
        <row r="123">
          <cell r="W123">
            <v>0</v>
          </cell>
        </row>
        <row r="124">
          <cell r="B124" t="str">
            <v>80516265</v>
          </cell>
        </row>
        <row r="124">
          <cell r="W124">
            <v>12</v>
          </cell>
        </row>
        <row r="125">
          <cell r="B125" t="str">
            <v>6900011043029</v>
          </cell>
        </row>
        <row r="125">
          <cell r="W125">
            <v>0</v>
          </cell>
        </row>
        <row r="126">
          <cell r="B126" t="str">
            <v>GPR-SP00M02015</v>
          </cell>
        </row>
        <row r="126">
          <cell r="W126">
            <v>0</v>
          </cell>
        </row>
        <row r="127">
          <cell r="B127" t="str">
            <v>GPR-EQ18M01002</v>
          </cell>
        </row>
        <row r="127">
          <cell r="W127">
            <v>0</v>
          </cell>
        </row>
        <row r="128">
          <cell r="B128" t="str">
            <v>80516207</v>
          </cell>
        </row>
        <row r="128">
          <cell r="W128">
            <v>0</v>
          </cell>
        </row>
        <row r="129">
          <cell r="B129" t="str">
            <v>102547</v>
          </cell>
        </row>
        <row r="129">
          <cell r="W129">
            <v>3</v>
          </cell>
        </row>
        <row r="130">
          <cell r="B130" t="str">
            <v>8020022822</v>
          </cell>
        </row>
        <row r="130">
          <cell r="W130">
            <v>484</v>
          </cell>
        </row>
        <row r="131">
          <cell r="B131" t="str">
            <v>8030050090</v>
          </cell>
        </row>
        <row r="131">
          <cell r="W131">
            <v>3630</v>
          </cell>
        </row>
        <row r="132">
          <cell r="B132" t="str">
            <v>GPR-MB02L01005</v>
          </cell>
        </row>
        <row r="132">
          <cell r="W132">
            <v>0</v>
          </cell>
        </row>
        <row r="133">
          <cell r="B133" t="str">
            <v>6900011043025</v>
          </cell>
        </row>
        <row r="133">
          <cell r="W133">
            <v>0</v>
          </cell>
        </row>
        <row r="134">
          <cell r="B134" t="str">
            <v>0113416400</v>
          </cell>
        </row>
        <row r="134">
          <cell r="W134">
            <v>0</v>
          </cell>
        </row>
        <row r="135">
          <cell r="B135" t="str">
            <v>8020012379</v>
          </cell>
        </row>
        <row r="135">
          <cell r="W135">
            <v>994</v>
          </cell>
        </row>
        <row r="136">
          <cell r="B136" t="str">
            <v>80516204</v>
          </cell>
        </row>
        <row r="136">
          <cell r="W136">
            <v>0</v>
          </cell>
        </row>
        <row r="137">
          <cell r="B137" t="str">
            <v>GPR-PT09M21009</v>
          </cell>
        </row>
        <row r="137">
          <cell r="W137">
            <v>0</v>
          </cell>
        </row>
        <row r="138">
          <cell r="B138" t="str">
            <v>GPR-HD08M02011</v>
          </cell>
        </row>
        <row r="138">
          <cell r="W138">
            <v>0</v>
          </cell>
        </row>
        <row r="139">
          <cell r="B139" t="str">
            <v>80516270</v>
          </cell>
        </row>
        <row r="139">
          <cell r="W139">
            <v>-2</v>
          </cell>
        </row>
        <row r="140">
          <cell r="B140" t="str">
            <v>8010071334</v>
          </cell>
        </row>
        <row r="140">
          <cell r="W140">
            <v>415</v>
          </cell>
        </row>
        <row r="141">
          <cell r="B141" t="str">
            <v>69000030103208</v>
          </cell>
        </row>
        <row r="141">
          <cell r="W141">
            <v>0</v>
          </cell>
        </row>
        <row r="142">
          <cell r="B142" t="str">
            <v>6805200000004</v>
          </cell>
        </row>
        <row r="142">
          <cell r="W142">
            <v>0</v>
          </cell>
        </row>
        <row r="143">
          <cell r="B143" t="str">
            <v>DS70238</v>
          </cell>
        </row>
        <row r="143">
          <cell r="W143">
            <v>478</v>
          </cell>
        </row>
        <row r="144">
          <cell r="B144" t="str">
            <v>GPR-SP09M21031</v>
          </cell>
        </row>
        <row r="144">
          <cell r="W144">
            <v>0</v>
          </cell>
        </row>
        <row r="145">
          <cell r="B145" t="str">
            <v>8010033309</v>
          </cell>
        </row>
        <row r="145">
          <cell r="W145">
            <v>0</v>
          </cell>
        </row>
        <row r="146">
          <cell r="B146" t="str">
            <v>102426</v>
          </cell>
        </row>
        <row r="146">
          <cell r="W146">
            <v>0</v>
          </cell>
        </row>
        <row r="147">
          <cell r="B147" t="str">
            <v>GPR-HO12S21002</v>
          </cell>
        </row>
        <row r="147">
          <cell r="W147">
            <v>0</v>
          </cell>
        </row>
        <row r="148">
          <cell r="B148" t="str">
            <v>102407</v>
          </cell>
        </row>
        <row r="148">
          <cell r="W148">
            <v>0</v>
          </cell>
        </row>
        <row r="149">
          <cell r="B149" t="str">
            <v>842420000000003</v>
          </cell>
        </row>
        <row r="149">
          <cell r="W149">
            <v>-265</v>
          </cell>
        </row>
        <row r="150">
          <cell r="B150" t="str">
            <v>GPR-PT05R01001</v>
          </cell>
        </row>
        <row r="150">
          <cell r="W150">
            <v>0</v>
          </cell>
        </row>
        <row r="151">
          <cell r="B151" t="str">
            <v>6900012090411</v>
          </cell>
        </row>
        <row r="151">
          <cell r="W151">
            <v>0</v>
          </cell>
        </row>
        <row r="152">
          <cell r="B152" t="str">
            <v>GPR-SP30M21007</v>
          </cell>
        </row>
        <row r="152">
          <cell r="W152">
            <v>0</v>
          </cell>
        </row>
        <row r="153">
          <cell r="B153" t="str">
            <v>8010041335</v>
          </cell>
        </row>
        <row r="153">
          <cell r="W153">
            <v>0</v>
          </cell>
        </row>
        <row r="154">
          <cell r="B154" t="str">
            <v>8030020044</v>
          </cell>
        </row>
        <row r="154">
          <cell r="W154">
            <v>3901</v>
          </cell>
        </row>
        <row r="155">
          <cell r="B155" t="str">
            <v>GPR-EL19C01006</v>
          </cell>
        </row>
        <row r="155">
          <cell r="W155">
            <v>0</v>
          </cell>
        </row>
        <row r="156">
          <cell r="B156" t="str">
            <v>80516269</v>
          </cell>
        </row>
        <row r="156">
          <cell r="W156">
            <v>80</v>
          </cell>
        </row>
        <row r="157">
          <cell r="B157" t="str">
            <v>8010036472</v>
          </cell>
        </row>
        <row r="157">
          <cell r="W157">
            <v>0</v>
          </cell>
        </row>
        <row r="158">
          <cell r="B158" t="str">
            <v>8020012381</v>
          </cell>
        </row>
        <row r="158">
          <cell r="W158">
            <v>157</v>
          </cell>
        </row>
        <row r="159">
          <cell r="B159" t="str">
            <v>GPR-ME03D01003</v>
          </cell>
        </row>
        <row r="159">
          <cell r="W159">
            <v>0</v>
          </cell>
        </row>
        <row r="160">
          <cell r="B160" t="str">
            <v>GPR-PT02M15004</v>
          </cell>
        </row>
        <row r="160">
          <cell r="W160">
            <v>0</v>
          </cell>
        </row>
        <row r="161">
          <cell r="B161" t="str">
            <v>GPR-LL02L21002</v>
          </cell>
        </row>
        <row r="161">
          <cell r="W161">
            <v>129</v>
          </cell>
        </row>
        <row r="162">
          <cell r="B162" t="str">
            <v>GPR-MB02L01021</v>
          </cell>
        </row>
        <row r="162">
          <cell r="W162">
            <v>0</v>
          </cell>
        </row>
        <row r="163">
          <cell r="B163" t="str">
            <v>8030020046</v>
          </cell>
        </row>
        <row r="163">
          <cell r="W163">
            <v>5158</v>
          </cell>
        </row>
        <row r="164">
          <cell r="B164" t="str">
            <v>GPR-GS05A21002</v>
          </cell>
        </row>
        <row r="164">
          <cell r="W164">
            <v>0</v>
          </cell>
        </row>
        <row r="165">
          <cell r="B165" t="str">
            <v>8010072486</v>
          </cell>
        </row>
        <row r="165">
          <cell r="W165">
            <v>5500</v>
          </cell>
        </row>
        <row r="166">
          <cell r="B166" t="str">
            <v>0113916900</v>
          </cell>
        </row>
        <row r="166">
          <cell r="W166">
            <v>0</v>
          </cell>
        </row>
        <row r="167">
          <cell r="B167" t="str">
            <v>GPR-MB18C33001</v>
          </cell>
        </row>
        <row r="167">
          <cell r="W167">
            <v>0</v>
          </cell>
        </row>
        <row r="168">
          <cell r="B168" t="str">
            <v>8020022806</v>
          </cell>
        </row>
        <row r="168">
          <cell r="W168">
            <v>356</v>
          </cell>
        </row>
        <row r="169">
          <cell r="B169" t="str">
            <v>GPR-PT03D12002</v>
          </cell>
        </row>
        <row r="169">
          <cell r="W169">
            <v>0</v>
          </cell>
        </row>
        <row r="170">
          <cell r="B170" t="str">
            <v>0113917000</v>
          </cell>
        </row>
        <row r="170">
          <cell r="W170">
            <v>0</v>
          </cell>
        </row>
        <row r="171">
          <cell r="B171" t="str">
            <v>GPR-HD02S21003</v>
          </cell>
        </row>
        <row r="171">
          <cell r="W171">
            <v>0</v>
          </cell>
        </row>
        <row r="172">
          <cell r="B172" t="str">
            <v>0113816900</v>
          </cell>
        </row>
        <row r="172">
          <cell r="W172">
            <v>0</v>
          </cell>
        </row>
        <row r="173">
          <cell r="B173" t="str">
            <v>102465</v>
          </cell>
        </row>
        <row r="173">
          <cell r="W173">
            <v>0</v>
          </cell>
        </row>
        <row r="174">
          <cell r="B174" t="str">
            <v>8010071479</v>
          </cell>
        </row>
        <row r="174">
          <cell r="W174">
            <v>455</v>
          </cell>
        </row>
        <row r="175">
          <cell r="B175" t="str">
            <v>GPR-HO03T13001</v>
          </cell>
        </row>
        <row r="175">
          <cell r="W175">
            <v>0</v>
          </cell>
        </row>
        <row r="176">
          <cell r="B176" t="str">
            <v>10043677717200</v>
          </cell>
        </row>
        <row r="176">
          <cell r="W176">
            <v>0</v>
          </cell>
        </row>
        <row r="177">
          <cell r="B177" t="str">
            <v>6900012091320</v>
          </cell>
        </row>
        <row r="177">
          <cell r="W177">
            <v>0</v>
          </cell>
        </row>
        <row r="178">
          <cell r="B178" t="str">
            <v>102466</v>
          </cell>
        </row>
        <row r="178">
          <cell r="W178">
            <v>0</v>
          </cell>
        </row>
        <row r="179">
          <cell r="B179" t="str">
            <v>102366</v>
          </cell>
        </row>
        <row r="179">
          <cell r="W179">
            <v>0</v>
          </cell>
        </row>
        <row r="180">
          <cell r="B180" t="str">
            <v>GPR-PN06C33012</v>
          </cell>
        </row>
        <row r="180">
          <cell r="W180">
            <v>0</v>
          </cell>
        </row>
        <row r="181">
          <cell r="B181" t="str">
            <v>GPR-PT04M21002</v>
          </cell>
        </row>
        <row r="181">
          <cell r="W181">
            <v>0</v>
          </cell>
        </row>
        <row r="182">
          <cell r="B182" t="str">
            <v>GPR-PP03C02004</v>
          </cell>
        </row>
        <row r="182">
          <cell r="W182">
            <v>0</v>
          </cell>
        </row>
        <row r="183">
          <cell r="B183" t="str">
            <v>GPR-PT04M21003</v>
          </cell>
        </row>
        <row r="183">
          <cell r="W183">
            <v>0</v>
          </cell>
        </row>
        <row r="184">
          <cell r="B184" t="str">
            <v>80516428</v>
          </cell>
        </row>
        <row r="184">
          <cell r="W184">
            <v>0</v>
          </cell>
        </row>
        <row r="185">
          <cell r="B185" t="str">
            <v>GPR-HO04M21007</v>
          </cell>
        </row>
        <row r="185">
          <cell r="W185">
            <v>0</v>
          </cell>
        </row>
        <row r="186">
          <cell r="B186" t="str">
            <v>8020022653</v>
          </cell>
        </row>
        <row r="186">
          <cell r="W186">
            <v>393</v>
          </cell>
        </row>
        <row r="187">
          <cell r="B187" t="str">
            <v>6900010080210</v>
          </cell>
        </row>
        <row r="187">
          <cell r="W187">
            <v>0</v>
          </cell>
        </row>
        <row r="188">
          <cell r="B188" t="str">
            <v>102393</v>
          </cell>
        </row>
        <row r="188">
          <cell r="W188">
            <v>0</v>
          </cell>
        </row>
        <row r="189">
          <cell r="B189" t="str">
            <v>102410</v>
          </cell>
        </row>
        <row r="189">
          <cell r="W189">
            <v>0</v>
          </cell>
        </row>
        <row r="190">
          <cell r="B190" t="str">
            <v>GPR-PT03D12003</v>
          </cell>
        </row>
        <row r="190">
          <cell r="W190">
            <v>0</v>
          </cell>
        </row>
        <row r="191">
          <cell r="B191" t="str">
            <v>GPR-PT09C00001</v>
          </cell>
        </row>
        <row r="191">
          <cell r="W191">
            <v>0</v>
          </cell>
        </row>
        <row r="192">
          <cell r="B192" t="str">
            <v>0113616400</v>
          </cell>
        </row>
        <row r="192">
          <cell r="W192">
            <v>0</v>
          </cell>
        </row>
        <row r="193">
          <cell r="B193" t="str">
            <v>GPR-PP02C01002</v>
          </cell>
        </row>
        <row r="193">
          <cell r="W193">
            <v>0</v>
          </cell>
        </row>
        <row r="194">
          <cell r="B194" t="str">
            <v>102394</v>
          </cell>
        </row>
        <row r="194">
          <cell r="W194">
            <v>0</v>
          </cell>
        </row>
        <row r="195">
          <cell r="B195" t="str">
            <v>GPR-MB22N03002</v>
          </cell>
        </row>
        <row r="195">
          <cell r="W195">
            <v>0</v>
          </cell>
        </row>
        <row r="196">
          <cell r="B196" t="str">
            <v>GPR-EL37M01001</v>
          </cell>
        </row>
        <row r="196">
          <cell r="W196">
            <v>0</v>
          </cell>
        </row>
        <row r="197">
          <cell r="B197" t="str">
            <v>8020012383</v>
          </cell>
        </row>
        <row r="197">
          <cell r="W197">
            <v>217</v>
          </cell>
        </row>
        <row r="198">
          <cell r="B198" t="str">
            <v>80516455</v>
          </cell>
        </row>
        <row r="198">
          <cell r="W198">
            <v>0</v>
          </cell>
        </row>
        <row r="199">
          <cell r="B199" t="str">
            <v>8010072744</v>
          </cell>
        </row>
        <row r="199">
          <cell r="W199">
            <v>2400</v>
          </cell>
        </row>
        <row r="200">
          <cell r="B200" t="str">
            <v>GPR-SP17S21002</v>
          </cell>
        </row>
        <row r="200">
          <cell r="W200">
            <v>0</v>
          </cell>
        </row>
        <row r="201">
          <cell r="B201" t="str">
            <v>8030020187</v>
          </cell>
        </row>
        <row r="201">
          <cell r="W201">
            <v>20</v>
          </cell>
        </row>
        <row r="202">
          <cell r="B202" t="str">
            <v>GPR-HO06R11001</v>
          </cell>
        </row>
        <row r="202">
          <cell r="W202">
            <v>0</v>
          </cell>
        </row>
        <row r="203">
          <cell r="B203" t="str">
            <v>GPR-PT03D12004</v>
          </cell>
        </row>
        <row r="203">
          <cell r="W203">
            <v>0</v>
          </cell>
        </row>
        <row r="204">
          <cell r="B204" t="str">
            <v>8020022664</v>
          </cell>
        </row>
        <row r="204">
          <cell r="W204">
            <v>163</v>
          </cell>
        </row>
        <row r="205">
          <cell r="B205" t="str">
            <v>GPR-PT02M15005</v>
          </cell>
        </row>
        <row r="205">
          <cell r="W205">
            <v>0</v>
          </cell>
        </row>
        <row r="206">
          <cell r="B206" t="str">
            <v>GPR-HD02S21002</v>
          </cell>
        </row>
        <row r="206">
          <cell r="W206">
            <v>0</v>
          </cell>
        </row>
        <row r="207">
          <cell r="B207" t="str">
            <v>8020022761</v>
          </cell>
        </row>
        <row r="207">
          <cell r="W207">
            <v>215</v>
          </cell>
        </row>
        <row r="208">
          <cell r="B208" t="str">
            <v>GPR-MB34C15001</v>
          </cell>
        </row>
        <row r="208">
          <cell r="W208">
            <v>0</v>
          </cell>
        </row>
        <row r="209">
          <cell r="B209" t="str">
            <v>8020040636</v>
          </cell>
        </row>
        <row r="209">
          <cell r="W209">
            <v>-2</v>
          </cell>
        </row>
        <row r="210">
          <cell r="B210" t="str">
            <v>GPR-EL22A22006</v>
          </cell>
        </row>
        <row r="210">
          <cell r="W210">
            <v>0</v>
          </cell>
        </row>
        <row r="211">
          <cell r="B211" t="str">
            <v>6900011043022</v>
          </cell>
        </row>
        <row r="211">
          <cell r="W211">
            <v>0</v>
          </cell>
        </row>
        <row r="212">
          <cell r="B212" t="str">
            <v>6900011043024</v>
          </cell>
        </row>
        <row r="212">
          <cell r="W212">
            <v>0</v>
          </cell>
        </row>
        <row r="213">
          <cell r="B213" t="str">
            <v>GPR-PT01M15003</v>
          </cell>
        </row>
        <row r="213">
          <cell r="W213">
            <v>0</v>
          </cell>
        </row>
        <row r="214">
          <cell r="B214" t="str">
            <v>GPR-OS03P01003</v>
          </cell>
        </row>
        <row r="214">
          <cell r="W214">
            <v>0</v>
          </cell>
        </row>
        <row r="215">
          <cell r="B215" t="str">
            <v>GPR-ME04N01004</v>
          </cell>
        </row>
        <row r="215">
          <cell r="W215">
            <v>0</v>
          </cell>
        </row>
        <row r="216">
          <cell r="B216" t="str">
            <v>GPR-SP00M21002</v>
          </cell>
        </row>
        <row r="216">
          <cell r="W216">
            <v>0</v>
          </cell>
        </row>
        <row r="217">
          <cell r="B217" t="str">
            <v>GPR-GS04A21001</v>
          </cell>
        </row>
        <row r="217">
          <cell r="W217">
            <v>0</v>
          </cell>
        </row>
        <row r="218">
          <cell r="B218" t="str">
            <v>102411</v>
          </cell>
        </row>
        <row r="218">
          <cell r="W218">
            <v>0</v>
          </cell>
        </row>
        <row r="219">
          <cell r="B219" t="str">
            <v>8020022650</v>
          </cell>
        </row>
        <row r="219">
          <cell r="W219">
            <v>453</v>
          </cell>
        </row>
        <row r="220">
          <cell r="B220" t="str">
            <v>8020022667</v>
          </cell>
        </row>
        <row r="220">
          <cell r="W220">
            <v>808</v>
          </cell>
        </row>
        <row r="221">
          <cell r="B221" t="str">
            <v>8010071409</v>
          </cell>
        </row>
        <row r="221">
          <cell r="W221">
            <v>390</v>
          </cell>
        </row>
        <row r="222">
          <cell r="B222" t="str">
            <v>69000030103166</v>
          </cell>
        </row>
        <row r="222">
          <cell r="W222">
            <v>0</v>
          </cell>
        </row>
        <row r="223">
          <cell r="B223" t="str">
            <v>8020023215</v>
          </cell>
        </row>
        <row r="223">
          <cell r="W223">
            <v>241</v>
          </cell>
        </row>
        <row r="224">
          <cell r="B224" t="str">
            <v>GPR-HD01S21008</v>
          </cell>
        </row>
        <row r="224">
          <cell r="W224">
            <v>0</v>
          </cell>
        </row>
        <row r="225">
          <cell r="B225" t="str">
            <v>80516492</v>
          </cell>
        </row>
        <row r="225">
          <cell r="W225">
            <v>0</v>
          </cell>
        </row>
        <row r="226">
          <cell r="B226" t="str">
            <v>6900010080206</v>
          </cell>
        </row>
        <row r="226">
          <cell r="W226">
            <v>0</v>
          </cell>
        </row>
        <row r="227">
          <cell r="B227" t="str">
            <v>GPR-PP04C03008</v>
          </cell>
        </row>
        <row r="227">
          <cell r="W227">
            <v>0</v>
          </cell>
        </row>
        <row r="228">
          <cell r="B228" t="str">
            <v>8010012697</v>
          </cell>
        </row>
        <row r="228">
          <cell r="W228">
            <v>166</v>
          </cell>
        </row>
        <row r="229">
          <cell r="B229" t="str">
            <v>GPR-EL10C01001</v>
          </cell>
        </row>
        <row r="229">
          <cell r="W229">
            <v>0</v>
          </cell>
        </row>
        <row r="230">
          <cell r="B230" t="str">
            <v>8020022790</v>
          </cell>
        </row>
        <row r="230">
          <cell r="W230">
            <v>56</v>
          </cell>
        </row>
        <row r="231">
          <cell r="B231" t="str">
            <v>8010024410</v>
          </cell>
        </row>
        <row r="231">
          <cell r="W231">
            <v>250</v>
          </cell>
        </row>
        <row r="232">
          <cell r="B232" t="str">
            <v>GPR-SP26M02001</v>
          </cell>
        </row>
        <row r="232">
          <cell r="W232">
            <v>0</v>
          </cell>
        </row>
        <row r="233">
          <cell r="B233" t="str">
            <v>GPR-PP04C01003</v>
          </cell>
        </row>
        <row r="233">
          <cell r="W233">
            <v>0</v>
          </cell>
        </row>
        <row r="234">
          <cell r="B234" t="str">
            <v>8010012698</v>
          </cell>
        </row>
        <row r="234">
          <cell r="W234">
            <v>73</v>
          </cell>
        </row>
        <row r="235">
          <cell r="B235" t="str">
            <v>8010024358</v>
          </cell>
        </row>
        <row r="235">
          <cell r="W235">
            <v>500</v>
          </cell>
        </row>
        <row r="236">
          <cell r="B236" t="str">
            <v>GPR-PT02M15006</v>
          </cell>
        </row>
        <row r="236">
          <cell r="W236">
            <v>0</v>
          </cell>
        </row>
        <row r="237">
          <cell r="B237" t="str">
            <v>8010071394</v>
          </cell>
        </row>
        <row r="237">
          <cell r="W237">
            <v>2060</v>
          </cell>
        </row>
        <row r="238">
          <cell r="B238" t="str">
            <v>GPR-EL19C01005</v>
          </cell>
        </row>
        <row r="238">
          <cell r="W238">
            <v>0</v>
          </cell>
        </row>
        <row r="239">
          <cell r="B239" t="str">
            <v>GPR-PP04C01006</v>
          </cell>
        </row>
        <row r="239">
          <cell r="W239">
            <v>0</v>
          </cell>
        </row>
        <row r="240">
          <cell r="B240" t="str">
            <v>GPR-ME03C01007</v>
          </cell>
        </row>
        <row r="240">
          <cell r="W240">
            <v>0</v>
          </cell>
        </row>
        <row r="241">
          <cell r="B241" t="str">
            <v>101639</v>
          </cell>
        </row>
        <row r="241">
          <cell r="W241">
            <v>0</v>
          </cell>
        </row>
        <row r="242">
          <cell r="B242" t="str">
            <v>8010024360</v>
          </cell>
        </row>
        <row r="242">
          <cell r="W242">
            <v>332</v>
          </cell>
        </row>
        <row r="243">
          <cell r="B243" t="str">
            <v>GPR-PP04C01007</v>
          </cell>
        </row>
        <row r="243">
          <cell r="W243">
            <v>0</v>
          </cell>
        </row>
        <row r="244">
          <cell r="B244" t="str">
            <v>GPR-PL02A21003</v>
          </cell>
        </row>
        <row r="244">
          <cell r="W244">
            <v>0</v>
          </cell>
        </row>
        <row r="245">
          <cell r="B245" t="str">
            <v>GPR-MB34C15002</v>
          </cell>
        </row>
        <row r="245">
          <cell r="W245">
            <v>0</v>
          </cell>
        </row>
        <row r="246">
          <cell r="B246" t="str">
            <v>8010071496</v>
          </cell>
        </row>
        <row r="246">
          <cell r="W246">
            <v>67</v>
          </cell>
        </row>
        <row r="247">
          <cell r="B247" t="str">
            <v>GPR-PP04C01009</v>
          </cell>
        </row>
        <row r="247">
          <cell r="W247">
            <v>0</v>
          </cell>
        </row>
        <row r="248">
          <cell r="B248" t="str">
            <v>GPR-OS03P04001</v>
          </cell>
        </row>
        <row r="248">
          <cell r="W248">
            <v>0</v>
          </cell>
        </row>
        <row r="249">
          <cell r="B249" t="str">
            <v>102375</v>
          </cell>
        </row>
        <row r="249">
          <cell r="W249">
            <v>0</v>
          </cell>
        </row>
        <row r="250">
          <cell r="B250" t="str">
            <v>GPR-PP04C01010</v>
          </cell>
        </row>
        <row r="250">
          <cell r="W250">
            <v>0</v>
          </cell>
        </row>
        <row r="251">
          <cell r="B251" t="str">
            <v>GPR-EQ43D01001</v>
          </cell>
        </row>
        <row r="251">
          <cell r="W251">
            <v>0</v>
          </cell>
        </row>
        <row r="252">
          <cell r="B252" t="str">
            <v>VPR-SE04D33002</v>
          </cell>
        </row>
        <row r="252">
          <cell r="W252">
            <v>0</v>
          </cell>
        </row>
        <row r="253">
          <cell r="B253" t="str">
            <v>GPR-PP02C14001</v>
          </cell>
        </row>
        <row r="253">
          <cell r="W253">
            <v>0</v>
          </cell>
        </row>
        <row r="254">
          <cell r="B254" t="str">
            <v>GPR-PP04C01011</v>
          </cell>
        </row>
        <row r="254">
          <cell r="W254">
            <v>0</v>
          </cell>
        </row>
        <row r="255">
          <cell r="B255" t="str">
            <v>GPR-EQ42R02004</v>
          </cell>
        </row>
        <row r="255">
          <cell r="W255">
            <v>0</v>
          </cell>
        </row>
        <row r="256">
          <cell r="B256" t="str">
            <v>VPR-SE04D33004</v>
          </cell>
        </row>
        <row r="256">
          <cell r="W256">
            <v>0</v>
          </cell>
        </row>
        <row r="257">
          <cell r="B257" t="str">
            <v>3926909090019</v>
          </cell>
        </row>
        <row r="257">
          <cell r="W257">
            <v>0</v>
          </cell>
        </row>
        <row r="258">
          <cell r="B258" t="str">
            <v>GPR-PP02C14002</v>
          </cell>
        </row>
        <row r="258">
          <cell r="W258">
            <v>0</v>
          </cell>
        </row>
        <row r="259">
          <cell r="B259" t="str">
            <v>GPR-PP04C03003</v>
          </cell>
        </row>
        <row r="259">
          <cell r="W259">
            <v>0</v>
          </cell>
        </row>
        <row r="260">
          <cell r="B260" t="str">
            <v>GPR-PP04C01014</v>
          </cell>
        </row>
        <row r="260">
          <cell r="W260">
            <v>0</v>
          </cell>
        </row>
        <row r="261">
          <cell r="B261" t="str">
            <v>8010071422</v>
          </cell>
        </row>
        <row r="261">
          <cell r="W261">
            <v>2030</v>
          </cell>
        </row>
        <row r="262">
          <cell r="B262" t="str">
            <v>GPR-PT09D01001</v>
          </cell>
        </row>
        <row r="262">
          <cell r="W262">
            <v>0</v>
          </cell>
        </row>
        <row r="263">
          <cell r="B263" t="str">
            <v>GPR-EL10C02001</v>
          </cell>
        </row>
        <row r="263">
          <cell r="W263">
            <v>0</v>
          </cell>
        </row>
        <row r="264">
          <cell r="B264" t="str">
            <v>GPR-PP04C01015</v>
          </cell>
        </row>
        <row r="264">
          <cell r="W264">
            <v>0</v>
          </cell>
        </row>
        <row r="265">
          <cell r="B265" t="str">
            <v>8010072791</v>
          </cell>
        </row>
        <row r="265">
          <cell r="W265">
            <v>100</v>
          </cell>
        </row>
        <row r="266">
          <cell r="B266" t="str">
            <v>GPR-PT02M15007</v>
          </cell>
        </row>
        <row r="266">
          <cell r="W266">
            <v>0</v>
          </cell>
        </row>
        <row r="267">
          <cell r="B267" t="str">
            <v>GPR-PP04C01034</v>
          </cell>
        </row>
        <row r="267">
          <cell r="W267">
            <v>0</v>
          </cell>
        </row>
        <row r="268">
          <cell r="B268" t="str">
            <v>GPR-MB14M21007</v>
          </cell>
        </row>
        <row r="268">
          <cell r="W268">
            <v>0</v>
          </cell>
        </row>
        <row r="269">
          <cell r="B269" t="str">
            <v>GPR-SP00M21044</v>
          </cell>
        </row>
        <row r="269">
          <cell r="W269">
            <v>0</v>
          </cell>
        </row>
        <row r="270">
          <cell r="B270" t="str">
            <v>GPR-MB17S21002</v>
          </cell>
        </row>
        <row r="270">
          <cell r="W270">
            <v>0</v>
          </cell>
        </row>
        <row r="271">
          <cell r="B271" t="str">
            <v>8010072793</v>
          </cell>
        </row>
        <row r="271">
          <cell r="W271">
            <v>100</v>
          </cell>
        </row>
        <row r="272">
          <cell r="B272" t="str">
            <v>GPR-EL19C01003</v>
          </cell>
        </row>
        <row r="272">
          <cell r="W272">
            <v>0</v>
          </cell>
        </row>
        <row r="273">
          <cell r="B273" t="str">
            <v>8020022748</v>
          </cell>
        </row>
        <row r="273">
          <cell r="W273">
            <v>125</v>
          </cell>
        </row>
        <row r="274">
          <cell r="B274" t="str">
            <v>GPR-PT03D01006</v>
          </cell>
        </row>
        <row r="274">
          <cell r="W274">
            <v>0</v>
          </cell>
        </row>
        <row r="275">
          <cell r="B275" t="str">
            <v>GPR-PP03C02002</v>
          </cell>
        </row>
        <row r="275">
          <cell r="W275">
            <v>0</v>
          </cell>
        </row>
        <row r="276">
          <cell r="B276" t="str">
            <v>6900003010227</v>
          </cell>
        </row>
        <row r="276">
          <cell r="W276">
            <v>3</v>
          </cell>
        </row>
        <row r="277">
          <cell r="B277" t="str">
            <v>GPR-OS03P04002</v>
          </cell>
        </row>
        <row r="277">
          <cell r="W277">
            <v>0</v>
          </cell>
        </row>
        <row r="278">
          <cell r="B278" t="str">
            <v>80516501</v>
          </cell>
        </row>
        <row r="278">
          <cell r="W278">
            <v>0</v>
          </cell>
        </row>
        <row r="279">
          <cell r="B279" t="str">
            <v>6900012091367</v>
          </cell>
        </row>
        <row r="279">
          <cell r="W279">
            <v>0</v>
          </cell>
        </row>
        <row r="280">
          <cell r="B280" t="str">
            <v>GPR-SP26M02002</v>
          </cell>
        </row>
        <row r="280">
          <cell r="W280">
            <v>0</v>
          </cell>
        </row>
        <row r="281">
          <cell r="B281" t="str">
            <v>GPR-EQ42R02005</v>
          </cell>
        </row>
        <row r="281">
          <cell r="W281">
            <v>0</v>
          </cell>
        </row>
        <row r="282">
          <cell r="B282" t="str">
            <v>6900012091364</v>
          </cell>
        </row>
        <row r="282">
          <cell r="W282">
            <v>0</v>
          </cell>
        </row>
        <row r="283">
          <cell r="B283" t="str">
            <v>8010072795</v>
          </cell>
        </row>
        <row r="283">
          <cell r="W283">
            <v>0</v>
          </cell>
        </row>
        <row r="284">
          <cell r="B284" t="str">
            <v>8020022742</v>
          </cell>
        </row>
        <row r="284">
          <cell r="W284">
            <v>751</v>
          </cell>
        </row>
        <row r="285">
          <cell r="B285" t="str">
            <v>GPR-MB14M15002</v>
          </cell>
        </row>
        <row r="285">
          <cell r="W285">
            <v>0</v>
          </cell>
        </row>
        <row r="286">
          <cell r="B286" t="str">
            <v>8020022655</v>
          </cell>
        </row>
        <row r="286">
          <cell r="W286">
            <v>89</v>
          </cell>
        </row>
        <row r="287">
          <cell r="B287" t="str">
            <v>8010071456</v>
          </cell>
        </row>
        <row r="287">
          <cell r="W287">
            <v>98</v>
          </cell>
        </row>
        <row r="288">
          <cell r="B288" t="str">
            <v>GPR-HO06L00001</v>
          </cell>
        </row>
        <row r="288">
          <cell r="W288">
            <v>0</v>
          </cell>
        </row>
        <row r="289">
          <cell r="B289" t="str">
            <v>GPR-EL17M03001</v>
          </cell>
        </row>
        <row r="289">
          <cell r="W289">
            <v>0</v>
          </cell>
        </row>
        <row r="290">
          <cell r="B290" t="str">
            <v>8020040256</v>
          </cell>
        </row>
        <row r="290">
          <cell r="W290">
            <v>0</v>
          </cell>
        </row>
        <row r="291">
          <cell r="B291" t="str">
            <v>GPR-PP04C01027</v>
          </cell>
        </row>
        <row r="291">
          <cell r="W291">
            <v>0</v>
          </cell>
        </row>
        <row r="292">
          <cell r="B292" t="str">
            <v>8020040635</v>
          </cell>
        </row>
        <row r="292">
          <cell r="W292">
            <v>24</v>
          </cell>
        </row>
        <row r="293">
          <cell r="B293" t="str">
            <v>GPR-EQ50P11001</v>
          </cell>
        </row>
        <row r="293">
          <cell r="W293">
            <v>0</v>
          </cell>
        </row>
        <row r="294">
          <cell r="B294" t="str">
            <v>8020040709</v>
          </cell>
        </row>
        <row r="294">
          <cell r="W294">
            <v>0</v>
          </cell>
        </row>
        <row r="295">
          <cell r="B295" t="str">
            <v>GPR-OS03P04003</v>
          </cell>
        </row>
        <row r="295">
          <cell r="W295">
            <v>0</v>
          </cell>
        </row>
        <row r="296">
          <cell r="B296" t="str">
            <v>GPR-PP04C01031</v>
          </cell>
        </row>
        <row r="296">
          <cell r="W296">
            <v>0</v>
          </cell>
        </row>
        <row r="297">
          <cell r="B297" t="str">
            <v>GPR-SP26M02003</v>
          </cell>
        </row>
        <row r="297">
          <cell r="W297">
            <v>0</v>
          </cell>
        </row>
        <row r="298">
          <cell r="B298" t="str">
            <v>8020022751</v>
          </cell>
        </row>
        <row r="298">
          <cell r="W298">
            <v>96</v>
          </cell>
        </row>
        <row r="299">
          <cell r="B299" t="str">
            <v>GPR-PP04C01032</v>
          </cell>
        </row>
        <row r="299">
          <cell r="W299">
            <v>0</v>
          </cell>
        </row>
        <row r="300">
          <cell r="B300" t="str">
            <v>0110309</v>
          </cell>
        </row>
        <row r="300">
          <cell r="W300">
            <v>0</v>
          </cell>
        </row>
        <row r="301">
          <cell r="B301" t="str">
            <v>8010036452</v>
          </cell>
        </row>
        <row r="301">
          <cell r="W301">
            <v>0</v>
          </cell>
        </row>
        <row r="302">
          <cell r="B302" t="str">
            <v>GPR-PP04C01033</v>
          </cell>
        </row>
        <row r="302">
          <cell r="W302">
            <v>0</v>
          </cell>
        </row>
        <row r="303">
          <cell r="B303" t="str">
            <v>8020020244</v>
          </cell>
        </row>
        <row r="303">
          <cell r="W303">
            <v>0</v>
          </cell>
        </row>
        <row r="304">
          <cell r="B304" t="str">
            <v>GPR-PT10M15001</v>
          </cell>
        </row>
        <row r="304">
          <cell r="W304">
            <v>0</v>
          </cell>
        </row>
        <row r="305">
          <cell r="B305" t="str">
            <v>8010012694</v>
          </cell>
        </row>
        <row r="305">
          <cell r="W305">
            <v>142</v>
          </cell>
        </row>
        <row r="306">
          <cell r="B306" t="str">
            <v>GPR-WC01S21018</v>
          </cell>
        </row>
        <row r="306">
          <cell r="W306">
            <v>0</v>
          </cell>
        </row>
        <row r="307">
          <cell r="B307" t="str">
            <v>8010024355</v>
          </cell>
        </row>
        <row r="307">
          <cell r="W307">
            <v>343</v>
          </cell>
        </row>
        <row r="308">
          <cell r="B308" t="str">
            <v>8010071454</v>
          </cell>
        </row>
        <row r="308">
          <cell r="W308">
            <v>268</v>
          </cell>
        </row>
        <row r="309">
          <cell r="B309" t="str">
            <v>8030020193</v>
          </cell>
        </row>
        <row r="309">
          <cell r="W309">
            <v>160</v>
          </cell>
        </row>
        <row r="310">
          <cell r="B310" t="str">
            <v>69000030103223</v>
          </cell>
        </row>
        <row r="310">
          <cell r="W310">
            <v>0</v>
          </cell>
        </row>
        <row r="311">
          <cell r="B311" t="str">
            <v>VPR-HD12M11003</v>
          </cell>
        </row>
        <row r="311">
          <cell r="W311">
            <v>0</v>
          </cell>
        </row>
        <row r="312">
          <cell r="B312" t="str">
            <v>8010071345</v>
          </cell>
        </row>
        <row r="312">
          <cell r="W312">
            <v>363</v>
          </cell>
        </row>
        <row r="313">
          <cell r="B313" t="str">
            <v>6900010080212</v>
          </cell>
        </row>
        <row r="313">
          <cell r="W313">
            <v>0</v>
          </cell>
        </row>
        <row r="314">
          <cell r="B314" t="str">
            <v>8010062272</v>
          </cell>
        </row>
        <row r="314">
          <cell r="W314">
            <v>11</v>
          </cell>
        </row>
        <row r="315">
          <cell r="B315" t="str">
            <v>6900011043021</v>
          </cell>
        </row>
        <row r="315">
          <cell r="W315">
            <v>0</v>
          </cell>
        </row>
        <row r="316">
          <cell r="B316" t="str">
            <v>8010062293</v>
          </cell>
        </row>
        <row r="316">
          <cell r="W316">
            <v>2</v>
          </cell>
        </row>
        <row r="317">
          <cell r="B317" t="str">
            <v>GPR-WC01S21016</v>
          </cell>
        </row>
        <row r="317">
          <cell r="W317">
            <v>0</v>
          </cell>
        </row>
        <row r="318">
          <cell r="B318" t="str">
            <v>8020022628</v>
          </cell>
        </row>
        <row r="318">
          <cell r="W318">
            <v>584</v>
          </cell>
        </row>
        <row r="319">
          <cell r="B319" t="str">
            <v>8010013703</v>
          </cell>
        </row>
        <row r="319">
          <cell r="W319">
            <v>1</v>
          </cell>
        </row>
        <row r="320">
          <cell r="B320" t="str">
            <v>8010071396</v>
          </cell>
        </row>
        <row r="320">
          <cell r="W320">
            <v>429</v>
          </cell>
        </row>
        <row r="321">
          <cell r="B321" t="str">
            <v>GPR-EL19C01008</v>
          </cell>
        </row>
        <row r="321">
          <cell r="W321">
            <v>0</v>
          </cell>
        </row>
        <row r="322">
          <cell r="B322" t="str">
            <v>GPR-WC01S21017</v>
          </cell>
        </row>
        <row r="322">
          <cell r="W322">
            <v>0</v>
          </cell>
        </row>
        <row r="323">
          <cell r="B323" t="str">
            <v>GPR-EQ50P11002</v>
          </cell>
        </row>
        <row r="323">
          <cell r="W323">
            <v>0</v>
          </cell>
        </row>
        <row r="324">
          <cell r="B324" t="str">
            <v>8030020070</v>
          </cell>
        </row>
        <row r="324">
          <cell r="W324">
            <v>2020</v>
          </cell>
        </row>
        <row r="325">
          <cell r="B325" t="str">
            <v>GPR-SP25M22019</v>
          </cell>
        </row>
        <row r="325">
          <cell r="W325">
            <v>0</v>
          </cell>
        </row>
        <row r="326">
          <cell r="B326" t="str">
            <v>102443</v>
          </cell>
        </row>
        <row r="326">
          <cell r="W326">
            <v>0</v>
          </cell>
        </row>
        <row r="327">
          <cell r="B327" t="str">
            <v>CP-AP595-002</v>
          </cell>
        </row>
        <row r="327">
          <cell r="W327">
            <v>1347</v>
          </cell>
        </row>
        <row r="328">
          <cell r="B328" t="str">
            <v>8010071461</v>
          </cell>
        </row>
        <row r="328">
          <cell r="W328">
            <v>58</v>
          </cell>
        </row>
        <row r="329">
          <cell r="B329" t="str">
            <v>GPR-PP04M21008</v>
          </cell>
        </row>
        <row r="329">
          <cell r="W329">
            <v>0</v>
          </cell>
        </row>
        <row r="330">
          <cell r="B330" t="str">
            <v>8010060782</v>
          </cell>
        </row>
        <row r="330">
          <cell r="W330">
            <v>0</v>
          </cell>
        </row>
        <row r="331">
          <cell r="B331" t="str">
            <v>101502</v>
          </cell>
        </row>
        <row r="331">
          <cell r="W331">
            <v>0</v>
          </cell>
        </row>
        <row r="332">
          <cell r="B332" t="str">
            <v>GPR-SP00M02016</v>
          </cell>
        </row>
        <row r="332">
          <cell r="W332">
            <v>0</v>
          </cell>
        </row>
        <row r="333">
          <cell r="B333" t="str">
            <v>CP-AP600-003</v>
          </cell>
        </row>
        <row r="333">
          <cell r="W333">
            <v>3472</v>
          </cell>
        </row>
        <row r="334">
          <cell r="B334" t="str">
            <v>8010071349</v>
          </cell>
        </row>
        <row r="334">
          <cell r="W334">
            <v>119</v>
          </cell>
        </row>
        <row r="335">
          <cell r="B335" t="str">
            <v>GPR-OS03P04004</v>
          </cell>
        </row>
        <row r="335">
          <cell r="W335">
            <v>0</v>
          </cell>
        </row>
        <row r="336">
          <cell r="B336" t="str">
            <v>DS70232</v>
          </cell>
        </row>
        <row r="336">
          <cell r="W336">
            <v>33</v>
          </cell>
        </row>
        <row r="337">
          <cell r="B337" t="str">
            <v>0112014700</v>
          </cell>
        </row>
        <row r="337">
          <cell r="W337">
            <v>0</v>
          </cell>
        </row>
        <row r="338">
          <cell r="B338" t="str">
            <v>GPR-SP26M02004</v>
          </cell>
        </row>
        <row r="338">
          <cell r="W338">
            <v>0</v>
          </cell>
        </row>
        <row r="339">
          <cell r="B339" t="str">
            <v>102548</v>
          </cell>
        </row>
        <row r="339">
          <cell r="W339">
            <v>0</v>
          </cell>
        </row>
        <row r="340">
          <cell r="B340" t="str">
            <v>GPR-HO03D01002</v>
          </cell>
        </row>
        <row r="340">
          <cell r="W340">
            <v>0</v>
          </cell>
        </row>
        <row r="341">
          <cell r="B341" t="str">
            <v>DS70233</v>
          </cell>
        </row>
        <row r="341">
          <cell r="W341">
            <v>53</v>
          </cell>
        </row>
        <row r="342">
          <cell r="B342" t="str">
            <v>8010024349</v>
          </cell>
        </row>
        <row r="342">
          <cell r="W342">
            <v>555</v>
          </cell>
        </row>
        <row r="343">
          <cell r="B343" t="str">
            <v>GPR-PP04R02010</v>
          </cell>
        </row>
        <row r="343">
          <cell r="W343">
            <v>0</v>
          </cell>
        </row>
        <row r="344">
          <cell r="B344" t="str">
            <v>10043877716500</v>
          </cell>
        </row>
        <row r="344">
          <cell r="W344">
            <v>0</v>
          </cell>
        </row>
        <row r="345">
          <cell r="B345" t="str">
            <v>GPR-PT03D02001</v>
          </cell>
        </row>
        <row r="345">
          <cell r="W345">
            <v>0</v>
          </cell>
        </row>
        <row r="346">
          <cell r="B346" t="str">
            <v>80576828</v>
          </cell>
        </row>
        <row r="346">
          <cell r="W346">
            <v>14</v>
          </cell>
        </row>
        <row r="347">
          <cell r="B347" t="str">
            <v>GPR-MB18C01001</v>
          </cell>
        </row>
        <row r="347">
          <cell r="W347">
            <v>0</v>
          </cell>
        </row>
        <row r="348">
          <cell r="B348" t="str">
            <v>GPR-PP02C01010</v>
          </cell>
        </row>
        <row r="348">
          <cell r="W348">
            <v>0</v>
          </cell>
        </row>
        <row r="349">
          <cell r="B349" t="str">
            <v>6900003011317</v>
          </cell>
        </row>
        <row r="349">
          <cell r="W349">
            <v>0</v>
          </cell>
        </row>
        <row r="350">
          <cell r="B350" t="str">
            <v>6900005050512</v>
          </cell>
        </row>
        <row r="350">
          <cell r="W350">
            <v>0</v>
          </cell>
        </row>
        <row r="351">
          <cell r="B351" t="str">
            <v>DS70234</v>
          </cell>
        </row>
        <row r="351">
          <cell r="W351">
            <v>44</v>
          </cell>
        </row>
        <row r="352">
          <cell r="B352" t="str">
            <v>A060007O00</v>
          </cell>
        </row>
        <row r="352">
          <cell r="W352">
            <v>0</v>
          </cell>
        </row>
        <row r="353">
          <cell r="B353" t="str">
            <v>8010071348</v>
          </cell>
        </row>
        <row r="353">
          <cell r="W353">
            <v>133</v>
          </cell>
        </row>
        <row r="354">
          <cell r="B354" t="str">
            <v>8010072485</v>
          </cell>
        </row>
        <row r="354">
          <cell r="W354">
            <v>287</v>
          </cell>
        </row>
        <row r="355">
          <cell r="B355" t="str">
            <v>8010070236</v>
          </cell>
        </row>
        <row r="355">
          <cell r="W355">
            <v>0</v>
          </cell>
        </row>
        <row r="356">
          <cell r="B356" t="str">
            <v>0118225800</v>
          </cell>
        </row>
        <row r="356">
          <cell r="W356">
            <v>-200</v>
          </cell>
        </row>
        <row r="357">
          <cell r="B357" t="str">
            <v>6900012090316</v>
          </cell>
        </row>
        <row r="357">
          <cell r="W357">
            <v>0</v>
          </cell>
        </row>
        <row r="358">
          <cell r="B358" t="str">
            <v>GPR-LM05G15001</v>
          </cell>
        </row>
        <row r="358">
          <cell r="W358">
            <v>0</v>
          </cell>
        </row>
        <row r="359">
          <cell r="B359" t="str">
            <v>8010070237</v>
          </cell>
        </row>
        <row r="359">
          <cell r="W359">
            <v>25</v>
          </cell>
        </row>
        <row r="360">
          <cell r="B360" t="str">
            <v>8010024404</v>
          </cell>
        </row>
        <row r="360">
          <cell r="W360">
            <v>4</v>
          </cell>
        </row>
        <row r="361">
          <cell r="B361" t="str">
            <v>8110010817</v>
          </cell>
        </row>
        <row r="361">
          <cell r="W361">
            <v>60</v>
          </cell>
        </row>
        <row r="362">
          <cell r="B362" t="str">
            <v>GPR-SP25M22003</v>
          </cell>
        </row>
        <row r="362">
          <cell r="W362">
            <v>0</v>
          </cell>
        </row>
        <row r="363">
          <cell r="B363" t="str">
            <v>102434</v>
          </cell>
        </row>
        <row r="363">
          <cell r="W363">
            <v>0</v>
          </cell>
        </row>
        <row r="364">
          <cell r="B364" t="str">
            <v>CP-UPES-003</v>
          </cell>
        </row>
        <row r="364">
          <cell r="W364">
            <v>0</v>
          </cell>
        </row>
        <row r="365">
          <cell r="B365" t="str">
            <v>8010071342</v>
          </cell>
        </row>
        <row r="365">
          <cell r="W365">
            <v>63</v>
          </cell>
        </row>
        <row r="366">
          <cell r="B366" t="str">
            <v>8010071423</v>
          </cell>
        </row>
        <row r="366">
          <cell r="W366">
            <v>753</v>
          </cell>
        </row>
        <row r="367">
          <cell r="B367" t="str">
            <v>DS70235</v>
          </cell>
        </row>
        <row r="367">
          <cell r="W367">
            <v>48</v>
          </cell>
        </row>
        <row r="368">
          <cell r="B368" t="str">
            <v>8020022671</v>
          </cell>
        </row>
        <row r="368">
          <cell r="W368">
            <v>291</v>
          </cell>
        </row>
        <row r="369">
          <cell r="B369" t="str">
            <v>GPR-PT09M21017</v>
          </cell>
        </row>
        <row r="369">
          <cell r="W369">
            <v>0</v>
          </cell>
        </row>
        <row r="370">
          <cell r="B370" t="str">
            <v>DS70237</v>
          </cell>
        </row>
        <row r="370">
          <cell r="W370">
            <v>32</v>
          </cell>
        </row>
        <row r="371">
          <cell r="B371" t="str">
            <v>6900012091343</v>
          </cell>
        </row>
        <row r="371">
          <cell r="W371">
            <v>0</v>
          </cell>
        </row>
        <row r="372">
          <cell r="B372" t="str">
            <v>3005901000002</v>
          </cell>
        </row>
        <row r="372">
          <cell r="W372">
            <v>0</v>
          </cell>
        </row>
        <row r="373">
          <cell r="B373" t="str">
            <v>102506</v>
          </cell>
        </row>
        <row r="373">
          <cell r="W373">
            <v>0</v>
          </cell>
        </row>
        <row r="374">
          <cell r="B374" t="str">
            <v>80516363</v>
          </cell>
        </row>
        <row r="374">
          <cell r="W374">
            <v>0</v>
          </cell>
        </row>
        <row r="375">
          <cell r="B375" t="str">
            <v>8010060789</v>
          </cell>
        </row>
        <row r="375">
          <cell r="W375">
            <v>0</v>
          </cell>
        </row>
        <row r="376">
          <cell r="B376" t="str">
            <v>GPR-SP26M02005</v>
          </cell>
        </row>
        <row r="376">
          <cell r="W376">
            <v>0</v>
          </cell>
        </row>
        <row r="377">
          <cell r="B377" t="str">
            <v>102503</v>
          </cell>
        </row>
        <row r="377">
          <cell r="W377">
            <v>0</v>
          </cell>
        </row>
        <row r="378">
          <cell r="B378" t="str">
            <v>VPR-PP04M21001</v>
          </cell>
        </row>
        <row r="378">
          <cell r="W378">
            <v>0</v>
          </cell>
        </row>
        <row r="379">
          <cell r="B379" t="str">
            <v>GPR-HO03D02001</v>
          </cell>
        </row>
        <row r="379">
          <cell r="W379">
            <v>0</v>
          </cell>
        </row>
        <row r="380">
          <cell r="B380" t="str">
            <v>GPR-AP04D12001</v>
          </cell>
        </row>
        <row r="380">
          <cell r="W380">
            <v>0</v>
          </cell>
        </row>
        <row r="381">
          <cell r="B381" t="str">
            <v>102425</v>
          </cell>
        </row>
        <row r="381">
          <cell r="W381">
            <v>0</v>
          </cell>
        </row>
        <row r="382">
          <cell r="B382" t="str">
            <v>6900010107011</v>
          </cell>
        </row>
        <row r="382">
          <cell r="W382">
            <v>1</v>
          </cell>
        </row>
        <row r="383">
          <cell r="B383" t="str">
            <v>GPR-EQ25C01001</v>
          </cell>
        </row>
        <row r="383">
          <cell r="W383">
            <v>0</v>
          </cell>
        </row>
        <row r="384">
          <cell r="B384" t="str">
            <v>GPR-MB14M21013</v>
          </cell>
        </row>
        <row r="384">
          <cell r="W384">
            <v>0</v>
          </cell>
        </row>
        <row r="385">
          <cell r="B385" t="str">
            <v>GPR-PT09M21026</v>
          </cell>
        </row>
        <row r="385">
          <cell r="W385">
            <v>0</v>
          </cell>
        </row>
        <row r="386">
          <cell r="B386" t="str">
            <v>GPR-OS01L00001</v>
          </cell>
        </row>
        <row r="386">
          <cell r="W386">
            <v>0</v>
          </cell>
        </row>
        <row r="387">
          <cell r="B387" t="str">
            <v>90318090900111314300</v>
          </cell>
        </row>
        <row r="387">
          <cell r="W387">
            <v>0</v>
          </cell>
        </row>
        <row r="388">
          <cell r="B388" t="str">
            <v>GPR-SP26M02006</v>
          </cell>
        </row>
        <row r="388">
          <cell r="W388">
            <v>0</v>
          </cell>
        </row>
        <row r="389">
          <cell r="B389" t="str">
            <v>80516421</v>
          </cell>
        </row>
        <row r="389">
          <cell r="W389">
            <v>0</v>
          </cell>
        </row>
        <row r="390">
          <cell r="B390" t="str">
            <v>GPR-EL24C02002</v>
          </cell>
        </row>
        <row r="390">
          <cell r="W390">
            <v>0</v>
          </cell>
        </row>
        <row r="391">
          <cell r="B391" t="str">
            <v>102435</v>
          </cell>
        </row>
        <row r="391">
          <cell r="W391">
            <v>0</v>
          </cell>
        </row>
        <row r="392">
          <cell r="B392" t="str">
            <v>8020022637</v>
          </cell>
        </row>
        <row r="392">
          <cell r="W392">
            <v>67</v>
          </cell>
        </row>
        <row r="393">
          <cell r="B393" t="str">
            <v>GPR-CL02D02002</v>
          </cell>
        </row>
        <row r="393">
          <cell r="W393">
            <v>0</v>
          </cell>
        </row>
        <row r="394">
          <cell r="B394" t="str">
            <v>10021877716500</v>
          </cell>
        </row>
        <row r="394">
          <cell r="W394">
            <v>-3</v>
          </cell>
        </row>
        <row r="395">
          <cell r="B395" t="str">
            <v>GPR-OT02M21016</v>
          </cell>
        </row>
        <row r="395">
          <cell r="W395">
            <v>0</v>
          </cell>
        </row>
        <row r="396">
          <cell r="B396" t="str">
            <v>GPR-GN03R02002</v>
          </cell>
        </row>
        <row r="396">
          <cell r="W396">
            <v>0</v>
          </cell>
        </row>
        <row r="397">
          <cell r="B397" t="str">
            <v>GPR-HO09C01002</v>
          </cell>
        </row>
        <row r="397">
          <cell r="W397">
            <v>0</v>
          </cell>
        </row>
        <row r="398">
          <cell r="B398" t="str">
            <v>0113016200</v>
          </cell>
        </row>
        <row r="398">
          <cell r="W398">
            <v>0</v>
          </cell>
        </row>
        <row r="399">
          <cell r="B399" t="str">
            <v>8010061301</v>
          </cell>
        </row>
        <row r="399">
          <cell r="W399">
            <v>0</v>
          </cell>
        </row>
        <row r="400">
          <cell r="B400" t="str">
            <v>8010072742</v>
          </cell>
        </row>
        <row r="400">
          <cell r="W400">
            <v>180</v>
          </cell>
        </row>
        <row r="401">
          <cell r="B401" t="str">
            <v>80516499</v>
          </cell>
        </row>
        <row r="401">
          <cell r="W401">
            <v>0</v>
          </cell>
        </row>
        <row r="402">
          <cell r="B402" t="str">
            <v>8020020755</v>
          </cell>
        </row>
        <row r="402">
          <cell r="W402">
            <v>242</v>
          </cell>
        </row>
        <row r="403">
          <cell r="B403" t="str">
            <v>GPR-OS10O01001</v>
          </cell>
        </row>
        <row r="403">
          <cell r="W403">
            <v>0</v>
          </cell>
        </row>
        <row r="404">
          <cell r="B404" t="str">
            <v>GPR-PT02M14003</v>
          </cell>
        </row>
        <row r="404">
          <cell r="W404">
            <v>0</v>
          </cell>
        </row>
        <row r="405">
          <cell r="B405" t="str">
            <v>6900010080273</v>
          </cell>
        </row>
        <row r="405">
          <cell r="W405">
            <v>36</v>
          </cell>
        </row>
        <row r="406">
          <cell r="B406" t="str">
            <v>GPR-MB23M21002</v>
          </cell>
        </row>
        <row r="406">
          <cell r="W406">
            <v>0</v>
          </cell>
        </row>
        <row r="407">
          <cell r="B407" t="str">
            <v>GPR-MB00M23001</v>
          </cell>
        </row>
        <row r="407">
          <cell r="W407">
            <v>0</v>
          </cell>
        </row>
        <row r="408">
          <cell r="B408" t="str">
            <v>7326901900003</v>
          </cell>
        </row>
        <row r="408">
          <cell r="W408">
            <v>0</v>
          </cell>
        </row>
        <row r="409">
          <cell r="B409" t="str">
            <v>GPR-CL02D02003</v>
          </cell>
        </row>
        <row r="409">
          <cell r="W409">
            <v>0</v>
          </cell>
        </row>
        <row r="410">
          <cell r="B410" t="str">
            <v>GPR-PP04R02004</v>
          </cell>
        </row>
        <row r="410">
          <cell r="W410">
            <v>0</v>
          </cell>
        </row>
        <row r="411">
          <cell r="B411" t="str">
            <v>10055377718000</v>
          </cell>
        </row>
        <row r="411">
          <cell r="W411">
            <v>0</v>
          </cell>
        </row>
        <row r="412">
          <cell r="B412" t="str">
            <v>8010024351</v>
          </cell>
        </row>
        <row r="412">
          <cell r="W412">
            <v>190</v>
          </cell>
        </row>
        <row r="413">
          <cell r="B413" t="str">
            <v>8010071458</v>
          </cell>
        </row>
        <row r="413">
          <cell r="W413">
            <v>89</v>
          </cell>
        </row>
        <row r="414">
          <cell r="B414" t="str">
            <v>GPR-SP25M22006</v>
          </cell>
        </row>
        <row r="414">
          <cell r="W414">
            <v>0</v>
          </cell>
        </row>
        <row r="415">
          <cell r="B415" t="str">
            <v>8010024357</v>
          </cell>
        </row>
        <row r="415">
          <cell r="W415">
            <v>197</v>
          </cell>
        </row>
        <row r="416">
          <cell r="B416" t="str">
            <v>8020022651</v>
          </cell>
        </row>
        <row r="416">
          <cell r="W416">
            <v>116</v>
          </cell>
        </row>
        <row r="417">
          <cell r="B417" t="str">
            <v>VPR-EQ25C33001</v>
          </cell>
        </row>
        <row r="417">
          <cell r="W417">
            <v>0</v>
          </cell>
        </row>
        <row r="418">
          <cell r="B418" t="str">
            <v>GPR-HD19M02013</v>
          </cell>
        </row>
        <row r="418">
          <cell r="W418">
            <v>0</v>
          </cell>
        </row>
        <row r="419">
          <cell r="B419" t="str">
            <v>6900010082512</v>
          </cell>
        </row>
        <row r="419">
          <cell r="W419">
            <v>0</v>
          </cell>
        </row>
        <row r="420">
          <cell r="B420" t="str">
            <v>GPR-GN03R02001</v>
          </cell>
        </row>
        <row r="420">
          <cell r="W420">
            <v>0</v>
          </cell>
        </row>
        <row r="421">
          <cell r="B421" t="str">
            <v>GPR-MB14M21016</v>
          </cell>
        </row>
        <row r="421">
          <cell r="W421">
            <v>0</v>
          </cell>
        </row>
        <row r="422">
          <cell r="B422" t="str">
            <v>8010024194</v>
          </cell>
        </row>
        <row r="422">
          <cell r="W422">
            <v>2192</v>
          </cell>
        </row>
        <row r="423">
          <cell r="B423" t="str">
            <v>GPR-MB07M22001</v>
          </cell>
        </row>
        <row r="423">
          <cell r="W423">
            <v>0</v>
          </cell>
        </row>
        <row r="424">
          <cell r="B424" t="str">
            <v>GPR-HD02S21004</v>
          </cell>
        </row>
        <row r="424">
          <cell r="W424">
            <v>0</v>
          </cell>
        </row>
        <row r="425">
          <cell r="B425" t="str">
            <v>6900012091354</v>
          </cell>
        </row>
        <row r="425">
          <cell r="W425">
            <v>0</v>
          </cell>
        </row>
        <row r="426">
          <cell r="B426" t="str">
            <v>GPR-SP26M02008</v>
          </cell>
        </row>
        <row r="426">
          <cell r="W426">
            <v>0</v>
          </cell>
        </row>
        <row r="427">
          <cell r="B427" t="str">
            <v>102444</v>
          </cell>
        </row>
        <row r="427">
          <cell r="W427">
            <v>0</v>
          </cell>
        </row>
        <row r="428">
          <cell r="B428" t="str">
            <v>GPR-CL02D02004</v>
          </cell>
        </row>
        <row r="428">
          <cell r="W428">
            <v>0</v>
          </cell>
        </row>
        <row r="429">
          <cell r="B429" t="str">
            <v>6900011043018</v>
          </cell>
        </row>
        <row r="429">
          <cell r="W429">
            <v>0</v>
          </cell>
        </row>
        <row r="430">
          <cell r="B430" t="str">
            <v>8010024195</v>
          </cell>
        </row>
        <row r="430">
          <cell r="W430">
            <v>137</v>
          </cell>
        </row>
        <row r="431">
          <cell r="B431" t="str">
            <v>8010060776</v>
          </cell>
        </row>
        <row r="431">
          <cell r="W431">
            <v>0</v>
          </cell>
        </row>
        <row r="432">
          <cell r="B432" t="str">
            <v>8020022657</v>
          </cell>
        </row>
        <row r="432">
          <cell r="W432">
            <v>2025</v>
          </cell>
        </row>
        <row r="433">
          <cell r="B433" t="str">
            <v>8010060771</v>
          </cell>
        </row>
        <row r="433">
          <cell r="W433">
            <v>492</v>
          </cell>
        </row>
        <row r="434">
          <cell r="B434" t="str">
            <v>10016177717100</v>
          </cell>
        </row>
        <row r="434">
          <cell r="W434">
            <v>-54</v>
          </cell>
        </row>
        <row r="435">
          <cell r="B435" t="str">
            <v>3926909090023</v>
          </cell>
        </row>
        <row r="435">
          <cell r="W435">
            <v>-15161</v>
          </cell>
        </row>
        <row r="436">
          <cell r="B436" t="str">
            <v>10044477717100</v>
          </cell>
        </row>
        <row r="436">
          <cell r="W436">
            <v>-20</v>
          </cell>
        </row>
        <row r="437">
          <cell r="B437" t="str">
            <v>GPR-HO09C01003</v>
          </cell>
        </row>
        <row r="437">
          <cell r="W437">
            <v>0</v>
          </cell>
        </row>
        <row r="438">
          <cell r="B438" t="str">
            <v>GPR-OT02M22001</v>
          </cell>
        </row>
        <row r="438">
          <cell r="W438">
            <v>0</v>
          </cell>
        </row>
        <row r="439">
          <cell r="B439" t="str">
            <v>GPR-SP25M22005</v>
          </cell>
        </row>
        <row r="439">
          <cell r="W439">
            <v>0</v>
          </cell>
        </row>
        <row r="440">
          <cell r="B440" t="str">
            <v>8010024383</v>
          </cell>
        </row>
        <row r="440">
          <cell r="W440">
            <v>233</v>
          </cell>
        </row>
        <row r="441">
          <cell r="B441" t="str">
            <v>VPR-SP16M21001</v>
          </cell>
        </row>
        <row r="441">
          <cell r="W441">
            <v>0</v>
          </cell>
        </row>
        <row r="442">
          <cell r="B442" t="str">
            <v>8020022652</v>
          </cell>
        </row>
        <row r="442">
          <cell r="W442">
            <v>183</v>
          </cell>
        </row>
        <row r="443">
          <cell r="B443" t="str">
            <v>8020022808</v>
          </cell>
        </row>
        <row r="443">
          <cell r="W443">
            <v>270</v>
          </cell>
        </row>
        <row r="444">
          <cell r="B444" t="str">
            <v>GPR-MB07M22002</v>
          </cell>
        </row>
        <row r="444">
          <cell r="W444">
            <v>0</v>
          </cell>
        </row>
        <row r="445">
          <cell r="B445" t="str">
            <v>GPR-EL18M02002</v>
          </cell>
        </row>
        <row r="445">
          <cell r="W445">
            <v>0</v>
          </cell>
        </row>
        <row r="446">
          <cell r="B446" t="str">
            <v>GPR-MB02L11006</v>
          </cell>
        </row>
        <row r="446">
          <cell r="W446">
            <v>0</v>
          </cell>
        </row>
        <row r="447">
          <cell r="B447" t="str">
            <v>102445</v>
          </cell>
        </row>
        <row r="447">
          <cell r="W447">
            <v>0</v>
          </cell>
        </row>
        <row r="448">
          <cell r="B448" t="str">
            <v>GPR-HD05M21003</v>
          </cell>
        </row>
        <row r="448">
          <cell r="W448">
            <v>0</v>
          </cell>
        </row>
        <row r="449">
          <cell r="B449" t="str">
            <v>69000030103256</v>
          </cell>
        </row>
        <row r="449">
          <cell r="W449">
            <v>0</v>
          </cell>
        </row>
        <row r="450">
          <cell r="B450" t="str">
            <v>80516465</v>
          </cell>
        </row>
        <row r="450">
          <cell r="W450">
            <v>0</v>
          </cell>
        </row>
        <row r="451">
          <cell r="B451" t="str">
            <v>GPR-SA01C00002</v>
          </cell>
        </row>
        <row r="451">
          <cell r="W451">
            <v>0</v>
          </cell>
        </row>
        <row r="452">
          <cell r="B452" t="str">
            <v>10051277717200</v>
          </cell>
        </row>
        <row r="452">
          <cell r="W452">
            <v>-3</v>
          </cell>
        </row>
        <row r="453">
          <cell r="B453" t="str">
            <v>10044877716500</v>
          </cell>
        </row>
        <row r="453">
          <cell r="W453">
            <v>0</v>
          </cell>
        </row>
        <row r="454">
          <cell r="B454" t="str">
            <v>GPR-HO09C01004</v>
          </cell>
        </row>
        <row r="454">
          <cell r="W454">
            <v>0</v>
          </cell>
        </row>
        <row r="455">
          <cell r="B455" t="str">
            <v>GPR-WD02M22005</v>
          </cell>
        </row>
        <row r="455">
          <cell r="W455">
            <v>0</v>
          </cell>
        </row>
        <row r="456">
          <cell r="B456" t="str">
            <v>8020022809</v>
          </cell>
        </row>
        <row r="456">
          <cell r="W456">
            <v>-2654</v>
          </cell>
        </row>
        <row r="457">
          <cell r="B457" t="str">
            <v>GPR-CM01M02001</v>
          </cell>
        </row>
        <row r="457">
          <cell r="W457">
            <v>0</v>
          </cell>
        </row>
        <row r="458">
          <cell r="B458" t="str">
            <v>80516523</v>
          </cell>
        </row>
        <row r="458">
          <cell r="W458">
            <v>0</v>
          </cell>
        </row>
        <row r="459">
          <cell r="B459" t="str">
            <v>8010030618</v>
          </cell>
        </row>
        <row r="459">
          <cell r="W459">
            <v>0</v>
          </cell>
        </row>
        <row r="460">
          <cell r="B460" t="str">
            <v>GPR-SP26M02010</v>
          </cell>
        </row>
        <row r="460">
          <cell r="W460">
            <v>0</v>
          </cell>
        </row>
        <row r="461">
          <cell r="B461" t="str">
            <v>69000030103160</v>
          </cell>
        </row>
        <row r="461">
          <cell r="W461">
            <v>3000</v>
          </cell>
        </row>
        <row r="462">
          <cell r="B462" t="str">
            <v>GPR-PP04R02002</v>
          </cell>
        </row>
        <row r="462">
          <cell r="W462">
            <v>0</v>
          </cell>
        </row>
        <row r="463">
          <cell r="B463" t="str">
            <v>0110238</v>
          </cell>
        </row>
        <row r="463">
          <cell r="W463">
            <v>0</v>
          </cell>
        </row>
        <row r="464">
          <cell r="B464" t="str">
            <v>6900010082515</v>
          </cell>
        </row>
        <row r="464">
          <cell r="W464">
            <v>0</v>
          </cell>
        </row>
        <row r="465">
          <cell r="B465" t="str">
            <v>8020035145</v>
          </cell>
        </row>
        <row r="465">
          <cell r="W465">
            <v>0</v>
          </cell>
        </row>
        <row r="466">
          <cell r="B466" t="str">
            <v>3926909090024</v>
          </cell>
        </row>
        <row r="466">
          <cell r="W466">
            <v>-3033</v>
          </cell>
        </row>
        <row r="467">
          <cell r="B467" t="str">
            <v>101594</v>
          </cell>
        </row>
        <row r="467">
          <cell r="W467">
            <v>0</v>
          </cell>
        </row>
        <row r="468">
          <cell r="B468" t="str">
            <v>8010024192</v>
          </cell>
        </row>
        <row r="468">
          <cell r="W468">
            <v>243</v>
          </cell>
        </row>
        <row r="469">
          <cell r="B469" t="str">
            <v>GPR-PT09M21022</v>
          </cell>
        </row>
        <row r="469">
          <cell r="W469">
            <v>0</v>
          </cell>
        </row>
        <row r="470">
          <cell r="B470" t="str">
            <v>8020022917</v>
          </cell>
        </row>
        <row r="470">
          <cell r="W470">
            <v>102</v>
          </cell>
        </row>
        <row r="471">
          <cell r="B471" t="str">
            <v>6900012091355</v>
          </cell>
        </row>
        <row r="471">
          <cell r="W471">
            <v>0</v>
          </cell>
        </row>
        <row r="472">
          <cell r="B472" t="str">
            <v>10050277717800</v>
          </cell>
        </row>
        <row r="472">
          <cell r="W472">
            <v>0</v>
          </cell>
        </row>
        <row r="473">
          <cell r="B473" t="str">
            <v>GPR-PP04R02009</v>
          </cell>
        </row>
        <row r="473">
          <cell r="W473">
            <v>0</v>
          </cell>
        </row>
        <row r="474">
          <cell r="B474" t="str">
            <v>GPR-SP25M22007</v>
          </cell>
        </row>
        <row r="474">
          <cell r="W474">
            <v>0</v>
          </cell>
        </row>
        <row r="475">
          <cell r="B475" t="str">
            <v>GPR-EQ36M01001</v>
          </cell>
        </row>
        <row r="475">
          <cell r="W475">
            <v>0</v>
          </cell>
        </row>
        <row r="476">
          <cell r="B476" t="str">
            <v>80576827</v>
          </cell>
        </row>
        <row r="476">
          <cell r="W476">
            <v>37</v>
          </cell>
        </row>
        <row r="477">
          <cell r="B477" t="str">
            <v>6900001014712</v>
          </cell>
        </row>
        <row r="477">
          <cell r="W477">
            <v>0</v>
          </cell>
        </row>
        <row r="478">
          <cell r="B478" t="str">
            <v>69000030103213</v>
          </cell>
        </row>
        <row r="478">
          <cell r="W478">
            <v>0</v>
          </cell>
        </row>
        <row r="479">
          <cell r="B479" t="str">
            <v>69000030103246</v>
          </cell>
        </row>
        <row r="479">
          <cell r="W479">
            <v>0</v>
          </cell>
        </row>
        <row r="480">
          <cell r="B480" t="str">
            <v>GPR-FD02L00001</v>
          </cell>
        </row>
        <row r="480">
          <cell r="W480">
            <v>0</v>
          </cell>
        </row>
        <row r="481">
          <cell r="B481" t="str">
            <v>GPR-SP26R02001</v>
          </cell>
        </row>
        <row r="481">
          <cell r="W481">
            <v>0</v>
          </cell>
        </row>
        <row r="482">
          <cell r="B482" t="str">
            <v>8020040708</v>
          </cell>
        </row>
        <row r="482">
          <cell r="W482">
            <v>0</v>
          </cell>
        </row>
        <row r="483">
          <cell r="B483" t="str">
            <v>8010073789</v>
          </cell>
        </row>
        <row r="483">
          <cell r="W483">
            <v>72</v>
          </cell>
        </row>
        <row r="484">
          <cell r="B484" t="str">
            <v>GPR-AP06G02001</v>
          </cell>
        </row>
        <row r="484">
          <cell r="W484">
            <v>0</v>
          </cell>
        </row>
        <row r="485">
          <cell r="B485" t="str">
            <v>GPR-PP03C02001</v>
          </cell>
        </row>
        <row r="485">
          <cell r="W485">
            <v>0</v>
          </cell>
        </row>
        <row r="486">
          <cell r="B486" t="str">
            <v>6900012090319</v>
          </cell>
        </row>
        <row r="486">
          <cell r="W486">
            <v>0</v>
          </cell>
        </row>
        <row r="487">
          <cell r="B487" t="str">
            <v>100527</v>
          </cell>
        </row>
        <row r="487">
          <cell r="W487">
            <v>0</v>
          </cell>
        </row>
        <row r="488">
          <cell r="B488" t="str">
            <v>6900012050623</v>
          </cell>
        </row>
        <row r="488">
          <cell r="W488">
            <v>0</v>
          </cell>
        </row>
        <row r="489">
          <cell r="B489" t="str">
            <v>GPR-PT04M12004</v>
          </cell>
        </row>
        <row r="489">
          <cell r="W489">
            <v>0</v>
          </cell>
        </row>
        <row r="490">
          <cell r="B490" t="str">
            <v>8207400000017910209</v>
          </cell>
        </row>
        <row r="490">
          <cell r="W490">
            <v>0</v>
          </cell>
        </row>
        <row r="491">
          <cell r="B491" t="str">
            <v>6900012091366</v>
          </cell>
        </row>
        <row r="491">
          <cell r="W491">
            <v>0</v>
          </cell>
        </row>
        <row r="492">
          <cell r="B492" t="str">
            <v>8020022659</v>
          </cell>
        </row>
        <row r="492">
          <cell r="W492">
            <v>482</v>
          </cell>
        </row>
        <row r="493">
          <cell r="B493" t="str">
            <v>8020012380</v>
          </cell>
        </row>
        <row r="493">
          <cell r="W493">
            <v>250</v>
          </cell>
        </row>
        <row r="494">
          <cell r="B494" t="str">
            <v>8030020380</v>
          </cell>
        </row>
        <row r="494">
          <cell r="W494">
            <v>0</v>
          </cell>
        </row>
        <row r="495">
          <cell r="B495" t="str">
            <v>GPR-EL14C02001</v>
          </cell>
        </row>
        <row r="495">
          <cell r="W495">
            <v>0</v>
          </cell>
        </row>
        <row r="496">
          <cell r="B496" t="str">
            <v>GPR-MB40M21001</v>
          </cell>
        </row>
        <row r="496">
          <cell r="W496">
            <v>0</v>
          </cell>
        </row>
        <row r="497">
          <cell r="B497" t="str">
            <v>8030020240</v>
          </cell>
        </row>
        <row r="497">
          <cell r="W497">
            <v>514</v>
          </cell>
        </row>
        <row r="498">
          <cell r="B498" t="str">
            <v>0112215100</v>
          </cell>
        </row>
        <row r="498">
          <cell r="W498">
            <v>0</v>
          </cell>
        </row>
        <row r="499">
          <cell r="B499" t="str">
            <v>8030020116</v>
          </cell>
        </row>
        <row r="499">
          <cell r="W499">
            <v>0</v>
          </cell>
        </row>
        <row r="500">
          <cell r="B500" t="str">
            <v>8030020596</v>
          </cell>
        </row>
        <row r="500">
          <cell r="W500">
            <v>2512</v>
          </cell>
        </row>
        <row r="501">
          <cell r="B501" t="str">
            <v>B9032CMWE</v>
          </cell>
        </row>
        <row r="501">
          <cell r="W501">
            <v>0</v>
          </cell>
        </row>
        <row r="502">
          <cell r="B502" t="str">
            <v>VPR-HA01S22001</v>
          </cell>
        </row>
        <row r="502">
          <cell r="W502">
            <v>0</v>
          </cell>
        </row>
        <row r="503">
          <cell r="B503" t="str">
            <v>GPR-MB13H33002</v>
          </cell>
        </row>
        <row r="503">
          <cell r="W503">
            <v>0</v>
          </cell>
        </row>
        <row r="504">
          <cell r="B504" t="str">
            <v>GPR-PL02E01078</v>
          </cell>
        </row>
        <row r="504">
          <cell r="W504">
            <v>0</v>
          </cell>
        </row>
        <row r="505">
          <cell r="B505" t="str">
            <v>DS70236</v>
          </cell>
        </row>
        <row r="505">
          <cell r="W505">
            <v>68</v>
          </cell>
        </row>
        <row r="506">
          <cell r="B506" t="str">
            <v>10024120220312</v>
          </cell>
        </row>
        <row r="506">
          <cell r="W506">
            <v>2</v>
          </cell>
        </row>
        <row r="507">
          <cell r="B507" t="str">
            <v>GPR-PT09M02004</v>
          </cell>
        </row>
        <row r="507">
          <cell r="W507">
            <v>0</v>
          </cell>
        </row>
        <row r="508">
          <cell r="B508" t="str">
            <v>6900012091344</v>
          </cell>
        </row>
        <row r="508">
          <cell r="W508">
            <v>0</v>
          </cell>
        </row>
        <row r="509">
          <cell r="B509" t="str">
            <v>GPR-AP06G02002</v>
          </cell>
        </row>
        <row r="509">
          <cell r="W509">
            <v>0</v>
          </cell>
        </row>
        <row r="510">
          <cell r="B510" t="str">
            <v>6900012091332</v>
          </cell>
        </row>
        <row r="510">
          <cell r="W510">
            <v>0</v>
          </cell>
        </row>
        <row r="511">
          <cell r="B511" t="str">
            <v>VPR-HO03O04001</v>
          </cell>
        </row>
        <row r="511">
          <cell r="W511">
            <v>0</v>
          </cell>
        </row>
        <row r="512">
          <cell r="B512" t="str">
            <v>6900012091331</v>
          </cell>
        </row>
        <row r="512">
          <cell r="W512">
            <v>0</v>
          </cell>
        </row>
        <row r="513">
          <cell r="B513" t="str">
            <v>6900012091330</v>
          </cell>
        </row>
        <row r="513">
          <cell r="W513">
            <v>0</v>
          </cell>
        </row>
        <row r="514">
          <cell r="B514" t="str">
            <v>GPR-AP06D02001</v>
          </cell>
        </row>
        <row r="514">
          <cell r="W514">
            <v>0</v>
          </cell>
        </row>
        <row r="515">
          <cell r="B515" t="str">
            <v>GPR-HD01S21011</v>
          </cell>
        </row>
        <row r="515">
          <cell r="W515">
            <v>0</v>
          </cell>
        </row>
        <row r="516">
          <cell r="B516" t="str">
            <v>GPR-SP09M21004</v>
          </cell>
        </row>
        <row r="516">
          <cell r="W516">
            <v>0</v>
          </cell>
        </row>
        <row r="517">
          <cell r="B517" t="str">
            <v>8020020752</v>
          </cell>
        </row>
        <row r="517">
          <cell r="W517">
            <v>977</v>
          </cell>
        </row>
        <row r="518">
          <cell r="B518" t="str">
            <v>8010036462</v>
          </cell>
        </row>
        <row r="518">
          <cell r="W518">
            <v>0</v>
          </cell>
        </row>
        <row r="519">
          <cell r="B519" t="str">
            <v>GPR-MB40M21002</v>
          </cell>
        </row>
        <row r="519">
          <cell r="W519">
            <v>0</v>
          </cell>
        </row>
        <row r="520">
          <cell r="B520" t="str">
            <v>GPR-PT03M21001</v>
          </cell>
        </row>
        <row r="520">
          <cell r="W520">
            <v>0</v>
          </cell>
        </row>
        <row r="521">
          <cell r="B521" t="str">
            <v>GPR-PP02C01001</v>
          </cell>
        </row>
        <row r="521">
          <cell r="W521">
            <v>0</v>
          </cell>
        </row>
        <row r="522">
          <cell r="B522" t="str">
            <v>GPR-EQ38R01001</v>
          </cell>
        </row>
        <row r="522">
          <cell r="W522">
            <v>0</v>
          </cell>
        </row>
        <row r="523">
          <cell r="B523" t="str">
            <v>GPR-WD03M23002</v>
          </cell>
        </row>
        <row r="523">
          <cell r="W523">
            <v>0</v>
          </cell>
        </row>
        <row r="524">
          <cell r="B524" t="str">
            <v>6900001010116</v>
          </cell>
        </row>
        <row r="524">
          <cell r="W524">
            <v>0</v>
          </cell>
        </row>
        <row r="525">
          <cell r="B525" t="str">
            <v>8010040173</v>
          </cell>
        </row>
        <row r="525">
          <cell r="W525">
            <v>0</v>
          </cell>
        </row>
        <row r="526">
          <cell r="B526" t="str">
            <v>102446</v>
          </cell>
        </row>
        <row r="526">
          <cell r="W526">
            <v>0</v>
          </cell>
        </row>
        <row r="527">
          <cell r="B527" t="str">
            <v>GPR-HO03M21001</v>
          </cell>
        </row>
        <row r="527">
          <cell r="W527">
            <v>0</v>
          </cell>
        </row>
        <row r="528">
          <cell r="B528" t="str">
            <v>GPR-HD01S21004</v>
          </cell>
        </row>
        <row r="528">
          <cell r="W528">
            <v>0</v>
          </cell>
        </row>
        <row r="529">
          <cell r="B529" t="str">
            <v>69000030103135</v>
          </cell>
        </row>
        <row r="529">
          <cell r="W529">
            <v>-1200</v>
          </cell>
        </row>
        <row r="530">
          <cell r="B530" t="str">
            <v>GPR-EL14M02001</v>
          </cell>
        </row>
        <row r="530">
          <cell r="W530">
            <v>0</v>
          </cell>
        </row>
        <row r="531">
          <cell r="B531" t="str">
            <v>8030020268</v>
          </cell>
        </row>
        <row r="531">
          <cell r="W531">
            <v>40</v>
          </cell>
        </row>
        <row r="532">
          <cell r="B532" t="str">
            <v>8030020168</v>
          </cell>
        </row>
        <row r="532">
          <cell r="W532">
            <v>0</v>
          </cell>
        </row>
        <row r="533">
          <cell r="B533" t="str">
            <v>69000030103234</v>
          </cell>
        </row>
        <row r="533">
          <cell r="W533">
            <v>0</v>
          </cell>
        </row>
        <row r="534">
          <cell r="B534" t="str">
            <v>8010024438</v>
          </cell>
        </row>
        <row r="534">
          <cell r="W534">
            <v>2280</v>
          </cell>
        </row>
        <row r="535">
          <cell r="B535" t="str">
            <v>GPR-EL26C01003</v>
          </cell>
        </row>
        <row r="535">
          <cell r="W535">
            <v>0</v>
          </cell>
        </row>
        <row r="536">
          <cell r="B536" t="str">
            <v>GPR-MB40M21003</v>
          </cell>
        </row>
        <row r="536">
          <cell r="W536">
            <v>0</v>
          </cell>
        </row>
        <row r="537">
          <cell r="B537" t="str">
            <v>8010024347</v>
          </cell>
        </row>
        <row r="537">
          <cell r="W537">
            <v>572</v>
          </cell>
        </row>
        <row r="538">
          <cell r="B538" t="str">
            <v>8010072475</v>
          </cell>
        </row>
        <row r="538">
          <cell r="W538">
            <v>250</v>
          </cell>
        </row>
        <row r="539">
          <cell r="B539" t="str">
            <v>8010060785</v>
          </cell>
        </row>
        <row r="539">
          <cell r="W539">
            <v>12</v>
          </cell>
        </row>
        <row r="540">
          <cell r="B540" t="str">
            <v>8010071467</v>
          </cell>
        </row>
        <row r="540">
          <cell r="W540">
            <v>174</v>
          </cell>
        </row>
        <row r="541">
          <cell r="B541" t="str">
            <v>8010073790</v>
          </cell>
        </row>
        <row r="541">
          <cell r="W541">
            <v>150</v>
          </cell>
        </row>
        <row r="542">
          <cell r="B542" t="str">
            <v>6900011043026</v>
          </cell>
        </row>
        <row r="542">
          <cell r="W542">
            <v>0</v>
          </cell>
        </row>
        <row r="543">
          <cell r="B543" t="str">
            <v>GPR-SP22M21009</v>
          </cell>
        </row>
        <row r="543">
          <cell r="W543">
            <v>0</v>
          </cell>
        </row>
        <row r="544">
          <cell r="B544" t="str">
            <v>8010036428</v>
          </cell>
        </row>
        <row r="544">
          <cell r="W544">
            <v>0</v>
          </cell>
        </row>
        <row r="545">
          <cell r="B545" t="str">
            <v>8010071495</v>
          </cell>
        </row>
        <row r="545">
          <cell r="W545">
            <v>73</v>
          </cell>
        </row>
        <row r="546">
          <cell r="B546" t="str">
            <v>8010071493</v>
          </cell>
        </row>
        <row r="546">
          <cell r="W546">
            <v>106</v>
          </cell>
        </row>
        <row r="547">
          <cell r="B547" t="str">
            <v>GPR-PT03M21002</v>
          </cell>
        </row>
        <row r="547">
          <cell r="W547">
            <v>0</v>
          </cell>
        </row>
        <row r="548">
          <cell r="B548" t="str">
            <v>100589</v>
          </cell>
        </row>
        <row r="548">
          <cell r="W548">
            <v>0</v>
          </cell>
        </row>
        <row r="549">
          <cell r="B549" t="str">
            <v>GPR-MB31C00001</v>
          </cell>
        </row>
        <row r="549">
          <cell r="W549">
            <v>0</v>
          </cell>
        </row>
        <row r="550">
          <cell r="B550" t="str">
            <v>8010071491</v>
          </cell>
        </row>
        <row r="550">
          <cell r="W550">
            <v>852</v>
          </cell>
        </row>
        <row r="551">
          <cell r="B551" t="str">
            <v>GPR-PT09M02005</v>
          </cell>
        </row>
        <row r="551">
          <cell r="W551">
            <v>0</v>
          </cell>
        </row>
        <row r="552">
          <cell r="B552" t="str">
            <v>GPR-EQ07P11001</v>
          </cell>
        </row>
        <row r="552">
          <cell r="W552">
            <v>0</v>
          </cell>
        </row>
        <row r="553">
          <cell r="B553" t="str">
            <v>6900005030222</v>
          </cell>
        </row>
        <row r="553">
          <cell r="W553">
            <v>0</v>
          </cell>
        </row>
        <row r="554">
          <cell r="B554" t="str">
            <v>GPR-HO12O04001</v>
          </cell>
        </row>
        <row r="554">
          <cell r="W554">
            <v>0</v>
          </cell>
        </row>
        <row r="555">
          <cell r="B555" t="str">
            <v>GPR-EQ58C11001</v>
          </cell>
        </row>
        <row r="555">
          <cell r="W555">
            <v>0</v>
          </cell>
        </row>
        <row r="556">
          <cell r="B556" t="str">
            <v>6900005030223</v>
          </cell>
        </row>
        <row r="556">
          <cell r="W556">
            <v>0</v>
          </cell>
        </row>
        <row r="557">
          <cell r="B557" t="str">
            <v>GPR-EQ26G00003</v>
          </cell>
        </row>
        <row r="557">
          <cell r="W557">
            <v>0</v>
          </cell>
        </row>
        <row r="558">
          <cell r="B558" t="str">
            <v>102266</v>
          </cell>
        </row>
        <row r="558">
          <cell r="W558">
            <v>0</v>
          </cell>
        </row>
        <row r="559">
          <cell r="B559" t="str">
            <v>GPR-EQ55R00002</v>
          </cell>
        </row>
        <row r="559">
          <cell r="W559">
            <v>0</v>
          </cell>
        </row>
        <row r="560">
          <cell r="B560" t="str">
            <v>102486</v>
          </cell>
        </row>
        <row r="560">
          <cell r="W560">
            <v>0</v>
          </cell>
        </row>
        <row r="561">
          <cell r="B561" t="str">
            <v>8010071357</v>
          </cell>
        </row>
        <row r="561">
          <cell r="W561">
            <v>36</v>
          </cell>
        </row>
        <row r="562">
          <cell r="B562" t="str">
            <v>83071000000001</v>
          </cell>
        </row>
        <row r="562">
          <cell r="W562">
            <v>-471</v>
          </cell>
        </row>
        <row r="563">
          <cell r="B563" t="str">
            <v>8010072810</v>
          </cell>
        </row>
        <row r="563">
          <cell r="W563">
            <v>0</v>
          </cell>
        </row>
        <row r="564">
          <cell r="B564" t="str">
            <v>102447</v>
          </cell>
        </row>
        <row r="564">
          <cell r="W564">
            <v>0</v>
          </cell>
        </row>
        <row r="565">
          <cell r="B565" t="str">
            <v>8010024873</v>
          </cell>
        </row>
        <row r="565">
          <cell r="W565">
            <v>410</v>
          </cell>
        </row>
        <row r="566">
          <cell r="B566" t="str">
            <v>GPR-MB40M21004</v>
          </cell>
        </row>
        <row r="566">
          <cell r="W566">
            <v>0</v>
          </cell>
        </row>
        <row r="567">
          <cell r="B567" t="str">
            <v>GPR-EL03C02003</v>
          </cell>
        </row>
        <row r="567">
          <cell r="W567">
            <v>0</v>
          </cell>
        </row>
        <row r="568">
          <cell r="B568" t="str">
            <v>GPR-HD01S21006</v>
          </cell>
        </row>
        <row r="568">
          <cell r="W568">
            <v>0</v>
          </cell>
        </row>
        <row r="569">
          <cell r="B569" t="str">
            <v>8010024874</v>
          </cell>
        </row>
        <row r="569">
          <cell r="W569">
            <v>26</v>
          </cell>
        </row>
        <row r="570">
          <cell r="B570" t="str">
            <v>GPR-EL03C33005</v>
          </cell>
        </row>
        <row r="570">
          <cell r="W570">
            <v>0</v>
          </cell>
        </row>
        <row r="571">
          <cell r="B571" t="str">
            <v>6900005030117</v>
          </cell>
        </row>
        <row r="571">
          <cell r="W571">
            <v>40</v>
          </cell>
        </row>
        <row r="572">
          <cell r="B572" t="str">
            <v>8020022805</v>
          </cell>
        </row>
        <row r="572">
          <cell r="W572">
            <v>101</v>
          </cell>
        </row>
        <row r="573">
          <cell r="B573" t="str">
            <v>GPR-LM01G01006</v>
          </cell>
        </row>
        <row r="573">
          <cell r="W573">
            <v>0</v>
          </cell>
        </row>
        <row r="574">
          <cell r="B574" t="str">
            <v>8010071453</v>
          </cell>
        </row>
        <row r="574">
          <cell r="W574">
            <v>352</v>
          </cell>
        </row>
        <row r="575">
          <cell r="B575" t="str">
            <v>GPR-EQ37G00003</v>
          </cell>
        </row>
        <row r="575">
          <cell r="W575">
            <v>0</v>
          </cell>
        </row>
        <row r="576">
          <cell r="B576" t="str">
            <v>GPR-MB10C02001</v>
          </cell>
        </row>
        <row r="576">
          <cell r="W576">
            <v>0</v>
          </cell>
        </row>
        <row r="577">
          <cell r="B577" t="str">
            <v>80516414</v>
          </cell>
        </row>
        <row r="577">
          <cell r="W577">
            <v>-1</v>
          </cell>
        </row>
        <row r="578">
          <cell r="B578" t="str">
            <v>GPR-WD04A21001</v>
          </cell>
        </row>
        <row r="578">
          <cell r="W578">
            <v>0</v>
          </cell>
        </row>
        <row r="579">
          <cell r="B579" t="str">
            <v>102448</v>
          </cell>
        </row>
        <row r="579">
          <cell r="W579">
            <v>0</v>
          </cell>
        </row>
        <row r="580">
          <cell r="B580" t="str">
            <v>GPR-HO03C01001</v>
          </cell>
        </row>
        <row r="580">
          <cell r="W580">
            <v>0</v>
          </cell>
        </row>
        <row r="581">
          <cell r="B581" t="str">
            <v>GPR-EL27M02001</v>
          </cell>
        </row>
        <row r="581">
          <cell r="W581">
            <v>0</v>
          </cell>
        </row>
        <row r="582">
          <cell r="B582" t="str">
            <v>8030020186</v>
          </cell>
        </row>
        <row r="582">
          <cell r="W582">
            <v>140</v>
          </cell>
        </row>
        <row r="583">
          <cell r="B583" t="str">
            <v>GPR-MB13M21004</v>
          </cell>
        </row>
        <row r="583">
          <cell r="W583">
            <v>0</v>
          </cell>
        </row>
        <row r="584">
          <cell r="B584" t="str">
            <v>80516412</v>
          </cell>
        </row>
        <row r="584">
          <cell r="W584">
            <v>0</v>
          </cell>
        </row>
        <row r="585">
          <cell r="B585" t="str">
            <v>0112916000</v>
          </cell>
        </row>
        <row r="585">
          <cell r="W585">
            <v>0</v>
          </cell>
        </row>
        <row r="586">
          <cell r="B586" t="str">
            <v>GPR-PP04C01036</v>
          </cell>
        </row>
        <row r="586">
          <cell r="W586">
            <v>0</v>
          </cell>
        </row>
        <row r="587">
          <cell r="B587" t="str">
            <v>GPR-MB40M21005</v>
          </cell>
        </row>
        <row r="587">
          <cell r="W587">
            <v>0</v>
          </cell>
        </row>
        <row r="588">
          <cell r="B588" t="str">
            <v>8020022621</v>
          </cell>
        </row>
        <row r="588">
          <cell r="W588">
            <v>1372</v>
          </cell>
        </row>
        <row r="589">
          <cell r="B589" t="str">
            <v>GPR-ME03M21001</v>
          </cell>
        </row>
        <row r="589">
          <cell r="W589">
            <v>0</v>
          </cell>
        </row>
        <row r="590">
          <cell r="B590" t="str">
            <v>8020022753</v>
          </cell>
        </row>
        <row r="590">
          <cell r="W590">
            <v>131</v>
          </cell>
        </row>
        <row r="591">
          <cell r="B591" t="str">
            <v>69000030103145</v>
          </cell>
        </row>
        <row r="591">
          <cell r="W591">
            <v>0</v>
          </cell>
        </row>
        <row r="592">
          <cell r="B592" t="str">
            <v>0123840700</v>
          </cell>
        </row>
        <row r="592">
          <cell r="W592">
            <v>0</v>
          </cell>
        </row>
        <row r="593">
          <cell r="B593" t="str">
            <v>GPR-WC02A21003</v>
          </cell>
        </row>
        <row r="593">
          <cell r="W593">
            <v>0</v>
          </cell>
        </row>
        <row r="594">
          <cell r="B594" t="str">
            <v>GPR-OS03L02001</v>
          </cell>
        </row>
        <row r="594">
          <cell r="W594">
            <v>0</v>
          </cell>
        </row>
        <row r="595">
          <cell r="B595" t="str">
            <v>8010036446</v>
          </cell>
        </row>
        <row r="595">
          <cell r="W595">
            <v>0</v>
          </cell>
        </row>
        <row r="596">
          <cell r="B596" t="str">
            <v>0112916100</v>
          </cell>
        </row>
        <row r="596">
          <cell r="W596">
            <v>0</v>
          </cell>
        </row>
        <row r="597">
          <cell r="B597" t="str">
            <v>6900012091352</v>
          </cell>
        </row>
        <row r="597">
          <cell r="W597">
            <v>0</v>
          </cell>
        </row>
        <row r="598">
          <cell r="B598" t="str">
            <v>GPR-MB38M21001</v>
          </cell>
        </row>
        <row r="598">
          <cell r="W598">
            <v>0</v>
          </cell>
        </row>
        <row r="599">
          <cell r="B599" t="str">
            <v>GPR-HD03M21001</v>
          </cell>
        </row>
        <row r="599">
          <cell r="W599">
            <v>0</v>
          </cell>
        </row>
        <row r="600">
          <cell r="B600" t="str">
            <v>GPR-ME05M02001</v>
          </cell>
        </row>
        <row r="600">
          <cell r="W600">
            <v>0</v>
          </cell>
        </row>
        <row r="601">
          <cell r="B601" t="str">
            <v>GPR-PT09M02001</v>
          </cell>
        </row>
        <row r="601">
          <cell r="W601">
            <v>0</v>
          </cell>
        </row>
        <row r="602">
          <cell r="B602" t="str">
            <v>6900008072724</v>
          </cell>
        </row>
        <row r="602">
          <cell r="W602">
            <v>0</v>
          </cell>
        </row>
        <row r="603">
          <cell r="B603" t="str">
            <v>019715800</v>
          </cell>
        </row>
        <row r="603">
          <cell r="W603">
            <v>0</v>
          </cell>
        </row>
        <row r="604">
          <cell r="B604" t="str">
            <v>0123839300</v>
          </cell>
        </row>
        <row r="604">
          <cell r="W604">
            <v>0</v>
          </cell>
        </row>
        <row r="605">
          <cell r="B605" t="str">
            <v>102455</v>
          </cell>
        </row>
        <row r="605">
          <cell r="W605">
            <v>0</v>
          </cell>
        </row>
        <row r="606">
          <cell r="B606" t="str">
            <v>GPR-EQ18O04002</v>
          </cell>
        </row>
        <row r="606">
          <cell r="W606">
            <v>0</v>
          </cell>
        </row>
        <row r="607">
          <cell r="B607" t="str">
            <v>GPR-SA07M01001</v>
          </cell>
        </row>
        <row r="607">
          <cell r="W607">
            <v>0</v>
          </cell>
        </row>
        <row r="608">
          <cell r="B608" t="str">
            <v>69000030103226</v>
          </cell>
        </row>
        <row r="608">
          <cell r="W608">
            <v>0</v>
          </cell>
        </row>
        <row r="609">
          <cell r="B609" t="str">
            <v>8010072476</v>
          </cell>
        </row>
        <row r="609">
          <cell r="W609">
            <v>0</v>
          </cell>
        </row>
        <row r="610">
          <cell r="B610" t="str">
            <v>6900012091351</v>
          </cell>
        </row>
        <row r="610">
          <cell r="W610">
            <v>0</v>
          </cell>
        </row>
        <row r="611">
          <cell r="B611" t="str">
            <v>8020022755</v>
          </cell>
        </row>
        <row r="611">
          <cell r="W611">
            <v>430</v>
          </cell>
        </row>
        <row r="612">
          <cell r="B612" t="str">
            <v>GPR-EL18M01006</v>
          </cell>
        </row>
        <row r="612">
          <cell r="W612">
            <v>0</v>
          </cell>
        </row>
        <row r="613">
          <cell r="B613" t="str">
            <v>GPR-MB14C12001</v>
          </cell>
        </row>
        <row r="613">
          <cell r="W613">
            <v>0</v>
          </cell>
        </row>
        <row r="614">
          <cell r="B614" t="str">
            <v>GPR-OS11P04001</v>
          </cell>
        </row>
        <row r="614">
          <cell r="W614">
            <v>0</v>
          </cell>
        </row>
        <row r="615">
          <cell r="B615" t="str">
            <v>GPR-PT02M13010</v>
          </cell>
        </row>
        <row r="615">
          <cell r="W615">
            <v>0</v>
          </cell>
        </row>
        <row r="616">
          <cell r="B616" t="str">
            <v>GPR-EQ18M01001</v>
          </cell>
        </row>
        <row r="616">
          <cell r="W616">
            <v>0</v>
          </cell>
        </row>
        <row r="617">
          <cell r="B617" t="str">
            <v>8010071389</v>
          </cell>
        </row>
        <row r="617">
          <cell r="W617">
            <v>1247</v>
          </cell>
        </row>
        <row r="618">
          <cell r="B618" t="str">
            <v>102265</v>
          </cell>
        </row>
        <row r="618">
          <cell r="W618">
            <v>0</v>
          </cell>
        </row>
        <row r="619">
          <cell r="B619" t="str">
            <v>8020020556</v>
          </cell>
        </row>
        <row r="619">
          <cell r="W619">
            <v>824</v>
          </cell>
        </row>
        <row r="620">
          <cell r="B620" t="str">
            <v>8010071390</v>
          </cell>
        </row>
        <row r="620">
          <cell r="W620">
            <v>176</v>
          </cell>
        </row>
        <row r="621">
          <cell r="B621" t="str">
            <v>8020020558</v>
          </cell>
        </row>
        <row r="621">
          <cell r="W621">
            <v>0</v>
          </cell>
        </row>
        <row r="622">
          <cell r="B622" t="str">
            <v>GPR-ME03C01001</v>
          </cell>
        </row>
        <row r="622">
          <cell r="W622">
            <v>0</v>
          </cell>
        </row>
        <row r="623">
          <cell r="B623" t="str">
            <v>GPR-SE06D14001</v>
          </cell>
        </row>
        <row r="623">
          <cell r="W623">
            <v>0</v>
          </cell>
        </row>
        <row r="624">
          <cell r="B624" t="str">
            <v>GPR-EL26C01004</v>
          </cell>
        </row>
        <row r="624">
          <cell r="W624">
            <v>0</v>
          </cell>
        </row>
        <row r="625">
          <cell r="B625" t="str">
            <v>GPR-EQ18O04004</v>
          </cell>
        </row>
        <row r="625">
          <cell r="W625">
            <v>0</v>
          </cell>
        </row>
        <row r="626">
          <cell r="B626" t="str">
            <v>3816000000002</v>
          </cell>
        </row>
        <row r="626">
          <cell r="W626">
            <v>0</v>
          </cell>
        </row>
        <row r="627">
          <cell r="B627" t="str">
            <v>GPR-AP03C13001</v>
          </cell>
        </row>
        <row r="627">
          <cell r="W627">
            <v>0</v>
          </cell>
        </row>
        <row r="628">
          <cell r="B628" t="str">
            <v>GPR-MB16L00002</v>
          </cell>
        </row>
        <row r="628">
          <cell r="W628">
            <v>0</v>
          </cell>
        </row>
        <row r="629">
          <cell r="B629" t="str">
            <v>8010036456</v>
          </cell>
        </row>
        <row r="629">
          <cell r="W629">
            <v>0</v>
          </cell>
        </row>
        <row r="630">
          <cell r="B630" t="str">
            <v>GPR-EQ32S21001</v>
          </cell>
        </row>
        <row r="630">
          <cell r="W630">
            <v>0</v>
          </cell>
        </row>
        <row r="631">
          <cell r="B631" t="str">
            <v>GPR-EQ18O04005</v>
          </cell>
        </row>
        <row r="631">
          <cell r="W631">
            <v>0</v>
          </cell>
        </row>
        <row r="632">
          <cell r="B632" t="str">
            <v>8020020563</v>
          </cell>
        </row>
        <row r="632">
          <cell r="W632">
            <v>3542</v>
          </cell>
        </row>
        <row r="633">
          <cell r="B633" t="str">
            <v>8010071473</v>
          </cell>
        </row>
        <row r="633">
          <cell r="W633">
            <v>441</v>
          </cell>
        </row>
        <row r="634">
          <cell r="B634" t="str">
            <v>102507</v>
          </cell>
        </row>
        <row r="634">
          <cell r="W634">
            <v>0</v>
          </cell>
        </row>
        <row r="635">
          <cell r="B635" t="str">
            <v>8020020634</v>
          </cell>
        </row>
        <row r="635">
          <cell r="W635">
            <v>1800</v>
          </cell>
        </row>
        <row r="636">
          <cell r="B636" t="str">
            <v>0123841100</v>
          </cell>
        </row>
        <row r="636">
          <cell r="W636">
            <v>0</v>
          </cell>
        </row>
        <row r="637">
          <cell r="B637" t="str">
            <v>GPR-SE04D14001</v>
          </cell>
        </row>
        <row r="637">
          <cell r="W637">
            <v>0</v>
          </cell>
        </row>
        <row r="638">
          <cell r="B638" t="str">
            <v>80516261</v>
          </cell>
        </row>
        <row r="638">
          <cell r="W638">
            <v>0</v>
          </cell>
        </row>
        <row r="639">
          <cell r="B639" t="str">
            <v>GPR-WD02C02001</v>
          </cell>
        </row>
        <row r="639">
          <cell r="W639">
            <v>0</v>
          </cell>
        </row>
        <row r="640">
          <cell r="B640" t="str">
            <v>CP-MLMB-MC1200-01</v>
          </cell>
        </row>
        <row r="640">
          <cell r="W640">
            <v>140</v>
          </cell>
        </row>
        <row r="641">
          <cell r="B641" t="str">
            <v>GPR-MB13M21012</v>
          </cell>
        </row>
        <row r="641">
          <cell r="W641">
            <v>0</v>
          </cell>
        </row>
        <row r="642">
          <cell r="B642" t="str">
            <v>0113716800</v>
          </cell>
        </row>
        <row r="642">
          <cell r="W642">
            <v>0</v>
          </cell>
        </row>
        <row r="643">
          <cell r="B643" t="str">
            <v>8010036466</v>
          </cell>
        </row>
        <row r="643">
          <cell r="W643">
            <v>0</v>
          </cell>
        </row>
        <row r="644">
          <cell r="B644" t="str">
            <v>8020020373</v>
          </cell>
        </row>
        <row r="644">
          <cell r="W644">
            <v>2264</v>
          </cell>
        </row>
        <row r="645">
          <cell r="B645" t="str">
            <v>8010071331</v>
          </cell>
        </row>
        <row r="645">
          <cell r="W645">
            <v>207</v>
          </cell>
        </row>
        <row r="646">
          <cell r="B646" t="str">
            <v>GPR-AP03C13002</v>
          </cell>
        </row>
        <row r="646">
          <cell r="W646">
            <v>0</v>
          </cell>
        </row>
        <row r="647">
          <cell r="B647" t="str">
            <v>8010070238</v>
          </cell>
        </row>
        <row r="647">
          <cell r="W647">
            <v>0</v>
          </cell>
        </row>
        <row r="648">
          <cell r="B648" t="str">
            <v>8030020119</v>
          </cell>
        </row>
        <row r="648">
          <cell r="W648">
            <v>0</v>
          </cell>
        </row>
        <row r="649">
          <cell r="B649" t="str">
            <v>80516217</v>
          </cell>
        </row>
        <row r="649">
          <cell r="W649">
            <v>0</v>
          </cell>
        </row>
        <row r="650">
          <cell r="B650" t="str">
            <v>GPR-HO12M02001</v>
          </cell>
        </row>
        <row r="650">
          <cell r="W650">
            <v>0</v>
          </cell>
        </row>
        <row r="651">
          <cell r="B651" t="str">
            <v>80516206</v>
          </cell>
        </row>
        <row r="651">
          <cell r="W651">
            <v>0</v>
          </cell>
        </row>
        <row r="652">
          <cell r="B652" t="str">
            <v>102454</v>
          </cell>
        </row>
        <row r="652">
          <cell r="W652">
            <v>0</v>
          </cell>
        </row>
        <row r="653">
          <cell r="B653" t="str">
            <v>8010040759</v>
          </cell>
        </row>
        <row r="653">
          <cell r="W653">
            <v>0</v>
          </cell>
        </row>
        <row r="654">
          <cell r="B654" t="str">
            <v>80516203</v>
          </cell>
        </row>
        <row r="654">
          <cell r="W654">
            <v>0</v>
          </cell>
        </row>
        <row r="655">
          <cell r="B655" t="str">
            <v>8010070922</v>
          </cell>
        </row>
        <row r="655">
          <cell r="W655">
            <v>3</v>
          </cell>
        </row>
        <row r="656">
          <cell r="B656" t="str">
            <v>8010040722</v>
          </cell>
        </row>
        <row r="656">
          <cell r="W656">
            <v>0</v>
          </cell>
        </row>
        <row r="657">
          <cell r="B657" t="str">
            <v>GPR-LL02L00004</v>
          </cell>
        </row>
        <row r="657">
          <cell r="W657">
            <v>-38</v>
          </cell>
        </row>
        <row r="658">
          <cell r="B658" t="str">
            <v>0113116300</v>
          </cell>
        </row>
        <row r="658">
          <cell r="W658">
            <v>0</v>
          </cell>
        </row>
        <row r="659">
          <cell r="B659" t="str">
            <v>0117421500</v>
          </cell>
        </row>
        <row r="659">
          <cell r="W659">
            <v>0</v>
          </cell>
        </row>
        <row r="660">
          <cell r="B660" t="str">
            <v>8010040717</v>
          </cell>
        </row>
        <row r="660">
          <cell r="W660">
            <v>6</v>
          </cell>
        </row>
        <row r="661">
          <cell r="B661" t="str">
            <v>CP-MLMB-MC1200</v>
          </cell>
        </row>
        <row r="661">
          <cell r="W661">
            <v>7290</v>
          </cell>
        </row>
        <row r="662">
          <cell r="B662" t="str">
            <v>8010071460</v>
          </cell>
        </row>
        <row r="662">
          <cell r="W662">
            <v>143</v>
          </cell>
        </row>
        <row r="663">
          <cell r="B663" t="str">
            <v>GPR-EQ35C02001</v>
          </cell>
        </row>
        <row r="663">
          <cell r="W663">
            <v>0</v>
          </cell>
        </row>
        <row r="664">
          <cell r="B664" t="str">
            <v>GPR-PP05C02003</v>
          </cell>
        </row>
        <row r="664">
          <cell r="W664">
            <v>0</v>
          </cell>
        </row>
        <row r="665">
          <cell r="B665" t="str">
            <v>GPR-EQ07P13002</v>
          </cell>
        </row>
        <row r="665">
          <cell r="W665">
            <v>0</v>
          </cell>
        </row>
        <row r="666">
          <cell r="B666" t="str">
            <v>8020022807</v>
          </cell>
        </row>
        <row r="666">
          <cell r="W666">
            <v>81</v>
          </cell>
        </row>
        <row r="667">
          <cell r="B667" t="str">
            <v>8010024403</v>
          </cell>
        </row>
        <row r="667">
          <cell r="W667">
            <v>185</v>
          </cell>
        </row>
        <row r="668">
          <cell r="B668" t="str">
            <v>8020035095</v>
          </cell>
        </row>
        <row r="668">
          <cell r="W668">
            <v>-23</v>
          </cell>
        </row>
        <row r="669">
          <cell r="B669" t="str">
            <v>8010024352</v>
          </cell>
        </row>
        <row r="669">
          <cell r="W669">
            <v>439</v>
          </cell>
        </row>
        <row r="670">
          <cell r="B670" t="str">
            <v>102334</v>
          </cell>
        </row>
        <row r="670">
          <cell r="W670">
            <v>0</v>
          </cell>
        </row>
        <row r="671">
          <cell r="B671" t="str">
            <v>102357</v>
          </cell>
        </row>
        <row r="671">
          <cell r="W671">
            <v>0</v>
          </cell>
        </row>
        <row r="672">
          <cell r="B672" t="str">
            <v>GPR-HD08S21001</v>
          </cell>
        </row>
        <row r="672">
          <cell r="W672">
            <v>0</v>
          </cell>
        </row>
        <row r="673">
          <cell r="B673" t="str">
            <v>102362</v>
          </cell>
        </row>
        <row r="673">
          <cell r="W673">
            <v>0</v>
          </cell>
        </row>
        <row r="674">
          <cell r="B674" t="str">
            <v>GPR-WD02C00001</v>
          </cell>
        </row>
        <row r="674">
          <cell r="W674">
            <v>0</v>
          </cell>
        </row>
        <row r="675">
          <cell r="B675" t="str">
            <v>8010024350</v>
          </cell>
        </row>
        <row r="675">
          <cell r="W675">
            <v>5200</v>
          </cell>
        </row>
        <row r="676">
          <cell r="B676" t="str">
            <v>GPR-SE08O04001</v>
          </cell>
        </row>
        <row r="676">
          <cell r="W676">
            <v>0</v>
          </cell>
        </row>
        <row r="677">
          <cell r="B677" t="str">
            <v>8010024319</v>
          </cell>
        </row>
        <row r="677">
          <cell r="W677">
            <v>375</v>
          </cell>
        </row>
        <row r="678">
          <cell r="B678" t="str">
            <v>8020040805</v>
          </cell>
        </row>
        <row r="678">
          <cell r="W678">
            <v>-23</v>
          </cell>
        </row>
        <row r="679">
          <cell r="B679" t="str">
            <v>8020022746</v>
          </cell>
        </row>
        <row r="679">
          <cell r="W679">
            <v>337</v>
          </cell>
        </row>
        <row r="680">
          <cell r="B680" t="str">
            <v>8010030831</v>
          </cell>
        </row>
        <row r="680">
          <cell r="W680">
            <v>0</v>
          </cell>
        </row>
        <row r="681">
          <cell r="B681" t="str">
            <v>GPR-SP25M22009</v>
          </cell>
        </row>
        <row r="681">
          <cell r="W681">
            <v>0</v>
          </cell>
        </row>
        <row r="682">
          <cell r="B682" t="str">
            <v>8020022619</v>
          </cell>
        </row>
        <row r="682">
          <cell r="W682">
            <v>162</v>
          </cell>
        </row>
        <row r="683">
          <cell r="B683" t="str">
            <v>102373</v>
          </cell>
        </row>
        <row r="683">
          <cell r="W683">
            <v>0</v>
          </cell>
        </row>
        <row r="684">
          <cell r="B684" t="str">
            <v>102332</v>
          </cell>
        </row>
        <row r="684">
          <cell r="W684">
            <v>0</v>
          </cell>
        </row>
        <row r="685">
          <cell r="B685" t="str">
            <v>69000030103196</v>
          </cell>
        </row>
        <row r="685">
          <cell r="W685">
            <v>0</v>
          </cell>
        </row>
        <row r="686">
          <cell r="B686" t="str">
            <v>GPR-AP03C13003</v>
          </cell>
        </row>
        <row r="686">
          <cell r="W686">
            <v>0</v>
          </cell>
        </row>
        <row r="687">
          <cell r="B687" t="str">
            <v>GPR-PP04S33004</v>
          </cell>
        </row>
        <row r="687">
          <cell r="W687">
            <v>0</v>
          </cell>
        </row>
        <row r="688">
          <cell r="B688" t="str">
            <v>GPR-PT09M02003</v>
          </cell>
        </row>
        <row r="688">
          <cell r="W688">
            <v>0</v>
          </cell>
        </row>
        <row r="689">
          <cell r="B689" t="str">
            <v>69000030103186</v>
          </cell>
        </row>
        <row r="689">
          <cell r="W689">
            <v>0</v>
          </cell>
        </row>
        <row r="690">
          <cell r="B690" t="str">
            <v>GPR-EQ58C01001</v>
          </cell>
        </row>
        <row r="690">
          <cell r="W690">
            <v>0</v>
          </cell>
        </row>
        <row r="691">
          <cell r="B691" t="str">
            <v>GPR-HD03M21002</v>
          </cell>
        </row>
        <row r="691">
          <cell r="W691">
            <v>0</v>
          </cell>
        </row>
        <row r="692">
          <cell r="B692" t="str">
            <v>0123838700</v>
          </cell>
        </row>
        <row r="692">
          <cell r="W692">
            <v>0</v>
          </cell>
        </row>
        <row r="693">
          <cell r="B693" t="str">
            <v>102267</v>
          </cell>
        </row>
        <row r="693">
          <cell r="W693">
            <v>0</v>
          </cell>
        </row>
        <row r="694">
          <cell r="B694" t="str">
            <v>102473</v>
          </cell>
        </row>
        <row r="694">
          <cell r="W694">
            <v>0</v>
          </cell>
        </row>
        <row r="695">
          <cell r="B695" t="str">
            <v>GPR-PP04C33017</v>
          </cell>
        </row>
        <row r="695">
          <cell r="W695">
            <v>0</v>
          </cell>
        </row>
        <row r="696">
          <cell r="B696" t="str">
            <v>GPR-PP04C33010</v>
          </cell>
        </row>
        <row r="696">
          <cell r="W696">
            <v>0</v>
          </cell>
        </row>
        <row r="697">
          <cell r="B697" t="str">
            <v>102453</v>
          </cell>
        </row>
        <row r="697">
          <cell r="W697">
            <v>0</v>
          </cell>
        </row>
        <row r="698">
          <cell r="B698" t="str">
            <v>6900012091318</v>
          </cell>
        </row>
        <row r="698">
          <cell r="W698">
            <v>0</v>
          </cell>
        </row>
        <row r="699">
          <cell r="B699" t="str">
            <v>8010040179</v>
          </cell>
        </row>
        <row r="699">
          <cell r="W699">
            <v>0</v>
          </cell>
        </row>
        <row r="700">
          <cell r="B700" t="str">
            <v>GPR-PT11M21013</v>
          </cell>
        </row>
        <row r="700">
          <cell r="W700">
            <v>0</v>
          </cell>
        </row>
        <row r="701">
          <cell r="B701" t="str">
            <v>0113116400</v>
          </cell>
        </row>
        <row r="701">
          <cell r="W701">
            <v>0</v>
          </cell>
        </row>
        <row r="702">
          <cell r="B702" t="str">
            <v>8020020595</v>
          </cell>
        </row>
        <row r="702">
          <cell r="W702">
            <v>0</v>
          </cell>
        </row>
        <row r="703">
          <cell r="B703" t="str">
            <v>102515</v>
          </cell>
        </row>
        <row r="703">
          <cell r="W703">
            <v>0</v>
          </cell>
        </row>
        <row r="704">
          <cell r="B704" t="str">
            <v>GPR-ME03C01002</v>
          </cell>
        </row>
        <row r="704">
          <cell r="W704">
            <v>0</v>
          </cell>
        </row>
        <row r="705">
          <cell r="B705" t="str">
            <v>GPR-EQ58C01002</v>
          </cell>
        </row>
        <row r="705">
          <cell r="W705">
            <v>0</v>
          </cell>
        </row>
        <row r="706">
          <cell r="B706" t="str">
            <v>102337</v>
          </cell>
        </row>
        <row r="706">
          <cell r="W706">
            <v>0</v>
          </cell>
        </row>
        <row r="707">
          <cell r="B707" t="str">
            <v>GPR-HD01S21027</v>
          </cell>
        </row>
        <row r="707">
          <cell r="W707">
            <v>0</v>
          </cell>
        </row>
        <row r="708">
          <cell r="B708" t="str">
            <v>6900010106814</v>
          </cell>
        </row>
        <row r="708">
          <cell r="W708">
            <v>0</v>
          </cell>
        </row>
        <row r="709">
          <cell r="B709" t="str">
            <v>69000030103189</v>
          </cell>
        </row>
        <row r="709">
          <cell r="W709">
            <v>0</v>
          </cell>
        </row>
        <row r="710">
          <cell r="B710" t="str">
            <v>0123838300</v>
          </cell>
        </row>
        <row r="710">
          <cell r="W710">
            <v>0</v>
          </cell>
        </row>
        <row r="711">
          <cell r="B711" t="str">
            <v>GPR-PL02M21003</v>
          </cell>
        </row>
        <row r="711">
          <cell r="W711">
            <v>0</v>
          </cell>
        </row>
        <row r="712">
          <cell r="B712" t="str">
            <v>6900012091317</v>
          </cell>
        </row>
        <row r="712">
          <cell r="W712">
            <v>0</v>
          </cell>
        </row>
        <row r="713">
          <cell r="B713" t="str">
            <v>GPR-PP04C33005</v>
          </cell>
        </row>
        <row r="713">
          <cell r="W713">
            <v>0</v>
          </cell>
        </row>
        <row r="714">
          <cell r="B714" t="str">
            <v>8020022875</v>
          </cell>
        </row>
        <row r="714">
          <cell r="W714">
            <v>15</v>
          </cell>
        </row>
        <row r="715">
          <cell r="B715" t="str">
            <v>GPR-OT02C02003</v>
          </cell>
        </row>
        <row r="715">
          <cell r="W715">
            <v>0</v>
          </cell>
        </row>
        <row r="716">
          <cell r="B716" t="str">
            <v>GPR-MB02L01015</v>
          </cell>
        </row>
        <row r="716">
          <cell r="W716">
            <v>0</v>
          </cell>
        </row>
        <row r="717">
          <cell r="B717" t="str">
            <v>GPR-PP04C33006</v>
          </cell>
        </row>
        <row r="717">
          <cell r="W717">
            <v>0</v>
          </cell>
        </row>
        <row r="718">
          <cell r="B718" t="str">
            <v>GPR-PP05C33001</v>
          </cell>
        </row>
        <row r="718">
          <cell r="W718">
            <v>0</v>
          </cell>
        </row>
        <row r="719">
          <cell r="B719" t="str">
            <v>GPR-MB02L14008</v>
          </cell>
        </row>
        <row r="719">
          <cell r="W719">
            <v>0</v>
          </cell>
        </row>
        <row r="720">
          <cell r="B720" t="str">
            <v>6900010080202</v>
          </cell>
        </row>
        <row r="720">
          <cell r="W720">
            <v>0</v>
          </cell>
        </row>
        <row r="721">
          <cell r="B721" t="str">
            <v>80090970</v>
          </cell>
        </row>
        <row r="721">
          <cell r="W721">
            <v>-1</v>
          </cell>
        </row>
        <row r="722">
          <cell r="B722" t="str">
            <v>8030020202</v>
          </cell>
        </row>
        <row r="722">
          <cell r="W722">
            <v>308</v>
          </cell>
        </row>
        <row r="723">
          <cell r="B723" t="str">
            <v>GPR-SP00M02014</v>
          </cell>
        </row>
        <row r="723">
          <cell r="W723">
            <v>0</v>
          </cell>
        </row>
        <row r="724">
          <cell r="B724" t="str">
            <v>172481111</v>
          </cell>
        </row>
        <row r="724">
          <cell r="W724">
            <v>0</v>
          </cell>
        </row>
        <row r="725">
          <cell r="B725" t="str">
            <v>GPR-PP04C33021</v>
          </cell>
        </row>
        <row r="725">
          <cell r="W725">
            <v>0</v>
          </cell>
        </row>
        <row r="726">
          <cell r="B726" t="str">
            <v>GPR-EQ07P13003</v>
          </cell>
        </row>
        <row r="726">
          <cell r="W726">
            <v>0</v>
          </cell>
        </row>
        <row r="727">
          <cell r="B727" t="str">
            <v>GPR-MB19C03001</v>
          </cell>
        </row>
        <row r="727">
          <cell r="W727">
            <v>0</v>
          </cell>
        </row>
        <row r="728">
          <cell r="B728" t="str">
            <v>0123838500</v>
          </cell>
        </row>
        <row r="728">
          <cell r="W728">
            <v>0</v>
          </cell>
        </row>
        <row r="729">
          <cell r="B729" t="str">
            <v>GPR-MB02L01016</v>
          </cell>
        </row>
        <row r="729">
          <cell r="W729">
            <v>0</v>
          </cell>
        </row>
        <row r="730">
          <cell r="B730" t="str">
            <v>GPR-EQ60S33001</v>
          </cell>
        </row>
        <row r="730">
          <cell r="W730">
            <v>0</v>
          </cell>
        </row>
        <row r="731">
          <cell r="B731" t="str">
            <v>VPR-MB05E04002</v>
          </cell>
        </row>
        <row r="731">
          <cell r="W731">
            <v>0</v>
          </cell>
        </row>
        <row r="732">
          <cell r="B732" t="str">
            <v>GPR-PT11M21014</v>
          </cell>
        </row>
        <row r="732">
          <cell r="W732">
            <v>0</v>
          </cell>
        </row>
        <row r="733">
          <cell r="B733" t="str">
            <v>CP-APTT-001</v>
          </cell>
        </row>
        <row r="733">
          <cell r="W733">
            <v>21500</v>
          </cell>
        </row>
        <row r="734">
          <cell r="B734" t="str">
            <v>GPR-MB02L04001</v>
          </cell>
        </row>
        <row r="734">
          <cell r="W734">
            <v>0</v>
          </cell>
        </row>
        <row r="735">
          <cell r="B735" t="str">
            <v>CP-MLHK-001</v>
          </cell>
        </row>
        <row r="735">
          <cell r="W735">
            <v>200</v>
          </cell>
        </row>
        <row r="736">
          <cell r="B736" t="str">
            <v>8030020204</v>
          </cell>
        </row>
        <row r="736">
          <cell r="W736">
            <v>194</v>
          </cell>
        </row>
        <row r="737">
          <cell r="B737" t="str">
            <v>8010042270</v>
          </cell>
        </row>
        <row r="737">
          <cell r="W737">
            <v>0</v>
          </cell>
        </row>
        <row r="738">
          <cell r="B738" t="str">
            <v>8010041979</v>
          </cell>
        </row>
        <row r="738">
          <cell r="W738">
            <v>0</v>
          </cell>
        </row>
        <row r="739">
          <cell r="B739" t="str">
            <v>CP-DTIN-001</v>
          </cell>
        </row>
        <row r="739">
          <cell r="W739">
            <v>14400</v>
          </cell>
        </row>
        <row r="740">
          <cell r="B740" t="str">
            <v>102549</v>
          </cell>
        </row>
        <row r="740">
          <cell r="W740">
            <v>0</v>
          </cell>
        </row>
        <row r="741">
          <cell r="B741" t="str">
            <v>GPR-SP25M22008</v>
          </cell>
        </row>
        <row r="741">
          <cell r="W741">
            <v>0</v>
          </cell>
        </row>
        <row r="742">
          <cell r="B742" t="str">
            <v>GPR-MB16L13002</v>
          </cell>
        </row>
        <row r="742">
          <cell r="W742">
            <v>0</v>
          </cell>
        </row>
        <row r="743">
          <cell r="B743" t="str">
            <v>6900003010217</v>
          </cell>
        </row>
        <row r="743">
          <cell r="W743">
            <v>0</v>
          </cell>
        </row>
        <row r="744">
          <cell r="B744" t="str">
            <v>GPR-HD19M02009</v>
          </cell>
        </row>
        <row r="744">
          <cell r="W744">
            <v>0</v>
          </cell>
        </row>
        <row r="745">
          <cell r="B745" t="str">
            <v>8010040387</v>
          </cell>
        </row>
        <row r="745">
          <cell r="W745">
            <v>0</v>
          </cell>
        </row>
        <row r="746">
          <cell r="B746" t="str">
            <v>6900003010284</v>
          </cell>
        </row>
        <row r="746">
          <cell r="W746">
            <v>0</v>
          </cell>
        </row>
        <row r="747">
          <cell r="B747" t="str">
            <v>GPR-PP04C33022</v>
          </cell>
        </row>
        <row r="747">
          <cell r="W747">
            <v>0</v>
          </cell>
        </row>
        <row r="748">
          <cell r="B748" t="str">
            <v>GPR-PP04C33037</v>
          </cell>
        </row>
        <row r="748">
          <cell r="W748">
            <v>0</v>
          </cell>
        </row>
        <row r="749">
          <cell r="B749" t="str">
            <v>8010040175</v>
          </cell>
        </row>
        <row r="749">
          <cell r="W749">
            <v>0</v>
          </cell>
        </row>
        <row r="750">
          <cell r="B750" t="str">
            <v>102155</v>
          </cell>
        </row>
        <row r="750">
          <cell r="W750">
            <v>0</v>
          </cell>
        </row>
        <row r="751">
          <cell r="B751" t="str">
            <v>GPR-EQ07P13001</v>
          </cell>
        </row>
        <row r="751">
          <cell r="W751">
            <v>0</v>
          </cell>
        </row>
        <row r="752">
          <cell r="B752" t="str">
            <v>8010070752</v>
          </cell>
        </row>
        <row r="752">
          <cell r="W752">
            <v>227</v>
          </cell>
        </row>
        <row r="753">
          <cell r="B753" t="str">
            <v>8010040766</v>
          </cell>
        </row>
        <row r="753">
          <cell r="W753">
            <v>8</v>
          </cell>
        </row>
        <row r="754">
          <cell r="B754" t="str">
            <v>GPR-PP04C03009</v>
          </cell>
        </row>
        <row r="754">
          <cell r="W754">
            <v>0</v>
          </cell>
        </row>
        <row r="755">
          <cell r="B755" t="str">
            <v>GPR-MB02L01017</v>
          </cell>
        </row>
        <row r="755">
          <cell r="W755">
            <v>0</v>
          </cell>
        </row>
        <row r="756">
          <cell r="B756" t="str">
            <v>CP-APCL-001</v>
          </cell>
        </row>
        <row r="756">
          <cell r="W756">
            <v>1922</v>
          </cell>
        </row>
        <row r="757">
          <cell r="B757" t="str">
            <v>102436</v>
          </cell>
        </row>
        <row r="757">
          <cell r="W757">
            <v>0</v>
          </cell>
        </row>
        <row r="758">
          <cell r="B758" t="str">
            <v>GPR-MB19C03002</v>
          </cell>
        </row>
        <row r="758">
          <cell r="W758">
            <v>0</v>
          </cell>
        </row>
        <row r="759">
          <cell r="B759" t="str">
            <v>8010040177</v>
          </cell>
        </row>
        <row r="759">
          <cell r="W759">
            <v>0</v>
          </cell>
        </row>
        <row r="760">
          <cell r="B760" t="str">
            <v>8010040196</v>
          </cell>
        </row>
        <row r="760">
          <cell r="W760">
            <v>0</v>
          </cell>
        </row>
        <row r="761">
          <cell r="B761" t="str">
            <v>80516467</v>
          </cell>
        </row>
        <row r="761">
          <cell r="W761">
            <v>0</v>
          </cell>
        </row>
        <row r="762">
          <cell r="B762" t="str">
            <v>8010024354</v>
          </cell>
        </row>
        <row r="762">
          <cell r="W762">
            <v>49</v>
          </cell>
        </row>
        <row r="763">
          <cell r="B763" t="str">
            <v>GPR-SP25M22010</v>
          </cell>
        </row>
        <row r="763">
          <cell r="W763">
            <v>0</v>
          </cell>
        </row>
        <row r="764">
          <cell r="B764" t="str">
            <v>CP-MLCL-3MNH</v>
          </cell>
        </row>
        <row r="764">
          <cell r="W764">
            <v>118</v>
          </cell>
        </row>
        <row r="765">
          <cell r="B765" t="str">
            <v>102156</v>
          </cell>
        </row>
        <row r="765">
          <cell r="W765">
            <v>0</v>
          </cell>
        </row>
        <row r="766">
          <cell r="B766" t="str">
            <v>102550</v>
          </cell>
        </row>
        <row r="766">
          <cell r="W766">
            <v>0</v>
          </cell>
        </row>
        <row r="767">
          <cell r="B767" t="str">
            <v>0123842900</v>
          </cell>
        </row>
        <row r="767">
          <cell r="W767">
            <v>0</v>
          </cell>
        </row>
        <row r="768">
          <cell r="B768" t="str">
            <v>GPR-MB19C03003</v>
          </cell>
        </row>
        <row r="768">
          <cell r="W768">
            <v>0</v>
          </cell>
        </row>
        <row r="769">
          <cell r="B769" t="str">
            <v>GPR-HO08E00001</v>
          </cell>
        </row>
        <row r="769">
          <cell r="W769">
            <v>0</v>
          </cell>
        </row>
        <row r="770">
          <cell r="B770" t="str">
            <v>8010071469</v>
          </cell>
        </row>
        <row r="770">
          <cell r="W770">
            <v>95</v>
          </cell>
        </row>
        <row r="771">
          <cell r="B771" t="str">
            <v>8010042105</v>
          </cell>
        </row>
        <row r="771">
          <cell r="W771">
            <v>0</v>
          </cell>
        </row>
        <row r="772">
          <cell r="B772" t="str">
            <v>8010041977</v>
          </cell>
        </row>
        <row r="772">
          <cell r="W772">
            <v>0</v>
          </cell>
        </row>
        <row r="773">
          <cell r="B773" t="str">
            <v>GPR-HO03M21002</v>
          </cell>
        </row>
        <row r="773">
          <cell r="W773">
            <v>0</v>
          </cell>
        </row>
        <row r="774">
          <cell r="B774" t="str">
            <v>102208</v>
          </cell>
        </row>
        <row r="774">
          <cell r="W774">
            <v>0</v>
          </cell>
        </row>
        <row r="775">
          <cell r="B775" t="str">
            <v>GPR-EL13C01001</v>
          </cell>
        </row>
        <row r="775">
          <cell r="W775">
            <v>0</v>
          </cell>
        </row>
        <row r="776">
          <cell r="B776" t="str">
            <v>8010040102</v>
          </cell>
        </row>
        <row r="776">
          <cell r="W776">
            <v>0</v>
          </cell>
        </row>
        <row r="777">
          <cell r="B777" t="str">
            <v>8020020410</v>
          </cell>
        </row>
        <row r="777">
          <cell r="W777">
            <v>1220</v>
          </cell>
        </row>
        <row r="778">
          <cell r="B778" t="str">
            <v>102129</v>
          </cell>
        </row>
        <row r="778">
          <cell r="W778">
            <v>0</v>
          </cell>
        </row>
        <row r="779">
          <cell r="B779" t="str">
            <v>102389</v>
          </cell>
        </row>
        <row r="779">
          <cell r="W779">
            <v>0</v>
          </cell>
        </row>
        <row r="780">
          <cell r="B780" t="str">
            <v>GPR-EQ20Q14001</v>
          </cell>
        </row>
        <row r="780">
          <cell r="W780">
            <v>0</v>
          </cell>
        </row>
        <row r="781">
          <cell r="B781" t="str">
            <v>GPR-EQ33M21001</v>
          </cell>
        </row>
        <row r="781">
          <cell r="W781">
            <v>0</v>
          </cell>
        </row>
        <row r="782">
          <cell r="B782" t="str">
            <v>102589</v>
          </cell>
        </row>
        <row r="782">
          <cell r="W782">
            <v>0</v>
          </cell>
        </row>
        <row r="783">
          <cell r="B783" t="str">
            <v>8020020181</v>
          </cell>
        </row>
        <row r="783">
          <cell r="W783">
            <v>0</v>
          </cell>
        </row>
        <row r="784">
          <cell r="B784" t="str">
            <v>8010072494</v>
          </cell>
        </row>
        <row r="784">
          <cell r="W784">
            <v>0</v>
          </cell>
        </row>
        <row r="785">
          <cell r="B785" t="str">
            <v>8010072495</v>
          </cell>
        </row>
        <row r="785">
          <cell r="W785">
            <v>0</v>
          </cell>
        </row>
        <row r="786">
          <cell r="B786" t="str">
            <v>102269</v>
          </cell>
        </row>
        <row r="786">
          <cell r="W786">
            <v>0</v>
          </cell>
        </row>
        <row r="787">
          <cell r="B787" t="str">
            <v>GPR-SP25M22011</v>
          </cell>
        </row>
        <row r="787">
          <cell r="W787">
            <v>0</v>
          </cell>
        </row>
        <row r="788">
          <cell r="B788" t="str">
            <v>0116420200</v>
          </cell>
        </row>
        <row r="788">
          <cell r="W788">
            <v>0</v>
          </cell>
        </row>
        <row r="789">
          <cell r="B789" t="str">
            <v>GPR-EQ20Q14003</v>
          </cell>
        </row>
        <row r="789">
          <cell r="W789">
            <v>0</v>
          </cell>
        </row>
        <row r="790">
          <cell r="B790" t="str">
            <v>GPR-PT11S21001</v>
          </cell>
        </row>
        <row r="790">
          <cell r="W790">
            <v>0</v>
          </cell>
        </row>
        <row r="791">
          <cell r="B791" t="str">
            <v>CP-APHK-001</v>
          </cell>
        </row>
        <row r="791">
          <cell r="W791">
            <v>21650</v>
          </cell>
        </row>
        <row r="792">
          <cell r="B792" t="str">
            <v>GPR-HO09D33001</v>
          </cell>
        </row>
        <row r="792">
          <cell r="W792">
            <v>0</v>
          </cell>
        </row>
        <row r="793">
          <cell r="B793" t="str">
            <v>GPR-SP25M22013</v>
          </cell>
        </row>
        <row r="793">
          <cell r="W793">
            <v>0</v>
          </cell>
        </row>
        <row r="794">
          <cell r="B794" t="str">
            <v>8010040760</v>
          </cell>
        </row>
        <row r="794">
          <cell r="W794">
            <v>0</v>
          </cell>
        </row>
        <row r="795">
          <cell r="B795" t="str">
            <v>GPR-EL18M01005</v>
          </cell>
        </row>
        <row r="795">
          <cell r="W795">
            <v>0</v>
          </cell>
        </row>
        <row r="796">
          <cell r="B796" t="str">
            <v>6900012090318</v>
          </cell>
        </row>
        <row r="796">
          <cell r="W796">
            <v>0</v>
          </cell>
        </row>
        <row r="797">
          <cell r="B797" t="str">
            <v>8020020480</v>
          </cell>
        </row>
        <row r="797">
          <cell r="W797">
            <v>215</v>
          </cell>
        </row>
        <row r="798">
          <cell r="B798" t="str">
            <v>GPR-WD02G00001</v>
          </cell>
        </row>
        <row r="798">
          <cell r="W798">
            <v>0</v>
          </cell>
        </row>
        <row r="799">
          <cell r="B799" t="str">
            <v>8010061302</v>
          </cell>
        </row>
        <row r="799">
          <cell r="W799">
            <v>29</v>
          </cell>
        </row>
        <row r="800">
          <cell r="B800" t="str">
            <v>GPR-PT11S21002</v>
          </cell>
        </row>
        <row r="800">
          <cell r="W800">
            <v>0</v>
          </cell>
        </row>
        <row r="801">
          <cell r="B801" t="str">
            <v>102221</v>
          </cell>
        </row>
        <row r="801">
          <cell r="W801">
            <v>0</v>
          </cell>
        </row>
        <row r="802">
          <cell r="B802" t="str">
            <v>8010072496</v>
          </cell>
        </row>
        <row r="802">
          <cell r="W802">
            <v>0</v>
          </cell>
        </row>
        <row r="803">
          <cell r="B803" t="str">
            <v>IFPVC07</v>
          </cell>
        </row>
        <row r="803">
          <cell r="W803">
            <v>30</v>
          </cell>
        </row>
        <row r="804">
          <cell r="B804" t="str">
            <v>8030020376</v>
          </cell>
        </row>
        <row r="804">
          <cell r="W804">
            <v>0</v>
          </cell>
        </row>
        <row r="805">
          <cell r="B805" t="str">
            <v>8010043028</v>
          </cell>
        </row>
        <row r="805">
          <cell r="W805">
            <v>3</v>
          </cell>
        </row>
        <row r="806">
          <cell r="B806" t="str">
            <v>GPR-SP22S21001</v>
          </cell>
        </row>
        <row r="806">
          <cell r="W806">
            <v>0</v>
          </cell>
        </row>
        <row r="807">
          <cell r="B807" t="str">
            <v>8010060773</v>
          </cell>
        </row>
        <row r="807">
          <cell r="W807">
            <v>0</v>
          </cell>
        </row>
        <row r="808">
          <cell r="B808" t="str">
            <v>8010040718</v>
          </cell>
        </row>
        <row r="808">
          <cell r="W808">
            <v>0</v>
          </cell>
        </row>
        <row r="809">
          <cell r="B809" t="str">
            <v>CP-AP600-002</v>
          </cell>
        </row>
        <row r="809">
          <cell r="W809">
            <v>1742</v>
          </cell>
        </row>
        <row r="810">
          <cell r="B810" t="str">
            <v>8010012693</v>
          </cell>
        </row>
        <row r="810">
          <cell r="W810">
            <v>237</v>
          </cell>
        </row>
        <row r="811">
          <cell r="B811" t="str">
            <v>8010060774</v>
          </cell>
        </row>
        <row r="811">
          <cell r="W811">
            <v>30</v>
          </cell>
        </row>
        <row r="812">
          <cell r="B812" t="str">
            <v>GPR-EQ18O04001</v>
          </cell>
        </row>
        <row r="812">
          <cell r="W812">
            <v>0</v>
          </cell>
        </row>
        <row r="813">
          <cell r="B813" t="str">
            <v>8020022756</v>
          </cell>
        </row>
        <row r="813">
          <cell r="W813">
            <v>203</v>
          </cell>
        </row>
        <row r="814">
          <cell r="B814" t="str">
            <v>102363</v>
          </cell>
        </row>
        <row r="814">
          <cell r="W814">
            <v>0</v>
          </cell>
        </row>
        <row r="815">
          <cell r="B815" t="str">
            <v>IFPVC12</v>
          </cell>
        </row>
        <row r="815">
          <cell r="W815">
            <v>20</v>
          </cell>
        </row>
        <row r="816">
          <cell r="B816" t="str">
            <v>8020022764</v>
          </cell>
        </row>
        <row r="816">
          <cell r="W816">
            <v>75</v>
          </cell>
        </row>
        <row r="817">
          <cell r="B817" t="str">
            <v>8010036476</v>
          </cell>
        </row>
        <row r="817">
          <cell r="W817">
            <v>0</v>
          </cell>
        </row>
        <row r="818">
          <cell r="B818" t="str">
            <v>8010040543</v>
          </cell>
        </row>
        <row r="818">
          <cell r="W818">
            <v>4</v>
          </cell>
        </row>
        <row r="819">
          <cell r="B819" t="str">
            <v>80516357</v>
          </cell>
        </row>
        <row r="819">
          <cell r="W819">
            <v>10</v>
          </cell>
        </row>
        <row r="820">
          <cell r="B820" t="str">
            <v>GPR-SP25M22016</v>
          </cell>
        </row>
        <row r="820">
          <cell r="W820">
            <v>0</v>
          </cell>
        </row>
        <row r="821">
          <cell r="B821" t="str">
            <v>84818039900002</v>
          </cell>
        </row>
        <row r="821">
          <cell r="W821">
            <v>-87</v>
          </cell>
        </row>
        <row r="822">
          <cell r="B822" t="str">
            <v>GPR-MB08L02001</v>
          </cell>
        </row>
        <row r="822">
          <cell r="W822">
            <v>0</v>
          </cell>
        </row>
        <row r="823">
          <cell r="B823" t="str">
            <v>80516263</v>
          </cell>
        </row>
        <row r="823">
          <cell r="W823">
            <v>0</v>
          </cell>
        </row>
        <row r="824">
          <cell r="B824" t="str">
            <v>GPR-HO04S21003</v>
          </cell>
        </row>
        <row r="824">
          <cell r="W824">
            <v>0</v>
          </cell>
        </row>
        <row r="825">
          <cell r="B825" t="str">
            <v>80090937</v>
          </cell>
        </row>
        <row r="825">
          <cell r="W825">
            <v>11</v>
          </cell>
        </row>
        <row r="826">
          <cell r="B826" t="str">
            <v>80090938</v>
          </cell>
        </row>
        <row r="826">
          <cell r="W826">
            <v>0</v>
          </cell>
        </row>
        <row r="827">
          <cell r="B827" t="str">
            <v>GPR-EQ47C02001</v>
          </cell>
        </row>
        <row r="827">
          <cell r="W827">
            <v>0</v>
          </cell>
        </row>
        <row r="828">
          <cell r="B828" t="str">
            <v>73065000000001</v>
          </cell>
        </row>
        <row r="828">
          <cell r="W828">
            <v>-269</v>
          </cell>
        </row>
        <row r="829">
          <cell r="B829" t="str">
            <v>6900012091375</v>
          </cell>
        </row>
        <row r="829">
          <cell r="W829">
            <v>0</v>
          </cell>
        </row>
        <row r="830">
          <cell r="B830" t="str">
            <v>80516340</v>
          </cell>
        </row>
        <row r="830">
          <cell r="W830">
            <v>12</v>
          </cell>
        </row>
        <row r="831">
          <cell r="B831" t="str">
            <v>6900012090317</v>
          </cell>
        </row>
        <row r="831">
          <cell r="W831">
            <v>0</v>
          </cell>
        </row>
        <row r="832">
          <cell r="B832" t="str">
            <v>80516463</v>
          </cell>
        </row>
        <row r="832">
          <cell r="W832">
            <v>0</v>
          </cell>
        </row>
        <row r="833">
          <cell r="B833" t="str">
            <v>0123840500</v>
          </cell>
        </row>
        <row r="833">
          <cell r="W833">
            <v>0</v>
          </cell>
        </row>
        <row r="834">
          <cell r="B834" t="str">
            <v>GPR-EL23C02001</v>
          </cell>
        </row>
        <row r="834">
          <cell r="W834">
            <v>0</v>
          </cell>
        </row>
        <row r="835">
          <cell r="B835" t="str">
            <v>102474</v>
          </cell>
        </row>
        <row r="835">
          <cell r="W835">
            <v>0</v>
          </cell>
        </row>
        <row r="836">
          <cell r="B836" t="str">
            <v>GPR-OT02M21055</v>
          </cell>
        </row>
        <row r="836">
          <cell r="W836">
            <v>0</v>
          </cell>
        </row>
        <row r="837">
          <cell r="B837" t="str">
            <v>8010061298</v>
          </cell>
        </row>
        <row r="837">
          <cell r="W837">
            <v>31</v>
          </cell>
        </row>
        <row r="838">
          <cell r="B838" t="str">
            <v>GPR-SP33R02008</v>
          </cell>
        </row>
        <row r="838">
          <cell r="W838">
            <v>0</v>
          </cell>
        </row>
        <row r="839">
          <cell r="B839" t="str">
            <v>8020035146</v>
          </cell>
        </row>
        <row r="839">
          <cell r="W839">
            <v>0</v>
          </cell>
        </row>
        <row r="840">
          <cell r="B840" t="str">
            <v>8020022629</v>
          </cell>
        </row>
        <row r="840">
          <cell r="W840">
            <v>44</v>
          </cell>
        </row>
        <row r="841">
          <cell r="B841" t="str">
            <v>8010061297</v>
          </cell>
        </row>
        <row r="841">
          <cell r="W841">
            <v>37</v>
          </cell>
        </row>
        <row r="842">
          <cell r="B842" t="str">
            <v>8010040580</v>
          </cell>
        </row>
        <row r="842">
          <cell r="W842">
            <v>0</v>
          </cell>
        </row>
        <row r="843">
          <cell r="B843" t="str">
            <v>80516361</v>
          </cell>
        </row>
        <row r="843">
          <cell r="W843">
            <v>20</v>
          </cell>
        </row>
        <row r="844">
          <cell r="B844" t="str">
            <v>PVC72853</v>
          </cell>
        </row>
        <row r="844">
          <cell r="W844">
            <v>22</v>
          </cell>
        </row>
        <row r="845">
          <cell r="B845" t="str">
            <v>80516397</v>
          </cell>
        </row>
        <row r="845">
          <cell r="W845">
            <v>0</v>
          </cell>
        </row>
        <row r="846">
          <cell r="B846" t="str">
            <v>80516416</v>
          </cell>
        </row>
        <row r="846">
          <cell r="W846">
            <v>4</v>
          </cell>
        </row>
        <row r="847">
          <cell r="B847" t="str">
            <v>GPR-EQ27M21001</v>
          </cell>
        </row>
        <row r="847">
          <cell r="W847">
            <v>0</v>
          </cell>
        </row>
        <row r="848">
          <cell r="B848" t="str">
            <v>GPR-OS10O01002</v>
          </cell>
        </row>
        <row r="848">
          <cell r="W848">
            <v>0</v>
          </cell>
        </row>
        <row r="849">
          <cell r="B849" t="str">
            <v>8010030613</v>
          </cell>
        </row>
        <row r="849">
          <cell r="W849">
            <v>0</v>
          </cell>
        </row>
        <row r="850">
          <cell r="B850" t="str">
            <v>84818090000002</v>
          </cell>
        </row>
        <row r="850">
          <cell r="W850">
            <v>-3908</v>
          </cell>
        </row>
        <row r="851">
          <cell r="B851" t="str">
            <v>VPR-HD12M11002</v>
          </cell>
        </row>
        <row r="851">
          <cell r="W851">
            <v>0</v>
          </cell>
        </row>
        <row r="852">
          <cell r="B852" t="str">
            <v>GPR-HO04S21005</v>
          </cell>
        </row>
        <row r="852">
          <cell r="W852">
            <v>0</v>
          </cell>
        </row>
        <row r="853">
          <cell r="B853" t="str">
            <v>CP-APTK-001</v>
          </cell>
        </row>
        <row r="853">
          <cell r="W853">
            <v>3993</v>
          </cell>
        </row>
        <row r="854">
          <cell r="B854" t="str">
            <v>8010040582</v>
          </cell>
        </row>
        <row r="854">
          <cell r="W854">
            <v>-3</v>
          </cell>
        </row>
        <row r="855">
          <cell r="B855" t="str">
            <v>8020022618</v>
          </cell>
        </row>
        <row r="855">
          <cell r="W855">
            <v>847</v>
          </cell>
        </row>
        <row r="856">
          <cell r="B856" t="str">
            <v>80516213</v>
          </cell>
        </row>
        <row r="856">
          <cell r="W856">
            <v>0</v>
          </cell>
        </row>
        <row r="857">
          <cell r="B857" t="str">
            <v>8030050068</v>
          </cell>
        </row>
        <row r="857">
          <cell r="W857">
            <v>8995</v>
          </cell>
        </row>
        <row r="858">
          <cell r="B858" t="str">
            <v>8020022881</v>
          </cell>
        </row>
        <row r="858">
          <cell r="W858">
            <v>97</v>
          </cell>
        </row>
        <row r="859">
          <cell r="B859" t="str">
            <v>GPR-AP06C02001</v>
          </cell>
        </row>
        <row r="859">
          <cell r="W859">
            <v>0</v>
          </cell>
        </row>
        <row r="860">
          <cell r="B860" t="str">
            <v>8010040765</v>
          </cell>
        </row>
        <row r="860">
          <cell r="W860">
            <v>0</v>
          </cell>
        </row>
        <row r="861">
          <cell r="B861" t="str">
            <v>GPR-MB02L01020</v>
          </cell>
        </row>
        <row r="861">
          <cell r="W861">
            <v>0</v>
          </cell>
        </row>
        <row r="862">
          <cell r="B862" t="str">
            <v>GPR-SP26M02009</v>
          </cell>
        </row>
        <row r="862">
          <cell r="W862">
            <v>0</v>
          </cell>
        </row>
        <row r="863">
          <cell r="B863" t="str">
            <v>102297</v>
          </cell>
        </row>
        <row r="863">
          <cell r="W863">
            <v>-35</v>
          </cell>
        </row>
        <row r="864">
          <cell r="B864" t="str">
            <v>80516241</v>
          </cell>
        </row>
        <row r="864">
          <cell r="W864">
            <v>0</v>
          </cell>
        </row>
        <row r="865">
          <cell r="B865" t="str">
            <v>102345</v>
          </cell>
        </row>
        <row r="865">
          <cell r="W865">
            <v>4</v>
          </cell>
        </row>
        <row r="866">
          <cell r="B866" t="str">
            <v>GPR-LL01L00002</v>
          </cell>
        </row>
        <row r="866">
          <cell r="W866">
            <v>0</v>
          </cell>
        </row>
        <row r="867">
          <cell r="B867" t="str">
            <v>IFPVC06</v>
          </cell>
        </row>
        <row r="867">
          <cell r="W867">
            <v>50</v>
          </cell>
        </row>
        <row r="868">
          <cell r="B868" t="str">
            <v>0113316300</v>
          </cell>
        </row>
        <row r="868">
          <cell r="W868">
            <v>0</v>
          </cell>
        </row>
        <row r="869">
          <cell r="B869" t="str">
            <v>GPR-HO04O04002</v>
          </cell>
        </row>
        <row r="869">
          <cell r="W869">
            <v>0</v>
          </cell>
        </row>
        <row r="870">
          <cell r="B870" t="str">
            <v>GPR-LL07L00001</v>
          </cell>
        </row>
        <row r="870">
          <cell r="W870">
            <v>0</v>
          </cell>
        </row>
        <row r="871">
          <cell r="B871" t="str">
            <v>102565</v>
          </cell>
        </row>
        <row r="871">
          <cell r="W871">
            <v>0</v>
          </cell>
        </row>
        <row r="872">
          <cell r="B872" t="str">
            <v>GPR-HD19M02010</v>
          </cell>
        </row>
        <row r="872">
          <cell r="W872">
            <v>0</v>
          </cell>
        </row>
        <row r="873">
          <cell r="B873" t="str">
            <v>102508</v>
          </cell>
        </row>
        <row r="873">
          <cell r="W873">
            <v>0</v>
          </cell>
        </row>
        <row r="874">
          <cell r="B874" t="str">
            <v>8010042208</v>
          </cell>
        </row>
        <row r="874">
          <cell r="W874">
            <v>-4</v>
          </cell>
        </row>
        <row r="875">
          <cell r="B875" t="str">
            <v>8010044503</v>
          </cell>
        </row>
        <row r="875">
          <cell r="W875">
            <v>0</v>
          </cell>
        </row>
        <row r="876">
          <cell r="B876" t="str">
            <v>80516376</v>
          </cell>
        </row>
        <row r="876">
          <cell r="W876">
            <v>0</v>
          </cell>
        </row>
        <row r="877">
          <cell r="B877" t="str">
            <v>102342</v>
          </cell>
        </row>
        <row r="877">
          <cell r="W877">
            <v>0</v>
          </cell>
        </row>
        <row r="878">
          <cell r="B878" t="str">
            <v>102341</v>
          </cell>
        </row>
        <row r="878">
          <cell r="W878">
            <v>0</v>
          </cell>
        </row>
        <row r="879">
          <cell r="B879" t="str">
            <v>VPR-HD13M11008</v>
          </cell>
        </row>
        <row r="879">
          <cell r="W879">
            <v>0</v>
          </cell>
        </row>
        <row r="880">
          <cell r="B880" t="str">
            <v>GPR-EQ18D01001</v>
          </cell>
        </row>
        <row r="880">
          <cell r="W880">
            <v>0</v>
          </cell>
        </row>
        <row r="881">
          <cell r="B881" t="str">
            <v>8020022846</v>
          </cell>
        </row>
        <row r="881">
          <cell r="W881">
            <v>147</v>
          </cell>
        </row>
        <row r="882">
          <cell r="B882" t="str">
            <v>GPR-SP25M21017</v>
          </cell>
        </row>
        <row r="882">
          <cell r="W882">
            <v>0</v>
          </cell>
        </row>
        <row r="883">
          <cell r="B883" t="str">
            <v>8020022754</v>
          </cell>
        </row>
        <row r="883">
          <cell r="W883">
            <v>117</v>
          </cell>
        </row>
        <row r="884">
          <cell r="B884" t="str">
            <v>GPR-SP01M21051</v>
          </cell>
        </row>
        <row r="884">
          <cell r="W884">
            <v>0</v>
          </cell>
        </row>
        <row r="885">
          <cell r="B885" t="str">
            <v>8010042238</v>
          </cell>
        </row>
        <row r="885">
          <cell r="W885">
            <v>0</v>
          </cell>
        </row>
        <row r="886">
          <cell r="B886" t="str">
            <v>8010060783</v>
          </cell>
        </row>
        <row r="886">
          <cell r="W886">
            <v>0</v>
          </cell>
        </row>
        <row r="887">
          <cell r="B887" t="str">
            <v>GPR-PL02C01010</v>
          </cell>
        </row>
        <row r="887">
          <cell r="W887">
            <v>0</v>
          </cell>
        </row>
        <row r="888">
          <cell r="B888" t="str">
            <v>GPR-OT02M21019</v>
          </cell>
        </row>
        <row r="888">
          <cell r="W888">
            <v>0</v>
          </cell>
        </row>
        <row r="889">
          <cell r="B889" t="str">
            <v>GPR-MB13S21001</v>
          </cell>
        </row>
        <row r="889">
          <cell r="W889">
            <v>0</v>
          </cell>
        </row>
        <row r="890">
          <cell r="B890" t="str">
            <v>8020022672</v>
          </cell>
        </row>
        <row r="890">
          <cell r="W890">
            <v>127</v>
          </cell>
        </row>
        <row r="891">
          <cell r="B891" t="str">
            <v>8010060787</v>
          </cell>
        </row>
        <row r="891">
          <cell r="W891">
            <v>0</v>
          </cell>
        </row>
        <row r="892">
          <cell r="B892" t="str">
            <v>8010060777</v>
          </cell>
        </row>
        <row r="892">
          <cell r="W892">
            <v>0</v>
          </cell>
        </row>
        <row r="893">
          <cell r="B893" t="str">
            <v>8030020580</v>
          </cell>
        </row>
        <row r="893">
          <cell r="W893">
            <v>0</v>
          </cell>
        </row>
        <row r="894">
          <cell r="B894" t="str">
            <v>102322</v>
          </cell>
        </row>
        <row r="894">
          <cell r="W894">
            <v>0</v>
          </cell>
        </row>
        <row r="895">
          <cell r="B895" t="str">
            <v>VPR-HO05D04001</v>
          </cell>
        </row>
        <row r="895">
          <cell r="W895">
            <v>0</v>
          </cell>
        </row>
        <row r="896">
          <cell r="B896" t="str">
            <v>GPR-WD02M21001</v>
          </cell>
        </row>
        <row r="896">
          <cell r="W896">
            <v>0</v>
          </cell>
        </row>
        <row r="897">
          <cell r="B897" t="str">
            <v>1714873065000000001</v>
          </cell>
        </row>
        <row r="897">
          <cell r="W897">
            <v>-13</v>
          </cell>
        </row>
        <row r="898">
          <cell r="B898" t="str">
            <v>8020022750</v>
          </cell>
        </row>
        <row r="898">
          <cell r="W898">
            <v>155</v>
          </cell>
        </row>
        <row r="899">
          <cell r="B899" t="str">
            <v>6900005030124</v>
          </cell>
        </row>
        <row r="899">
          <cell r="W899">
            <v>19</v>
          </cell>
        </row>
        <row r="900">
          <cell r="B900" t="str">
            <v>0113316400</v>
          </cell>
        </row>
        <row r="900">
          <cell r="W900">
            <v>0</v>
          </cell>
        </row>
        <row r="901">
          <cell r="B901" t="str">
            <v>GPR-HD04M02004</v>
          </cell>
        </row>
        <row r="901">
          <cell r="W901">
            <v>0</v>
          </cell>
        </row>
        <row r="902">
          <cell r="B902" t="str">
            <v>80516429</v>
          </cell>
        </row>
        <row r="902">
          <cell r="W902">
            <v>0</v>
          </cell>
        </row>
        <row r="903">
          <cell r="B903" t="str">
            <v>80516430</v>
          </cell>
        </row>
        <row r="903">
          <cell r="W903">
            <v>2</v>
          </cell>
        </row>
        <row r="904">
          <cell r="B904" t="str">
            <v>80516431</v>
          </cell>
        </row>
        <row r="904">
          <cell r="W904">
            <v>0</v>
          </cell>
        </row>
        <row r="905">
          <cell r="B905" t="str">
            <v>80516355</v>
          </cell>
        </row>
        <row r="905">
          <cell r="W905">
            <v>0</v>
          </cell>
        </row>
        <row r="906">
          <cell r="B906" t="str">
            <v>GPR-HD13S21001</v>
          </cell>
        </row>
        <row r="906">
          <cell r="W906">
            <v>0</v>
          </cell>
        </row>
        <row r="907">
          <cell r="B907" t="str">
            <v>80516405</v>
          </cell>
        </row>
        <row r="907">
          <cell r="W907">
            <v>0</v>
          </cell>
        </row>
        <row r="908">
          <cell r="B908" t="str">
            <v>8030050080</v>
          </cell>
        </row>
        <row r="908">
          <cell r="W908">
            <v>5852</v>
          </cell>
        </row>
        <row r="909">
          <cell r="B909" t="str">
            <v>8010070751</v>
          </cell>
        </row>
        <row r="909">
          <cell r="W909">
            <v>92</v>
          </cell>
        </row>
        <row r="910">
          <cell r="B910" t="str">
            <v>CP-APTH-001</v>
          </cell>
        </row>
        <row r="910">
          <cell r="W910">
            <v>3000</v>
          </cell>
        </row>
        <row r="911">
          <cell r="B911" t="str">
            <v>8030020289</v>
          </cell>
        </row>
        <row r="911">
          <cell r="W911">
            <v>19825</v>
          </cell>
        </row>
        <row r="912">
          <cell r="B912" t="str">
            <v>GPR-EQ18D01002</v>
          </cell>
        </row>
        <row r="912">
          <cell r="W912">
            <v>0</v>
          </cell>
        </row>
        <row r="913">
          <cell r="B913" t="str">
            <v>CP-MLMB-MC600</v>
          </cell>
        </row>
        <row r="913">
          <cell r="W913">
            <v>9445</v>
          </cell>
        </row>
        <row r="914">
          <cell r="B914" t="str">
            <v>GPR-SP01M21045</v>
          </cell>
        </row>
        <row r="914">
          <cell r="W914">
            <v>0</v>
          </cell>
        </row>
        <row r="915">
          <cell r="B915" t="str">
            <v>8010041562</v>
          </cell>
        </row>
        <row r="915">
          <cell r="W915">
            <v>0</v>
          </cell>
        </row>
        <row r="916">
          <cell r="B916" t="str">
            <v>8010040601</v>
          </cell>
        </row>
        <row r="916">
          <cell r="W916">
            <v>0</v>
          </cell>
        </row>
        <row r="917">
          <cell r="B917" t="str">
            <v>80200202595</v>
          </cell>
        </row>
        <row r="917">
          <cell r="W917">
            <v>0</v>
          </cell>
        </row>
        <row r="918">
          <cell r="B918" t="str">
            <v>CP-MLHT-001</v>
          </cell>
        </row>
        <row r="918">
          <cell r="W918">
            <v>-480</v>
          </cell>
        </row>
        <row r="919">
          <cell r="B919" t="str">
            <v>8010071402</v>
          </cell>
        </row>
        <row r="919">
          <cell r="W919">
            <v>5089</v>
          </cell>
        </row>
        <row r="920">
          <cell r="B920" t="str">
            <v>8010071419</v>
          </cell>
        </row>
        <row r="920">
          <cell r="W920">
            <v>76</v>
          </cell>
        </row>
        <row r="921">
          <cell r="B921" t="str">
            <v>GPR-PL02C01002</v>
          </cell>
        </row>
        <row r="921">
          <cell r="W921">
            <v>0</v>
          </cell>
        </row>
        <row r="922">
          <cell r="B922" t="str">
            <v>102352</v>
          </cell>
        </row>
        <row r="922">
          <cell r="W922">
            <v>0</v>
          </cell>
        </row>
        <row r="923">
          <cell r="B923" t="str">
            <v>GPR-SP25M21018</v>
          </cell>
        </row>
        <row r="923">
          <cell r="W923">
            <v>0</v>
          </cell>
        </row>
        <row r="924">
          <cell r="B924" t="str">
            <v>102353</v>
          </cell>
        </row>
        <row r="924">
          <cell r="W924">
            <v>0</v>
          </cell>
        </row>
        <row r="925">
          <cell r="B925" t="str">
            <v>6900010080114</v>
          </cell>
        </row>
        <row r="925">
          <cell r="W925">
            <v>0</v>
          </cell>
        </row>
        <row r="926">
          <cell r="B926" t="str">
            <v>8010040193</v>
          </cell>
        </row>
        <row r="926">
          <cell r="W926">
            <v>0</v>
          </cell>
        </row>
        <row r="927">
          <cell r="B927" t="str">
            <v>GPR-HD01S21005</v>
          </cell>
        </row>
        <row r="927">
          <cell r="W927">
            <v>0</v>
          </cell>
        </row>
        <row r="928">
          <cell r="B928" t="str">
            <v>GPR-PN01O04001</v>
          </cell>
        </row>
        <row r="928">
          <cell r="W928">
            <v>0</v>
          </cell>
        </row>
        <row r="929">
          <cell r="B929" t="str">
            <v>8010040524</v>
          </cell>
        </row>
        <row r="929">
          <cell r="W929">
            <v>0</v>
          </cell>
        </row>
        <row r="930">
          <cell r="B930" t="str">
            <v>GPR-PP04C33038</v>
          </cell>
        </row>
        <row r="930">
          <cell r="W930">
            <v>0</v>
          </cell>
        </row>
        <row r="931">
          <cell r="B931" t="str">
            <v>80516266</v>
          </cell>
        </row>
        <row r="931">
          <cell r="W931">
            <v>7</v>
          </cell>
        </row>
        <row r="932">
          <cell r="B932" t="str">
            <v>80576807</v>
          </cell>
        </row>
        <row r="932">
          <cell r="W932">
            <v>0</v>
          </cell>
        </row>
        <row r="933">
          <cell r="B933" t="str">
            <v>8010062265</v>
          </cell>
        </row>
        <row r="933">
          <cell r="W933">
            <v>1552</v>
          </cell>
        </row>
        <row r="934">
          <cell r="B934" t="str">
            <v>8010071733</v>
          </cell>
        </row>
        <row r="934">
          <cell r="W934">
            <v>2052</v>
          </cell>
        </row>
        <row r="935">
          <cell r="B935" t="str">
            <v>GPR-EQ18D01003</v>
          </cell>
        </row>
        <row r="935">
          <cell r="W935">
            <v>0</v>
          </cell>
        </row>
        <row r="936">
          <cell r="B936" t="str">
            <v>80516359</v>
          </cell>
        </row>
        <row r="936">
          <cell r="W936">
            <v>0</v>
          </cell>
        </row>
        <row r="937">
          <cell r="B937" t="str">
            <v>GPR-LL02L00002</v>
          </cell>
        </row>
        <row r="937">
          <cell r="W937">
            <v>0</v>
          </cell>
        </row>
        <row r="938">
          <cell r="B938" t="str">
            <v>VPR-HD08M11002</v>
          </cell>
        </row>
        <row r="938">
          <cell r="W938">
            <v>0</v>
          </cell>
        </row>
        <row r="939">
          <cell r="B939" t="str">
            <v>8010040195</v>
          </cell>
        </row>
        <row r="939">
          <cell r="W939">
            <v>0</v>
          </cell>
        </row>
        <row r="940">
          <cell r="B940" t="str">
            <v>GPR-EQ43D05001</v>
          </cell>
        </row>
        <row r="940">
          <cell r="W940">
            <v>0</v>
          </cell>
        </row>
        <row r="941">
          <cell r="B941" t="str">
            <v>8010040198</v>
          </cell>
        </row>
        <row r="941">
          <cell r="W941">
            <v>0</v>
          </cell>
        </row>
        <row r="942">
          <cell r="B942" t="str">
            <v>8010071373</v>
          </cell>
        </row>
        <row r="942">
          <cell r="W942">
            <v>157</v>
          </cell>
        </row>
        <row r="943">
          <cell r="B943" t="str">
            <v>8030020185</v>
          </cell>
        </row>
        <row r="943">
          <cell r="W943">
            <v>0</v>
          </cell>
        </row>
        <row r="944">
          <cell r="B944" t="str">
            <v>VPR-SP34J02001</v>
          </cell>
        </row>
        <row r="944">
          <cell r="W944">
            <v>0</v>
          </cell>
        </row>
        <row r="945">
          <cell r="B945" t="str">
            <v>GPR-SP01M21048</v>
          </cell>
        </row>
        <row r="945">
          <cell r="W945">
            <v>0</v>
          </cell>
        </row>
        <row r="946">
          <cell r="B946" t="str">
            <v>GPR-EQ13S21002</v>
          </cell>
        </row>
        <row r="946">
          <cell r="W946">
            <v>0</v>
          </cell>
        </row>
        <row r="947">
          <cell r="B947" t="str">
            <v>102432</v>
          </cell>
        </row>
        <row r="947">
          <cell r="W947">
            <v>0</v>
          </cell>
        </row>
        <row r="948">
          <cell r="B948" t="str">
            <v>GPR-PT11M21002</v>
          </cell>
        </row>
        <row r="948">
          <cell r="W948">
            <v>0</v>
          </cell>
        </row>
        <row r="949">
          <cell r="B949" t="str">
            <v>8030020052</v>
          </cell>
        </row>
        <row r="949">
          <cell r="W949">
            <v>888</v>
          </cell>
        </row>
        <row r="950">
          <cell r="B950" t="str">
            <v>8010072482</v>
          </cell>
        </row>
        <row r="950">
          <cell r="W950">
            <v>532</v>
          </cell>
        </row>
        <row r="951">
          <cell r="B951" t="str">
            <v>102431</v>
          </cell>
        </row>
        <row r="951">
          <cell r="W951">
            <v>0</v>
          </cell>
        </row>
        <row r="952">
          <cell r="B952" t="str">
            <v>GPR-PL02C01011</v>
          </cell>
        </row>
        <row r="952">
          <cell r="W952">
            <v>-0.00755</v>
          </cell>
        </row>
        <row r="953">
          <cell r="B953" t="str">
            <v>8030020232</v>
          </cell>
        </row>
        <row r="953">
          <cell r="W953">
            <v>3345</v>
          </cell>
        </row>
        <row r="954">
          <cell r="B954" t="str">
            <v>102360</v>
          </cell>
        </row>
        <row r="954">
          <cell r="W954">
            <v>0</v>
          </cell>
        </row>
        <row r="955">
          <cell r="B955" t="str">
            <v>8010071395</v>
          </cell>
        </row>
        <row r="955">
          <cell r="W955">
            <v>2442</v>
          </cell>
        </row>
        <row r="956">
          <cell r="B956" t="str">
            <v>8030020233</v>
          </cell>
        </row>
        <row r="956">
          <cell r="W956">
            <v>394</v>
          </cell>
        </row>
        <row r="957">
          <cell r="B957" t="str">
            <v>8030020113</v>
          </cell>
        </row>
        <row r="957">
          <cell r="W957">
            <v>30</v>
          </cell>
        </row>
        <row r="958">
          <cell r="B958" t="str">
            <v>8010071408</v>
          </cell>
        </row>
        <row r="958">
          <cell r="W958">
            <v>719</v>
          </cell>
        </row>
        <row r="959">
          <cell r="B959" t="str">
            <v>GPR-EQ18D01004</v>
          </cell>
        </row>
        <row r="959">
          <cell r="W959">
            <v>0</v>
          </cell>
        </row>
        <row r="960">
          <cell r="B960" t="str">
            <v>102433</v>
          </cell>
        </row>
        <row r="960">
          <cell r="W960">
            <v>-300</v>
          </cell>
        </row>
        <row r="961">
          <cell r="B961" t="str">
            <v>8010071384</v>
          </cell>
        </row>
        <row r="961">
          <cell r="W961">
            <v>1188</v>
          </cell>
        </row>
        <row r="962">
          <cell r="B962" t="str">
            <v>GPR-MB18C01004</v>
          </cell>
        </row>
        <row r="962">
          <cell r="W962">
            <v>0</v>
          </cell>
        </row>
        <row r="963">
          <cell r="B963" t="str">
            <v>0123840600</v>
          </cell>
        </row>
        <row r="963">
          <cell r="W963">
            <v>0</v>
          </cell>
        </row>
        <row r="964">
          <cell r="B964" t="str">
            <v>8010071388</v>
          </cell>
        </row>
        <row r="964">
          <cell r="W964">
            <v>600</v>
          </cell>
        </row>
        <row r="965">
          <cell r="B965" t="str">
            <v>8010071377</v>
          </cell>
        </row>
        <row r="965">
          <cell r="W965">
            <v>3226</v>
          </cell>
        </row>
        <row r="966">
          <cell r="B966" t="str">
            <v>8010042104</v>
          </cell>
        </row>
        <row r="966">
          <cell r="W966">
            <v>0</v>
          </cell>
        </row>
        <row r="967">
          <cell r="B967" t="str">
            <v>8010071407</v>
          </cell>
        </row>
        <row r="967">
          <cell r="W967">
            <v>300</v>
          </cell>
        </row>
        <row r="968">
          <cell r="B968" t="str">
            <v>8010071405</v>
          </cell>
        </row>
        <row r="968">
          <cell r="W968">
            <v>559</v>
          </cell>
        </row>
        <row r="969">
          <cell r="B969" t="str">
            <v>8010071387</v>
          </cell>
        </row>
        <row r="969">
          <cell r="W969">
            <v>2934</v>
          </cell>
        </row>
        <row r="970">
          <cell r="B970" t="str">
            <v>8030020257</v>
          </cell>
        </row>
        <row r="970">
          <cell r="W970">
            <v>1700</v>
          </cell>
        </row>
        <row r="971">
          <cell r="B971" t="str">
            <v>8030020222</v>
          </cell>
        </row>
        <row r="971">
          <cell r="W971">
            <v>230</v>
          </cell>
        </row>
        <row r="972">
          <cell r="B972" t="str">
            <v>8010071360</v>
          </cell>
        </row>
        <row r="972">
          <cell r="W972">
            <v>2059</v>
          </cell>
        </row>
        <row r="973">
          <cell r="B973" t="str">
            <v>8010071378</v>
          </cell>
        </row>
        <row r="973">
          <cell r="W973">
            <v>2578</v>
          </cell>
        </row>
        <row r="974">
          <cell r="B974" t="str">
            <v>8010060772</v>
          </cell>
        </row>
        <row r="974">
          <cell r="W974">
            <v>0</v>
          </cell>
        </row>
        <row r="975">
          <cell r="B975" t="str">
            <v>8010071366</v>
          </cell>
        </row>
        <row r="975">
          <cell r="W975">
            <v>345</v>
          </cell>
        </row>
        <row r="976">
          <cell r="B976" t="str">
            <v>8010071368</v>
          </cell>
        </row>
        <row r="976">
          <cell r="W976">
            <v>213</v>
          </cell>
        </row>
        <row r="977">
          <cell r="B977" t="str">
            <v>GPR-SP01M21049</v>
          </cell>
        </row>
        <row r="977">
          <cell r="W977">
            <v>0</v>
          </cell>
        </row>
        <row r="978">
          <cell r="B978" t="str">
            <v>GPR-EQ06C14001</v>
          </cell>
        </row>
        <row r="978">
          <cell r="W978">
            <v>0</v>
          </cell>
        </row>
        <row r="979">
          <cell r="B979" t="str">
            <v>GPR-HO04S21007</v>
          </cell>
        </row>
        <row r="979">
          <cell r="W979">
            <v>0</v>
          </cell>
        </row>
        <row r="980">
          <cell r="B980" t="str">
            <v>8010024949</v>
          </cell>
        </row>
        <row r="980">
          <cell r="W980">
            <v>125</v>
          </cell>
        </row>
        <row r="981">
          <cell r="B981" t="str">
            <v>102464</v>
          </cell>
        </row>
        <row r="981">
          <cell r="W981">
            <v>0</v>
          </cell>
        </row>
        <row r="982">
          <cell r="B982" t="str">
            <v>8010071369</v>
          </cell>
        </row>
        <row r="982">
          <cell r="W982">
            <v>167</v>
          </cell>
        </row>
        <row r="983">
          <cell r="B983" t="str">
            <v>101248</v>
          </cell>
        </row>
        <row r="983">
          <cell r="W983">
            <v>0</v>
          </cell>
        </row>
        <row r="984">
          <cell r="B984" t="str">
            <v>8010040176</v>
          </cell>
        </row>
        <row r="984">
          <cell r="W984">
            <v>0</v>
          </cell>
        </row>
        <row r="985">
          <cell r="B985" t="str">
            <v>VPR-MB19M21001</v>
          </cell>
        </row>
        <row r="985">
          <cell r="W985">
            <v>0</v>
          </cell>
        </row>
        <row r="986">
          <cell r="B986" t="str">
            <v>102361</v>
          </cell>
        </row>
        <row r="986">
          <cell r="W986">
            <v>0</v>
          </cell>
        </row>
        <row r="987">
          <cell r="B987" t="str">
            <v>GPR-PP04C33023</v>
          </cell>
        </row>
        <row r="987">
          <cell r="W987">
            <v>0</v>
          </cell>
        </row>
        <row r="988">
          <cell r="B988" t="str">
            <v>101260</v>
          </cell>
        </row>
        <row r="988">
          <cell r="W988">
            <v>0</v>
          </cell>
        </row>
        <row r="989">
          <cell r="B989" t="str">
            <v>101254</v>
          </cell>
        </row>
        <row r="989">
          <cell r="W989">
            <v>0</v>
          </cell>
        </row>
        <row r="990">
          <cell r="B990" t="str">
            <v>80536506</v>
          </cell>
        </row>
        <row r="990">
          <cell r="W990">
            <v>0</v>
          </cell>
        </row>
        <row r="991">
          <cell r="B991" t="str">
            <v>8010071412</v>
          </cell>
        </row>
        <row r="991">
          <cell r="W991">
            <v>1823</v>
          </cell>
        </row>
        <row r="992">
          <cell r="B992" t="str">
            <v>8010031773</v>
          </cell>
        </row>
        <row r="992">
          <cell r="W992">
            <v>0</v>
          </cell>
        </row>
        <row r="993">
          <cell r="B993" t="str">
            <v>8010071362</v>
          </cell>
        </row>
        <row r="993">
          <cell r="W993">
            <v>538</v>
          </cell>
        </row>
        <row r="994">
          <cell r="B994" t="str">
            <v>8010071413</v>
          </cell>
        </row>
        <row r="994">
          <cell r="W994">
            <v>1265</v>
          </cell>
        </row>
        <row r="995">
          <cell r="B995" t="str">
            <v>8030020241</v>
          </cell>
        </row>
        <row r="995">
          <cell r="W995">
            <v>0</v>
          </cell>
        </row>
        <row r="996">
          <cell r="B996" t="str">
            <v>6900005030123</v>
          </cell>
        </row>
        <row r="996">
          <cell r="W996">
            <v>16</v>
          </cell>
        </row>
        <row r="997">
          <cell r="B997" t="str">
            <v>GPR-PN01O04002</v>
          </cell>
        </row>
        <row r="997">
          <cell r="W997">
            <v>0</v>
          </cell>
        </row>
        <row r="998">
          <cell r="B998" t="str">
            <v>8010071365</v>
          </cell>
        </row>
        <row r="998">
          <cell r="W998">
            <v>226</v>
          </cell>
        </row>
        <row r="999">
          <cell r="B999" t="str">
            <v>GPR-EQ38R02001</v>
          </cell>
        </row>
        <row r="999">
          <cell r="W999">
            <v>0</v>
          </cell>
        </row>
        <row r="1000">
          <cell r="B1000" t="str">
            <v>8010071364</v>
          </cell>
        </row>
        <row r="1000">
          <cell r="W1000">
            <v>296</v>
          </cell>
        </row>
        <row r="1001">
          <cell r="B1001" t="str">
            <v>GPR-SP01M21046</v>
          </cell>
        </row>
        <row r="1001">
          <cell r="W1001">
            <v>0</v>
          </cell>
        </row>
        <row r="1002">
          <cell r="B1002" t="str">
            <v>8010071411</v>
          </cell>
        </row>
        <row r="1002">
          <cell r="W1002">
            <v>1830</v>
          </cell>
        </row>
        <row r="1003">
          <cell r="B1003" t="str">
            <v>8030020062</v>
          </cell>
        </row>
        <row r="1003">
          <cell r="W1003">
            <v>0</v>
          </cell>
        </row>
        <row r="1004">
          <cell r="B1004" t="str">
            <v>8010030506</v>
          </cell>
        </row>
        <row r="1004">
          <cell r="W1004">
            <v>0</v>
          </cell>
        </row>
        <row r="1005">
          <cell r="B1005" t="str">
            <v>102439</v>
          </cell>
        </row>
        <row r="1005">
          <cell r="W1005">
            <v>-1</v>
          </cell>
        </row>
        <row r="1006">
          <cell r="B1006" t="str">
            <v>102374</v>
          </cell>
        </row>
        <row r="1006">
          <cell r="W1006">
            <v>0</v>
          </cell>
        </row>
        <row r="1007">
          <cell r="B1007" t="str">
            <v>102458</v>
          </cell>
        </row>
        <row r="1007">
          <cell r="W1007">
            <v>0</v>
          </cell>
        </row>
        <row r="1008">
          <cell r="B1008" t="str">
            <v>102457</v>
          </cell>
        </row>
        <row r="1008">
          <cell r="W1008">
            <v>0</v>
          </cell>
        </row>
        <row r="1009">
          <cell r="B1009" t="str">
            <v>102371</v>
          </cell>
        </row>
        <row r="1009">
          <cell r="W1009">
            <v>0</v>
          </cell>
        </row>
        <row r="1010">
          <cell r="B1010" t="str">
            <v>102370</v>
          </cell>
        </row>
        <row r="1010">
          <cell r="W1010">
            <v>0</v>
          </cell>
        </row>
        <row r="1011">
          <cell r="B1011" t="str">
            <v>102372</v>
          </cell>
        </row>
        <row r="1011">
          <cell r="W1011">
            <v>0</v>
          </cell>
        </row>
        <row r="1012">
          <cell r="B1012" t="str">
            <v>102336</v>
          </cell>
        </row>
        <row r="1012">
          <cell r="W1012">
            <v>0</v>
          </cell>
        </row>
        <row r="1013">
          <cell r="B1013" t="str">
            <v>8030020917</v>
          </cell>
        </row>
        <row r="1013">
          <cell r="W1013">
            <v>25</v>
          </cell>
        </row>
        <row r="1014">
          <cell r="B1014" t="str">
            <v>102438</v>
          </cell>
        </row>
        <row r="1014">
          <cell r="W1014">
            <v>-6</v>
          </cell>
        </row>
        <row r="1015">
          <cell r="B1015" t="str">
            <v>8010073016</v>
          </cell>
        </row>
        <row r="1015">
          <cell r="W1015">
            <v>243</v>
          </cell>
        </row>
        <row r="1016">
          <cell r="B1016" t="str">
            <v>102437</v>
          </cell>
        </row>
        <row r="1016">
          <cell r="W1016">
            <v>0</v>
          </cell>
        </row>
        <row r="1017">
          <cell r="B1017" t="str">
            <v>8010071333</v>
          </cell>
        </row>
        <row r="1017">
          <cell r="W1017">
            <v>44</v>
          </cell>
        </row>
        <row r="1018">
          <cell r="B1018" t="str">
            <v>8010071434</v>
          </cell>
        </row>
        <row r="1018">
          <cell r="W1018">
            <v>399</v>
          </cell>
        </row>
        <row r="1019">
          <cell r="B1019" t="str">
            <v>102440</v>
          </cell>
        </row>
        <row r="1019">
          <cell r="W1019">
            <v>-1</v>
          </cell>
        </row>
        <row r="1020">
          <cell r="B1020" t="str">
            <v>102509</v>
          </cell>
        </row>
        <row r="1020">
          <cell r="W1020">
            <v>0</v>
          </cell>
        </row>
        <row r="1021">
          <cell r="B1021" t="str">
            <v>GPR-EQ33S21001</v>
          </cell>
        </row>
        <row r="1021">
          <cell r="W1021">
            <v>0</v>
          </cell>
        </row>
        <row r="1022">
          <cell r="B1022" t="str">
            <v>GPR-PT09M21016</v>
          </cell>
        </row>
        <row r="1022">
          <cell r="W1022">
            <v>0</v>
          </cell>
        </row>
        <row r="1023">
          <cell r="B1023" t="str">
            <v>GPR-EQ46M21001</v>
          </cell>
        </row>
        <row r="1023">
          <cell r="W1023">
            <v>0</v>
          </cell>
        </row>
        <row r="1024">
          <cell r="B1024" t="str">
            <v>VPR-OS04D01004</v>
          </cell>
        </row>
        <row r="1024">
          <cell r="W1024">
            <v>0</v>
          </cell>
        </row>
        <row r="1025">
          <cell r="B1025" t="str">
            <v>GPR-EQ18D01005</v>
          </cell>
        </row>
        <row r="1025">
          <cell r="W1025">
            <v>0</v>
          </cell>
        </row>
        <row r="1026">
          <cell r="B1026" t="str">
            <v>8010071346</v>
          </cell>
        </row>
        <row r="1026">
          <cell r="W1026">
            <v>519</v>
          </cell>
        </row>
        <row r="1027">
          <cell r="B1027" t="str">
            <v>8010071383</v>
          </cell>
        </row>
        <row r="1027">
          <cell r="W1027">
            <v>370</v>
          </cell>
        </row>
        <row r="1028">
          <cell r="B1028" t="str">
            <v>8030020224</v>
          </cell>
        </row>
        <row r="1028">
          <cell r="W1028">
            <v>80</v>
          </cell>
        </row>
        <row r="1029">
          <cell r="B1029" t="str">
            <v>GPR-EL10M02003</v>
          </cell>
        </row>
        <row r="1029">
          <cell r="W1029">
            <v>0</v>
          </cell>
        </row>
        <row r="1030">
          <cell r="B1030" t="str">
            <v>8010071381</v>
          </cell>
        </row>
        <row r="1030">
          <cell r="W1030">
            <v>677</v>
          </cell>
        </row>
        <row r="1031">
          <cell r="B1031" t="str">
            <v>8010071379</v>
          </cell>
        </row>
        <row r="1031">
          <cell r="W1031">
            <v>1066</v>
          </cell>
        </row>
        <row r="1032">
          <cell r="B1032" t="str">
            <v>8010071371</v>
          </cell>
        </row>
        <row r="1032">
          <cell r="W1032">
            <v>309</v>
          </cell>
        </row>
        <row r="1033">
          <cell r="B1033" t="str">
            <v>8030020223</v>
          </cell>
        </row>
        <row r="1033">
          <cell r="W1033">
            <v>77</v>
          </cell>
        </row>
        <row r="1034">
          <cell r="B1034" t="str">
            <v>8010024405</v>
          </cell>
        </row>
        <row r="1034">
          <cell r="W1034">
            <v>640</v>
          </cell>
        </row>
        <row r="1035">
          <cell r="B1035" t="str">
            <v>8010071358</v>
          </cell>
        </row>
        <row r="1035">
          <cell r="W1035">
            <v>89</v>
          </cell>
        </row>
        <row r="1036">
          <cell r="B1036" t="str">
            <v>8010024547</v>
          </cell>
        </row>
        <row r="1036">
          <cell r="W1036">
            <v>1094</v>
          </cell>
        </row>
        <row r="1037">
          <cell r="B1037" t="str">
            <v>8020012378</v>
          </cell>
        </row>
        <row r="1037">
          <cell r="W1037">
            <v>284</v>
          </cell>
        </row>
        <row r="1038">
          <cell r="B1038" t="str">
            <v>8010071472</v>
          </cell>
        </row>
        <row r="1038">
          <cell r="W1038">
            <v>475</v>
          </cell>
        </row>
        <row r="1039">
          <cell r="B1039" t="str">
            <v>8010071347</v>
          </cell>
        </row>
        <row r="1039">
          <cell r="W1039">
            <v>52</v>
          </cell>
        </row>
        <row r="1040">
          <cell r="B1040" t="str">
            <v>8010072854</v>
          </cell>
        </row>
        <row r="1040">
          <cell r="W1040">
            <v>33</v>
          </cell>
        </row>
        <row r="1041">
          <cell r="B1041" t="str">
            <v>GPR-EL22A22001</v>
          </cell>
        </row>
        <row r="1041">
          <cell r="W1041">
            <v>0</v>
          </cell>
        </row>
        <row r="1042">
          <cell r="B1042" t="str">
            <v>8010024407</v>
          </cell>
        </row>
        <row r="1042">
          <cell r="W1042">
            <v>164</v>
          </cell>
        </row>
        <row r="1043">
          <cell r="B1043" t="str">
            <v>GPR-LM01G00001</v>
          </cell>
        </row>
        <row r="1043">
          <cell r="W1043">
            <v>0</v>
          </cell>
        </row>
        <row r="1044">
          <cell r="B1044" t="str">
            <v>8010024406</v>
          </cell>
        </row>
        <row r="1044">
          <cell r="W1044">
            <v>2044</v>
          </cell>
        </row>
        <row r="1045">
          <cell r="B1045" t="str">
            <v>84248910000001</v>
          </cell>
        </row>
        <row r="1045">
          <cell r="W1045">
            <v>233</v>
          </cell>
        </row>
        <row r="1046">
          <cell r="B1046" t="str">
            <v>GPR-SP38M21001</v>
          </cell>
        </row>
        <row r="1046">
          <cell r="W1046">
            <v>0</v>
          </cell>
        </row>
        <row r="1047">
          <cell r="B1047" t="str">
            <v>VPR-HD13M11004</v>
          </cell>
        </row>
        <row r="1047">
          <cell r="W1047">
            <v>0</v>
          </cell>
        </row>
        <row r="1048">
          <cell r="B1048" t="str">
            <v>GPR-WD01M21001</v>
          </cell>
        </row>
        <row r="1048">
          <cell r="W1048">
            <v>0</v>
          </cell>
        </row>
        <row r="1049">
          <cell r="B1049" t="str">
            <v>8020035096</v>
          </cell>
        </row>
        <row r="1049">
          <cell r="W1049">
            <v>0</v>
          </cell>
        </row>
        <row r="1050">
          <cell r="B1050" t="str">
            <v>8010071471</v>
          </cell>
        </row>
        <row r="1050">
          <cell r="W1050">
            <v>894</v>
          </cell>
        </row>
        <row r="1051">
          <cell r="B1051" t="str">
            <v>0123838400</v>
          </cell>
        </row>
        <row r="1051">
          <cell r="W1051">
            <v>0</v>
          </cell>
        </row>
        <row r="1052">
          <cell r="B1052" t="str">
            <v>8030020290</v>
          </cell>
        </row>
        <row r="1052">
          <cell r="W1052">
            <v>11023</v>
          </cell>
        </row>
        <row r="1053">
          <cell r="B1053" t="str">
            <v>8030020207</v>
          </cell>
        </row>
        <row r="1053">
          <cell r="W1053">
            <v>2593</v>
          </cell>
        </row>
        <row r="1054">
          <cell r="B1054" t="str">
            <v>8010024439</v>
          </cell>
        </row>
        <row r="1054">
          <cell r="W1054">
            <v>133</v>
          </cell>
        </row>
        <row r="1055">
          <cell r="B1055" t="str">
            <v>GPR-SP08M21001</v>
          </cell>
        </row>
        <row r="1055">
          <cell r="W1055">
            <v>0</v>
          </cell>
        </row>
        <row r="1056">
          <cell r="B1056" t="str">
            <v>GPR-AP06G00001</v>
          </cell>
        </row>
        <row r="1056">
          <cell r="W1056">
            <v>0</v>
          </cell>
        </row>
        <row r="1057">
          <cell r="B1057" t="str">
            <v>GPR-EQ18D01006</v>
          </cell>
        </row>
        <row r="1057">
          <cell r="W1057">
            <v>0</v>
          </cell>
        </row>
        <row r="1058">
          <cell r="B1058" t="str">
            <v>VPR-OS04D01005</v>
          </cell>
        </row>
        <row r="1058">
          <cell r="W1058">
            <v>0</v>
          </cell>
        </row>
        <row r="1059">
          <cell r="B1059" t="str">
            <v>GPR-OS02M03008</v>
          </cell>
        </row>
        <row r="1059">
          <cell r="W1059">
            <v>0</v>
          </cell>
        </row>
        <row r="1060">
          <cell r="B1060" t="str">
            <v>6900005030237</v>
          </cell>
        </row>
        <row r="1060">
          <cell r="W1060">
            <v>0</v>
          </cell>
        </row>
        <row r="1061">
          <cell r="B1061" t="str">
            <v>B020005B01</v>
          </cell>
        </row>
        <row r="1061">
          <cell r="W1061">
            <v>-240</v>
          </cell>
        </row>
        <row r="1062">
          <cell r="B1062" t="str">
            <v>GPR-EQ18D01007</v>
          </cell>
        </row>
        <row r="1062">
          <cell r="W1062">
            <v>0</v>
          </cell>
        </row>
        <row r="1063">
          <cell r="B1063" t="str">
            <v>GPR-PT11H13001</v>
          </cell>
        </row>
        <row r="1063">
          <cell r="W1063">
            <v>0</v>
          </cell>
        </row>
        <row r="1064">
          <cell r="B1064" t="str">
            <v>GPR-EQ46S21001</v>
          </cell>
        </row>
        <row r="1064">
          <cell r="W1064">
            <v>0</v>
          </cell>
        </row>
        <row r="1065">
          <cell r="B1065" t="str">
            <v>GPR-PL02C01008</v>
          </cell>
        </row>
        <row r="1065">
          <cell r="W1065">
            <v>0</v>
          </cell>
        </row>
        <row r="1066">
          <cell r="B1066" t="str">
            <v>8030020045</v>
          </cell>
        </row>
        <row r="1066">
          <cell r="W1066">
            <v>101</v>
          </cell>
        </row>
        <row r="1067">
          <cell r="B1067" t="str">
            <v>GPR-LM01G01004</v>
          </cell>
        </row>
        <row r="1067">
          <cell r="W1067">
            <v>0</v>
          </cell>
        </row>
        <row r="1068">
          <cell r="B1068" t="str">
            <v>GPR-LM01G01005</v>
          </cell>
        </row>
        <row r="1068">
          <cell r="W1068">
            <v>0</v>
          </cell>
        </row>
        <row r="1069">
          <cell r="B1069" t="str">
            <v>8030020141</v>
          </cell>
        </row>
        <row r="1069">
          <cell r="W1069">
            <v>23330</v>
          </cell>
        </row>
        <row r="1070">
          <cell r="B1070" t="str">
            <v>8030020143</v>
          </cell>
        </row>
        <row r="1070">
          <cell r="W1070">
            <v>0</v>
          </cell>
        </row>
        <row r="1071">
          <cell r="B1071" t="str">
            <v>GPR-EL22A22002</v>
          </cell>
        </row>
        <row r="1071">
          <cell r="W1071">
            <v>0</v>
          </cell>
        </row>
        <row r="1072">
          <cell r="B1072" t="str">
            <v>6900010080203</v>
          </cell>
        </row>
        <row r="1072">
          <cell r="W1072">
            <v>0</v>
          </cell>
        </row>
        <row r="1073">
          <cell r="B1073" t="str">
            <v>8030020072</v>
          </cell>
        </row>
        <row r="1073">
          <cell r="W1073">
            <v>3230</v>
          </cell>
        </row>
        <row r="1074">
          <cell r="B1074" t="str">
            <v>8010024663</v>
          </cell>
        </row>
        <row r="1074">
          <cell r="W1074">
            <v>287</v>
          </cell>
        </row>
        <row r="1075">
          <cell r="B1075" t="str">
            <v>VPR-HD05M11001</v>
          </cell>
        </row>
        <row r="1075">
          <cell r="W1075">
            <v>0</v>
          </cell>
        </row>
        <row r="1076">
          <cell r="B1076" t="str">
            <v>80516341</v>
          </cell>
        </row>
        <row r="1076">
          <cell r="W1076">
            <v>5</v>
          </cell>
        </row>
        <row r="1077">
          <cell r="B1077" t="str">
            <v>GPR-EL05C01002</v>
          </cell>
        </row>
        <row r="1077">
          <cell r="W1077">
            <v>0</v>
          </cell>
        </row>
        <row r="1078">
          <cell r="B1078" t="str">
            <v>80516374</v>
          </cell>
        </row>
        <row r="1078">
          <cell r="W1078">
            <v>0</v>
          </cell>
        </row>
        <row r="1079">
          <cell r="B1079" t="str">
            <v>80516422</v>
          </cell>
        </row>
        <row r="1079">
          <cell r="W1079">
            <v>0</v>
          </cell>
        </row>
        <row r="1080">
          <cell r="B1080" t="str">
            <v>8020012382</v>
          </cell>
        </row>
        <row r="1080">
          <cell r="W1080">
            <v>622</v>
          </cell>
        </row>
        <row r="1081">
          <cell r="B1081" t="str">
            <v>GPR-PT09M02006</v>
          </cell>
        </row>
        <row r="1081">
          <cell r="W1081">
            <v>0</v>
          </cell>
        </row>
        <row r="1082">
          <cell r="B1082" t="str">
            <v>8010060781</v>
          </cell>
        </row>
        <row r="1082">
          <cell r="W1082">
            <v>19</v>
          </cell>
        </row>
        <row r="1083">
          <cell r="B1083" t="str">
            <v>8030020249</v>
          </cell>
        </row>
        <row r="1083">
          <cell r="W1083">
            <v>1010</v>
          </cell>
        </row>
        <row r="1084">
          <cell r="B1084" t="str">
            <v>102423</v>
          </cell>
        </row>
        <row r="1084">
          <cell r="W1084">
            <v>0</v>
          </cell>
        </row>
        <row r="1085">
          <cell r="B1085" t="str">
            <v>8010042106</v>
          </cell>
        </row>
        <row r="1085">
          <cell r="W1085">
            <v>0</v>
          </cell>
        </row>
        <row r="1086">
          <cell r="B1086" t="str">
            <v>8020022620</v>
          </cell>
        </row>
        <row r="1086">
          <cell r="W1086">
            <v>3352</v>
          </cell>
        </row>
        <row r="1087">
          <cell r="B1087" t="str">
            <v>8020022622</v>
          </cell>
        </row>
        <row r="1087">
          <cell r="W1087">
            <v>1427</v>
          </cell>
        </row>
        <row r="1088">
          <cell r="B1088" t="str">
            <v>80516425</v>
          </cell>
        </row>
        <row r="1088">
          <cell r="W1088">
            <v>0</v>
          </cell>
        </row>
        <row r="1089">
          <cell r="B1089" t="str">
            <v>VPR-AP03U02001</v>
          </cell>
        </row>
        <row r="1089">
          <cell r="W1089">
            <v>0</v>
          </cell>
        </row>
        <row r="1090">
          <cell r="B1090" t="str">
            <v>8010062291</v>
          </cell>
        </row>
        <row r="1090">
          <cell r="W1090">
            <v>46</v>
          </cell>
        </row>
        <row r="1091">
          <cell r="B1091" t="str">
            <v>8020040634</v>
          </cell>
        </row>
        <row r="1091">
          <cell r="W1091">
            <v>0</v>
          </cell>
        </row>
        <row r="1092">
          <cell r="B1092" t="str">
            <v>8030021230</v>
          </cell>
        </row>
        <row r="1092">
          <cell r="W1092">
            <v>400</v>
          </cell>
        </row>
        <row r="1093">
          <cell r="B1093" t="str">
            <v>8010071363</v>
          </cell>
        </row>
        <row r="1093">
          <cell r="W1093">
            <v>368</v>
          </cell>
        </row>
        <row r="1094">
          <cell r="B1094" t="str">
            <v>102512</v>
          </cell>
        </row>
        <row r="1094">
          <cell r="W1094">
            <v>0</v>
          </cell>
        </row>
        <row r="1095">
          <cell r="B1095" t="str">
            <v>GPR-WC01M21001</v>
          </cell>
        </row>
        <row r="1095">
          <cell r="W1095">
            <v>0</v>
          </cell>
        </row>
        <row r="1096">
          <cell r="B1096" t="str">
            <v>8020022623</v>
          </cell>
        </row>
        <row r="1096">
          <cell r="W1096">
            <v>235</v>
          </cell>
        </row>
        <row r="1097">
          <cell r="B1097" t="str">
            <v>102495</v>
          </cell>
        </row>
        <row r="1097">
          <cell r="W1097">
            <v>0</v>
          </cell>
        </row>
        <row r="1098">
          <cell r="B1098" t="str">
            <v>102476</v>
          </cell>
        </row>
        <row r="1098">
          <cell r="W1098">
            <v>-138</v>
          </cell>
        </row>
        <row r="1099">
          <cell r="B1099" t="str">
            <v>8010062274</v>
          </cell>
        </row>
        <row r="1099">
          <cell r="W1099">
            <v>0</v>
          </cell>
        </row>
        <row r="1100">
          <cell r="B1100" t="str">
            <v>84248910000003</v>
          </cell>
        </row>
        <row r="1100">
          <cell r="W1100">
            <v>-43</v>
          </cell>
        </row>
        <row r="1101">
          <cell r="B1101" t="str">
            <v>8010072807</v>
          </cell>
        </row>
        <row r="1101">
          <cell r="W1101">
            <v>45</v>
          </cell>
        </row>
        <row r="1102">
          <cell r="B1102" t="str">
            <v>8020022654</v>
          </cell>
        </row>
        <row r="1102">
          <cell r="W1102">
            <v>166</v>
          </cell>
        </row>
        <row r="1103">
          <cell r="B1103" t="str">
            <v>8010062268</v>
          </cell>
        </row>
        <row r="1103">
          <cell r="W1103">
            <v>51</v>
          </cell>
        </row>
        <row r="1104">
          <cell r="B1104" t="str">
            <v>8010062275</v>
          </cell>
        </row>
        <row r="1104">
          <cell r="W1104">
            <v>1</v>
          </cell>
        </row>
        <row r="1105">
          <cell r="B1105" t="str">
            <v>8020040706</v>
          </cell>
        </row>
        <row r="1105">
          <cell r="W1105">
            <v>0</v>
          </cell>
        </row>
        <row r="1106">
          <cell r="B1106" t="str">
            <v>8010062289</v>
          </cell>
        </row>
        <row r="1106">
          <cell r="W1106">
            <v>140</v>
          </cell>
        </row>
        <row r="1107">
          <cell r="B1107" t="str">
            <v>8010062292</v>
          </cell>
        </row>
        <row r="1107">
          <cell r="W1107">
            <v>10</v>
          </cell>
        </row>
        <row r="1108">
          <cell r="B1108" t="str">
            <v>8011021685</v>
          </cell>
        </row>
        <row r="1108">
          <cell r="W1108">
            <v>17</v>
          </cell>
        </row>
        <row r="1109">
          <cell r="B1109" t="str">
            <v>8010062271</v>
          </cell>
        </row>
        <row r="1109">
          <cell r="W1109">
            <v>27</v>
          </cell>
        </row>
        <row r="1110">
          <cell r="B1110" t="str">
            <v>8010062295</v>
          </cell>
        </row>
        <row r="1110">
          <cell r="W1110">
            <v>0</v>
          </cell>
        </row>
        <row r="1111">
          <cell r="B1111" t="str">
            <v>8010062269</v>
          </cell>
        </row>
        <row r="1111">
          <cell r="W1111">
            <v>290</v>
          </cell>
        </row>
        <row r="1112">
          <cell r="B1112" t="str">
            <v>8010062267</v>
          </cell>
        </row>
        <row r="1112">
          <cell r="W1112">
            <v>610</v>
          </cell>
        </row>
        <row r="1113">
          <cell r="B1113" t="str">
            <v>8020020205</v>
          </cell>
        </row>
        <row r="1113">
          <cell r="W1113">
            <v>241</v>
          </cell>
        </row>
        <row r="1114">
          <cell r="B1114" t="str">
            <v>GPR-EQ18D01008</v>
          </cell>
        </row>
        <row r="1114">
          <cell r="W1114">
            <v>0</v>
          </cell>
        </row>
        <row r="1115">
          <cell r="B1115" t="str">
            <v>GPR-EQ46S21002</v>
          </cell>
        </row>
        <row r="1115">
          <cell r="W1115">
            <v>0</v>
          </cell>
        </row>
        <row r="1116">
          <cell r="B1116" t="str">
            <v>69000030103168</v>
          </cell>
        </row>
        <row r="1116">
          <cell r="W1116">
            <v>0</v>
          </cell>
        </row>
        <row r="1117">
          <cell r="B1117" t="str">
            <v>69000030103162</v>
          </cell>
        </row>
        <row r="1117">
          <cell r="W1117">
            <v>0</v>
          </cell>
        </row>
        <row r="1118">
          <cell r="B1118" t="str">
            <v>8010030243</v>
          </cell>
        </row>
        <row r="1118">
          <cell r="W1118">
            <v>0</v>
          </cell>
        </row>
        <row r="1119">
          <cell r="B1119" t="str">
            <v>GPR-EL22A22003</v>
          </cell>
        </row>
        <row r="1119">
          <cell r="W1119">
            <v>0</v>
          </cell>
        </row>
        <row r="1120">
          <cell r="B1120" t="str">
            <v>VPR-AP03U02002</v>
          </cell>
        </row>
        <row r="1120">
          <cell r="W1120">
            <v>0</v>
          </cell>
        </row>
        <row r="1121">
          <cell r="B1121" t="str">
            <v>8010062290</v>
          </cell>
        </row>
        <row r="1121">
          <cell r="W1121">
            <v>96</v>
          </cell>
        </row>
        <row r="1122">
          <cell r="B1122" t="str">
            <v>8020020207</v>
          </cell>
        </row>
        <row r="1122">
          <cell r="W1122">
            <v>0</v>
          </cell>
        </row>
        <row r="1123">
          <cell r="B1123" t="str">
            <v>8020022121</v>
          </cell>
        </row>
        <row r="1123">
          <cell r="W1123">
            <v>467</v>
          </cell>
        </row>
        <row r="1124">
          <cell r="B1124" t="str">
            <v>8010062287</v>
          </cell>
        </row>
        <row r="1124">
          <cell r="W1124">
            <v>517</v>
          </cell>
        </row>
        <row r="1125">
          <cell r="B1125" t="str">
            <v>8010062270</v>
          </cell>
        </row>
        <row r="1125">
          <cell r="W1125">
            <v>158</v>
          </cell>
        </row>
        <row r="1126">
          <cell r="B1126" t="str">
            <v>VPR-PL03C01001</v>
          </cell>
        </row>
        <row r="1126">
          <cell r="W1126">
            <v>0</v>
          </cell>
        </row>
        <row r="1127">
          <cell r="B1127" t="str">
            <v>8020026144</v>
          </cell>
        </row>
        <row r="1127">
          <cell r="W1127">
            <v>107</v>
          </cell>
        </row>
        <row r="1128">
          <cell r="B1128" t="str">
            <v>B020007B01</v>
          </cell>
        </row>
        <row r="1128">
          <cell r="W1128">
            <v>1600</v>
          </cell>
        </row>
        <row r="1129">
          <cell r="B1129" t="str">
            <v>102497</v>
          </cell>
        </row>
        <row r="1129">
          <cell r="W1129">
            <v>0</v>
          </cell>
        </row>
        <row r="1130">
          <cell r="B1130" t="str">
            <v>8716800000720005</v>
          </cell>
        </row>
        <row r="1130">
          <cell r="W1130">
            <v>0</v>
          </cell>
        </row>
        <row r="1131">
          <cell r="B1131" t="str">
            <v>8010043578</v>
          </cell>
        </row>
        <row r="1131">
          <cell r="W1131">
            <v>0</v>
          </cell>
        </row>
        <row r="1132">
          <cell r="B1132" t="str">
            <v>102496</v>
          </cell>
        </row>
        <row r="1132">
          <cell r="W1132">
            <v>0</v>
          </cell>
        </row>
        <row r="1133">
          <cell r="B1133" t="str">
            <v>GPR-EQ18D01009</v>
          </cell>
        </row>
        <row r="1133">
          <cell r="W1133">
            <v>0</v>
          </cell>
        </row>
        <row r="1134">
          <cell r="B1134" t="str">
            <v>102492</v>
          </cell>
        </row>
        <row r="1134">
          <cell r="W1134">
            <v>0</v>
          </cell>
        </row>
        <row r="1135">
          <cell r="B1135" t="str">
            <v>8010072687</v>
          </cell>
        </row>
        <row r="1135">
          <cell r="W1135">
            <v>60</v>
          </cell>
        </row>
        <row r="1136">
          <cell r="B1136" t="str">
            <v>102499</v>
          </cell>
        </row>
        <row r="1136">
          <cell r="W1136">
            <v>-5</v>
          </cell>
        </row>
        <row r="1137">
          <cell r="B1137" t="str">
            <v>102494</v>
          </cell>
        </row>
        <row r="1137">
          <cell r="W1137">
            <v>0</v>
          </cell>
        </row>
        <row r="1138">
          <cell r="B1138" t="str">
            <v>8010040557</v>
          </cell>
        </row>
        <row r="1138">
          <cell r="W1138">
            <v>3</v>
          </cell>
        </row>
        <row r="1139">
          <cell r="B1139" t="str">
            <v>69000030103202</v>
          </cell>
        </row>
        <row r="1139">
          <cell r="W1139">
            <v>7</v>
          </cell>
        </row>
        <row r="1140">
          <cell r="B1140" t="str">
            <v>GPR-EQ46S21003</v>
          </cell>
        </row>
        <row r="1140">
          <cell r="W1140">
            <v>0</v>
          </cell>
        </row>
        <row r="1141">
          <cell r="B1141" t="str">
            <v>8010042687</v>
          </cell>
        </row>
        <row r="1141">
          <cell r="W1141">
            <v>0</v>
          </cell>
        </row>
        <row r="1142">
          <cell r="B1142" t="str">
            <v>69000030103199</v>
          </cell>
        </row>
        <row r="1142">
          <cell r="W1142">
            <v>0</v>
          </cell>
        </row>
        <row r="1143">
          <cell r="B1143" t="str">
            <v>102498</v>
          </cell>
        </row>
        <row r="1143">
          <cell r="W1143">
            <v>0</v>
          </cell>
        </row>
        <row r="1144">
          <cell r="B1144" t="str">
            <v>8011021686</v>
          </cell>
        </row>
        <row r="1144">
          <cell r="W1144">
            <v>0</v>
          </cell>
        </row>
        <row r="1145">
          <cell r="B1145" t="str">
            <v>GPR-PT02M02003</v>
          </cell>
        </row>
        <row r="1145">
          <cell r="W1145">
            <v>0</v>
          </cell>
        </row>
        <row r="1146">
          <cell r="B1146" t="str">
            <v>VPR-HD12M11001</v>
          </cell>
        </row>
        <row r="1146">
          <cell r="W1146">
            <v>0</v>
          </cell>
        </row>
        <row r="1147">
          <cell r="B1147" t="str">
            <v>8020040638</v>
          </cell>
        </row>
        <row r="1147">
          <cell r="W1147">
            <v>0</v>
          </cell>
        </row>
        <row r="1148">
          <cell r="B1148" t="str">
            <v>6900010080204</v>
          </cell>
        </row>
        <row r="1148">
          <cell r="W1148">
            <v>0</v>
          </cell>
        </row>
        <row r="1149">
          <cell r="B1149" t="str">
            <v>8010042250</v>
          </cell>
        </row>
        <row r="1149">
          <cell r="W1149">
            <v>0</v>
          </cell>
        </row>
        <row r="1150">
          <cell r="B1150" t="str">
            <v>VPR-SP22S21001</v>
          </cell>
        </row>
        <row r="1150">
          <cell r="W1150">
            <v>0</v>
          </cell>
        </row>
        <row r="1151">
          <cell r="B1151" t="str">
            <v>102429</v>
          </cell>
        </row>
        <row r="1151">
          <cell r="W1151">
            <v>5</v>
          </cell>
        </row>
        <row r="1152">
          <cell r="B1152" t="str">
            <v>102491</v>
          </cell>
        </row>
        <row r="1152">
          <cell r="W1152">
            <v>0</v>
          </cell>
        </row>
        <row r="1153">
          <cell r="B1153" t="str">
            <v>8010040581</v>
          </cell>
        </row>
        <row r="1153">
          <cell r="W1153">
            <v>-3</v>
          </cell>
        </row>
        <row r="1154">
          <cell r="B1154" t="str">
            <v>VPR-AP03U02003</v>
          </cell>
        </row>
        <row r="1154">
          <cell r="W1154">
            <v>0</v>
          </cell>
        </row>
        <row r="1155">
          <cell r="B1155" t="str">
            <v>102489</v>
          </cell>
        </row>
        <row r="1155">
          <cell r="W1155">
            <v>0</v>
          </cell>
        </row>
        <row r="1156">
          <cell r="B1156" t="str">
            <v>102490</v>
          </cell>
        </row>
        <row r="1156">
          <cell r="W1156">
            <v>0</v>
          </cell>
        </row>
        <row r="1157">
          <cell r="B1157" t="str">
            <v>GPR-PL02C01007</v>
          </cell>
        </row>
        <row r="1157">
          <cell r="W1157">
            <v>-0.0035</v>
          </cell>
        </row>
        <row r="1158">
          <cell r="B1158" t="str">
            <v>8030020221</v>
          </cell>
        </row>
        <row r="1158">
          <cell r="W1158">
            <v>338</v>
          </cell>
        </row>
        <row r="1159">
          <cell r="B1159" t="str">
            <v>8010024387</v>
          </cell>
        </row>
        <row r="1159">
          <cell r="W1159">
            <v>290</v>
          </cell>
        </row>
        <row r="1160">
          <cell r="B1160" t="str">
            <v>102384</v>
          </cell>
        </row>
        <row r="1160">
          <cell r="W1160">
            <v>2</v>
          </cell>
        </row>
        <row r="1161">
          <cell r="B1161" t="str">
            <v>GPR-EQ18D01010</v>
          </cell>
        </row>
        <row r="1161">
          <cell r="W1161">
            <v>0</v>
          </cell>
        </row>
        <row r="1162">
          <cell r="B1162" t="str">
            <v>GPR-EQ46S21004</v>
          </cell>
        </row>
        <row r="1162">
          <cell r="W1162">
            <v>0</v>
          </cell>
        </row>
        <row r="1163">
          <cell r="B1163" t="str">
            <v>8010071361</v>
          </cell>
        </row>
        <row r="1163">
          <cell r="W1163">
            <v>639</v>
          </cell>
        </row>
        <row r="1164">
          <cell r="B1164" t="str">
            <v>8010071403</v>
          </cell>
        </row>
        <row r="1164">
          <cell r="W1164">
            <v>3826</v>
          </cell>
        </row>
        <row r="1165">
          <cell r="B1165" t="str">
            <v>8010071401</v>
          </cell>
        </row>
        <row r="1165">
          <cell r="W1165">
            <v>4154</v>
          </cell>
        </row>
        <row r="1166">
          <cell r="B1166" t="str">
            <v>8010071457</v>
          </cell>
        </row>
        <row r="1166">
          <cell r="W1166">
            <v>225</v>
          </cell>
        </row>
        <row r="1167">
          <cell r="B1167" t="str">
            <v>8010071450</v>
          </cell>
        </row>
        <row r="1167">
          <cell r="W1167">
            <v>350</v>
          </cell>
        </row>
        <row r="1168">
          <cell r="B1168" t="str">
            <v>102502</v>
          </cell>
        </row>
        <row r="1168">
          <cell r="W1168">
            <v>0</v>
          </cell>
        </row>
        <row r="1169">
          <cell r="B1169" t="str">
            <v>102501</v>
          </cell>
        </row>
        <row r="1169">
          <cell r="W1169">
            <v>0</v>
          </cell>
        </row>
        <row r="1170">
          <cell r="B1170" t="str">
            <v>102513</v>
          </cell>
        </row>
        <row r="1170">
          <cell r="W1170">
            <v>0</v>
          </cell>
        </row>
        <row r="1171">
          <cell r="B1171" t="str">
            <v>8020026148</v>
          </cell>
        </row>
        <row r="1171">
          <cell r="W1171">
            <v>0</v>
          </cell>
        </row>
        <row r="1172">
          <cell r="B1172" t="str">
            <v>102409</v>
          </cell>
        </row>
        <row r="1172">
          <cell r="W1172">
            <v>0</v>
          </cell>
        </row>
        <row r="1173">
          <cell r="B1173" t="str">
            <v>8010071380</v>
          </cell>
        </row>
        <row r="1173">
          <cell r="W1173">
            <v>668</v>
          </cell>
        </row>
        <row r="1174">
          <cell r="B1174" t="str">
            <v>8010040174</v>
          </cell>
        </row>
        <row r="1174">
          <cell r="W1174">
            <v>0</v>
          </cell>
        </row>
        <row r="1175">
          <cell r="B1175" t="str">
            <v>102311</v>
          </cell>
        </row>
        <row r="1175">
          <cell r="W1175">
            <v>0</v>
          </cell>
        </row>
        <row r="1176">
          <cell r="B1176" t="str">
            <v>80516487</v>
          </cell>
        </row>
        <row r="1176">
          <cell r="W1176">
            <v>0</v>
          </cell>
        </row>
        <row r="1177">
          <cell r="B1177" t="str">
            <v>6900010080205</v>
          </cell>
        </row>
        <row r="1177">
          <cell r="W1177">
            <v>0</v>
          </cell>
        </row>
        <row r="1178">
          <cell r="B1178" t="str">
            <v>GPR-PN05M21001</v>
          </cell>
        </row>
        <row r="1178">
          <cell r="W1178">
            <v>0</v>
          </cell>
        </row>
        <row r="1179">
          <cell r="B1179" t="str">
            <v>8010071446</v>
          </cell>
        </row>
        <row r="1179">
          <cell r="W1179">
            <v>4848</v>
          </cell>
        </row>
        <row r="1180">
          <cell r="B1180" t="str">
            <v>8010071406</v>
          </cell>
        </row>
        <row r="1180">
          <cell r="W1180">
            <v>4509</v>
          </cell>
        </row>
        <row r="1181">
          <cell r="B1181" t="str">
            <v>GPR-EL22A22004</v>
          </cell>
        </row>
        <row r="1181">
          <cell r="W1181">
            <v>0</v>
          </cell>
        </row>
        <row r="1182">
          <cell r="B1182" t="str">
            <v>6900001014713</v>
          </cell>
        </row>
        <row r="1182">
          <cell r="W1182">
            <v>-289</v>
          </cell>
        </row>
        <row r="1183">
          <cell r="B1183" t="str">
            <v>80516358</v>
          </cell>
        </row>
        <row r="1183">
          <cell r="W1183">
            <v>0</v>
          </cell>
        </row>
        <row r="1184">
          <cell r="B1184" t="str">
            <v>GPR-OT02R02006</v>
          </cell>
        </row>
        <row r="1184">
          <cell r="W1184">
            <v>0</v>
          </cell>
        </row>
        <row r="1185">
          <cell r="B1185" t="str">
            <v>PVC72855</v>
          </cell>
        </row>
        <row r="1185">
          <cell r="W1185">
            <v>3</v>
          </cell>
        </row>
        <row r="1186">
          <cell r="B1186" t="str">
            <v>8010024386</v>
          </cell>
        </row>
        <row r="1186">
          <cell r="W1186">
            <v>147</v>
          </cell>
        </row>
        <row r="1187">
          <cell r="B1187" t="str">
            <v>GPR-PT02M13006</v>
          </cell>
        </row>
        <row r="1187">
          <cell r="W1187">
            <v>0</v>
          </cell>
        </row>
        <row r="1188">
          <cell r="B1188" t="str">
            <v>8010072487</v>
          </cell>
        </row>
        <row r="1188">
          <cell r="W1188">
            <v>525</v>
          </cell>
        </row>
        <row r="1189">
          <cell r="B1189" t="str">
            <v>PVC71347</v>
          </cell>
        </row>
        <row r="1189">
          <cell r="W1189">
            <v>50</v>
          </cell>
        </row>
        <row r="1190">
          <cell r="B1190" t="str">
            <v>PVC71348</v>
          </cell>
        </row>
        <row r="1190">
          <cell r="W1190">
            <v>39</v>
          </cell>
        </row>
        <row r="1191">
          <cell r="B1191" t="str">
            <v>8010071404</v>
          </cell>
        </row>
        <row r="1191">
          <cell r="W1191">
            <v>531</v>
          </cell>
        </row>
        <row r="1192">
          <cell r="B1192" t="str">
            <v>8010060784</v>
          </cell>
        </row>
        <row r="1192">
          <cell r="W1192">
            <v>0</v>
          </cell>
        </row>
        <row r="1193">
          <cell r="B1193" t="str">
            <v>8010060786</v>
          </cell>
        </row>
        <row r="1193">
          <cell r="W1193">
            <v>0</v>
          </cell>
        </row>
        <row r="1194">
          <cell r="B1194" t="str">
            <v>8010071416</v>
          </cell>
        </row>
        <row r="1194">
          <cell r="W1194">
            <v>324</v>
          </cell>
        </row>
        <row r="1195">
          <cell r="B1195" t="str">
            <v>PVC71349</v>
          </cell>
        </row>
        <row r="1195">
          <cell r="W1195">
            <v>26</v>
          </cell>
        </row>
        <row r="1196">
          <cell r="B1196" t="str">
            <v>8020026147</v>
          </cell>
        </row>
        <row r="1196">
          <cell r="W1196">
            <v>41</v>
          </cell>
        </row>
        <row r="1197">
          <cell r="B1197" t="str">
            <v>8010071335</v>
          </cell>
        </row>
        <row r="1197">
          <cell r="W1197">
            <v>48</v>
          </cell>
        </row>
        <row r="1198">
          <cell r="B1198" t="str">
            <v>80576871</v>
          </cell>
        </row>
        <row r="1198">
          <cell r="W1198">
            <v>1</v>
          </cell>
        </row>
        <row r="1199">
          <cell r="B1199" t="str">
            <v>8010071468</v>
          </cell>
        </row>
        <row r="1199">
          <cell r="W1199">
            <v>240</v>
          </cell>
        </row>
        <row r="1200">
          <cell r="B1200" t="str">
            <v>8020026064</v>
          </cell>
        </row>
        <row r="1200">
          <cell r="W1200">
            <v>5</v>
          </cell>
        </row>
        <row r="1201">
          <cell r="B1201" t="str">
            <v>8010024448</v>
          </cell>
        </row>
        <row r="1201">
          <cell r="W1201">
            <v>165</v>
          </cell>
        </row>
        <row r="1202">
          <cell r="B1202" t="str">
            <v>8010024327</v>
          </cell>
        </row>
        <row r="1202">
          <cell r="W1202">
            <v>131</v>
          </cell>
        </row>
        <row r="1203">
          <cell r="B1203" t="str">
            <v>8010024552</v>
          </cell>
        </row>
        <row r="1203">
          <cell r="W1203">
            <v>331</v>
          </cell>
        </row>
        <row r="1204">
          <cell r="B1204" t="str">
            <v>8010024388</v>
          </cell>
        </row>
        <row r="1204">
          <cell r="W1204">
            <v>197</v>
          </cell>
        </row>
        <row r="1205">
          <cell r="B1205" t="str">
            <v>8010024948</v>
          </cell>
        </row>
        <row r="1205">
          <cell r="W1205">
            <v>136</v>
          </cell>
        </row>
        <row r="1206">
          <cell r="B1206" t="str">
            <v>102590</v>
          </cell>
        </row>
        <row r="1206">
          <cell r="W1206">
            <v>0</v>
          </cell>
        </row>
        <row r="1207">
          <cell r="B1207" t="str">
            <v>CP-UPST-001</v>
          </cell>
        </row>
        <row r="1207">
          <cell r="W1207">
            <v>2367</v>
          </cell>
        </row>
        <row r="1208">
          <cell r="B1208" t="str">
            <v>CP-UPES-001</v>
          </cell>
        </row>
        <row r="1208">
          <cell r="W1208">
            <v>4903</v>
          </cell>
        </row>
        <row r="1209">
          <cell r="B1209" t="str">
            <v>CP-UPNT-001</v>
          </cell>
        </row>
        <row r="1209">
          <cell r="W1209">
            <v>1344</v>
          </cell>
        </row>
        <row r="1210">
          <cell r="B1210" t="str">
            <v>CP-UPMH-001</v>
          </cell>
        </row>
        <row r="1210">
          <cell r="W1210">
            <v>327</v>
          </cell>
        </row>
        <row r="1211">
          <cell r="B1211" t="str">
            <v>8020035097</v>
          </cell>
        </row>
        <row r="1211">
          <cell r="W1211">
            <v>-8</v>
          </cell>
        </row>
        <row r="1212">
          <cell r="B1212" t="str">
            <v>8010072359</v>
          </cell>
        </row>
        <row r="1212">
          <cell r="W1212">
            <v>27</v>
          </cell>
        </row>
        <row r="1213">
          <cell r="B1213" t="str">
            <v>8010072306</v>
          </cell>
        </row>
        <row r="1213">
          <cell r="W1213">
            <v>215</v>
          </cell>
        </row>
        <row r="1214">
          <cell r="B1214" t="str">
            <v>8010072304</v>
          </cell>
        </row>
        <row r="1214">
          <cell r="W1214">
            <v>91</v>
          </cell>
        </row>
        <row r="1215">
          <cell r="B1215" t="str">
            <v>8010071616</v>
          </cell>
        </row>
        <row r="1215">
          <cell r="W1215">
            <v>131</v>
          </cell>
        </row>
        <row r="1216">
          <cell r="B1216" t="str">
            <v>8010071385</v>
          </cell>
        </row>
        <row r="1216">
          <cell r="W1216">
            <v>96</v>
          </cell>
        </row>
        <row r="1217">
          <cell r="B1217" t="str">
            <v>8010070748</v>
          </cell>
        </row>
        <row r="1217">
          <cell r="W1217">
            <v>130</v>
          </cell>
        </row>
        <row r="1218">
          <cell r="B1218" t="str">
            <v>8010071382</v>
          </cell>
        </row>
        <row r="1218">
          <cell r="W1218">
            <v>283</v>
          </cell>
        </row>
        <row r="1219">
          <cell r="B1219" t="str">
            <v>8010071370</v>
          </cell>
        </row>
        <row r="1219">
          <cell r="W1219">
            <v>157</v>
          </cell>
        </row>
        <row r="1220">
          <cell r="B1220" t="str">
            <v>8010070753</v>
          </cell>
        </row>
        <row r="1220">
          <cell r="W1220">
            <v>245</v>
          </cell>
        </row>
        <row r="1221">
          <cell r="B1221" t="str">
            <v>8010071344</v>
          </cell>
        </row>
        <row r="1221">
          <cell r="W1221">
            <v>65</v>
          </cell>
        </row>
        <row r="1222">
          <cell r="B1222" t="str">
            <v>8020026127</v>
          </cell>
        </row>
        <row r="1222">
          <cell r="W1222">
            <v>31</v>
          </cell>
        </row>
        <row r="1223">
          <cell r="B1223" t="str">
            <v>8020022638</v>
          </cell>
        </row>
        <row r="1223">
          <cell r="W1223">
            <v>97</v>
          </cell>
        </row>
        <row r="1224">
          <cell r="B1224" t="str">
            <v>8011021684</v>
          </cell>
        </row>
        <row r="1224">
          <cell r="W1224">
            <v>20</v>
          </cell>
        </row>
        <row r="1225">
          <cell r="B1225" t="str">
            <v>102591</v>
          </cell>
        </row>
        <row r="1225">
          <cell r="W1225">
            <v>0</v>
          </cell>
        </row>
        <row r="1226">
          <cell r="B1226" t="str">
            <v>8011021615</v>
          </cell>
        </row>
        <row r="1226">
          <cell r="W1226">
            <v>51</v>
          </cell>
        </row>
        <row r="1227">
          <cell r="B1227" t="str">
            <v>8011021689</v>
          </cell>
        </row>
        <row r="1227">
          <cell r="W1227">
            <v>36</v>
          </cell>
        </row>
        <row r="1228">
          <cell r="B1228" t="str">
            <v>8011021692</v>
          </cell>
        </row>
        <row r="1228">
          <cell r="W1228">
            <v>24</v>
          </cell>
        </row>
        <row r="1229">
          <cell r="B1229" t="str">
            <v>8011021693</v>
          </cell>
        </row>
        <row r="1229">
          <cell r="W1229">
            <v>22</v>
          </cell>
        </row>
        <row r="1230">
          <cell r="B1230" t="str">
            <v>8010024810</v>
          </cell>
        </row>
        <row r="1230">
          <cell r="W1230">
            <v>38</v>
          </cell>
        </row>
        <row r="1231">
          <cell r="B1231" t="str">
            <v>8010070747</v>
          </cell>
        </row>
        <row r="1231">
          <cell r="W1231">
            <v>365</v>
          </cell>
        </row>
        <row r="1232">
          <cell r="B1232" t="str">
            <v>8010024550</v>
          </cell>
        </row>
        <row r="1232">
          <cell r="W1232">
            <v>818</v>
          </cell>
        </row>
        <row r="1233">
          <cell r="B1233" t="str">
            <v>8020020756</v>
          </cell>
        </row>
        <row r="1233">
          <cell r="W1233">
            <v>0</v>
          </cell>
        </row>
        <row r="1234">
          <cell r="B1234" t="str">
            <v>8020020757</v>
          </cell>
        </row>
        <row r="1234">
          <cell r="W1234">
            <v>218</v>
          </cell>
        </row>
        <row r="1235">
          <cell r="B1235" t="str">
            <v>8010070966</v>
          </cell>
        </row>
        <row r="1235">
          <cell r="W1235">
            <v>4</v>
          </cell>
        </row>
        <row r="1236">
          <cell r="B1236" t="str">
            <v>8030020258</v>
          </cell>
        </row>
        <row r="1236">
          <cell r="W1236">
            <v>6180</v>
          </cell>
        </row>
        <row r="1237">
          <cell r="B1237" t="str">
            <v>8030020173</v>
          </cell>
        </row>
        <row r="1237">
          <cell r="W1237">
            <v>388</v>
          </cell>
        </row>
        <row r="1238">
          <cell r="B1238" t="str">
            <v>8030020142</v>
          </cell>
        </row>
        <row r="1238">
          <cell r="W1238">
            <v>20068</v>
          </cell>
        </row>
        <row r="1239">
          <cell r="B1239" t="str">
            <v>8030020361</v>
          </cell>
        </row>
        <row r="1239">
          <cell r="W1239">
            <v>1</v>
          </cell>
        </row>
        <row r="1240">
          <cell r="B1240" t="str">
            <v>8030020364</v>
          </cell>
        </row>
        <row r="1240">
          <cell r="W1240">
            <v>37</v>
          </cell>
        </row>
        <row r="1241">
          <cell r="B1241" t="str">
            <v>8020020430</v>
          </cell>
        </row>
        <row r="1241">
          <cell r="W1241">
            <v>-22</v>
          </cell>
        </row>
        <row r="1242">
          <cell r="B1242" t="str">
            <v>8020020343</v>
          </cell>
        </row>
        <row r="1242">
          <cell r="W1242">
            <v>186</v>
          </cell>
        </row>
        <row r="1243">
          <cell r="B1243" t="str">
            <v>8020022124</v>
          </cell>
        </row>
        <row r="1243">
          <cell r="W1243">
            <v>144</v>
          </cell>
        </row>
        <row r="1244">
          <cell r="B1244" t="str">
            <v>8020020266</v>
          </cell>
        </row>
        <row r="1244">
          <cell r="W1244">
            <v>595</v>
          </cell>
        </row>
        <row r="1245">
          <cell r="B1245" t="str">
            <v>8020021425</v>
          </cell>
        </row>
        <row r="1245">
          <cell r="W1245">
            <v>964</v>
          </cell>
        </row>
        <row r="1246">
          <cell r="B1246" t="str">
            <v>8020020349</v>
          </cell>
        </row>
        <row r="1246">
          <cell r="W1246">
            <v>373</v>
          </cell>
        </row>
        <row r="1247">
          <cell r="B1247" t="str">
            <v>8030020192</v>
          </cell>
        </row>
        <row r="1247">
          <cell r="W1247">
            <v>21662</v>
          </cell>
        </row>
        <row r="1248">
          <cell r="B1248" t="str">
            <v>8030020248</v>
          </cell>
        </row>
        <row r="1248">
          <cell r="W1248">
            <v>702</v>
          </cell>
        </row>
        <row r="1249">
          <cell r="B1249" t="str">
            <v>8030020288</v>
          </cell>
        </row>
        <row r="1249">
          <cell r="W1249">
            <v>9697</v>
          </cell>
        </row>
        <row r="1250">
          <cell r="B1250" t="str">
            <v>8030021111</v>
          </cell>
        </row>
        <row r="1250">
          <cell r="W1250">
            <v>6300</v>
          </cell>
        </row>
        <row r="1251">
          <cell r="B1251" t="str">
            <v>8010071447</v>
          </cell>
        </row>
        <row r="1251">
          <cell r="W1251">
            <v>995</v>
          </cell>
        </row>
        <row r="1252">
          <cell r="B1252" t="str">
            <v>8010071445</v>
          </cell>
        </row>
        <row r="1252">
          <cell r="W1252">
            <v>3835</v>
          </cell>
        </row>
        <row r="1253">
          <cell r="B1253" t="str">
            <v>8020022784</v>
          </cell>
        </row>
        <row r="1253">
          <cell r="W1253">
            <v>287</v>
          </cell>
        </row>
        <row r="1254">
          <cell r="B1254" t="str">
            <v>CP-DTAL-001</v>
          </cell>
        </row>
        <row r="1254">
          <cell r="W1254">
            <v>6300</v>
          </cell>
        </row>
        <row r="1255">
          <cell r="B1255" t="str">
            <v>8020022744</v>
          </cell>
        </row>
        <row r="1255">
          <cell r="W1255">
            <v>20</v>
          </cell>
        </row>
        <row r="1256">
          <cell r="B1256" t="str">
            <v>8020022757</v>
          </cell>
        </row>
        <row r="1256">
          <cell r="W1256">
            <v>250</v>
          </cell>
        </row>
        <row r="1257">
          <cell r="B1257" t="str">
            <v>8020022758</v>
          </cell>
        </row>
        <row r="1257">
          <cell r="W1257">
            <v>84</v>
          </cell>
        </row>
        <row r="1258">
          <cell r="B1258" t="str">
            <v>8020022763</v>
          </cell>
        </row>
        <row r="1258">
          <cell r="W1258">
            <v>60</v>
          </cell>
        </row>
        <row r="1259">
          <cell r="B1259" t="str">
            <v>8020022669</v>
          </cell>
        </row>
        <row r="1259">
          <cell r="W1259">
            <v>566</v>
          </cell>
        </row>
        <row r="1260">
          <cell r="B1260" t="str">
            <v>8020022665</v>
          </cell>
        </row>
        <row r="1260">
          <cell r="W1260">
            <v>74</v>
          </cell>
        </row>
        <row r="1261">
          <cell r="B1261" t="str">
            <v>8020022785</v>
          </cell>
        </row>
        <row r="1261">
          <cell r="W1261">
            <v>38</v>
          </cell>
        </row>
        <row r="1262">
          <cell r="B1262" t="str">
            <v>8020022789</v>
          </cell>
        </row>
        <row r="1262">
          <cell r="W1262">
            <v>47</v>
          </cell>
        </row>
        <row r="1263">
          <cell r="B1263" t="str">
            <v>8020022630</v>
          </cell>
        </row>
        <row r="1263">
          <cell r="W1263">
            <v>40</v>
          </cell>
        </row>
        <row r="1264">
          <cell r="B1264" t="str">
            <v>8020022648</v>
          </cell>
        </row>
        <row r="1264">
          <cell r="W1264">
            <v>110</v>
          </cell>
        </row>
        <row r="1265">
          <cell r="B1265" t="str">
            <v>8020022821</v>
          </cell>
        </row>
        <row r="1265">
          <cell r="W1265">
            <v>71</v>
          </cell>
        </row>
        <row r="1266">
          <cell r="B1266" t="str">
            <v>8020022662</v>
          </cell>
        </row>
        <row r="1266">
          <cell r="W1266">
            <v>217</v>
          </cell>
        </row>
        <row r="1267">
          <cell r="B1267" t="str">
            <v>8020022624</v>
          </cell>
        </row>
        <row r="1267">
          <cell r="W1267">
            <v>203</v>
          </cell>
        </row>
        <row r="1268">
          <cell r="B1268" t="str">
            <v>8020022649</v>
          </cell>
        </row>
        <row r="1268">
          <cell r="W1268">
            <v>40</v>
          </cell>
        </row>
        <row r="1269">
          <cell r="B1269" t="str">
            <v>8020022823</v>
          </cell>
        </row>
        <row r="1269">
          <cell r="W1269">
            <v>199</v>
          </cell>
        </row>
        <row r="1270">
          <cell r="B1270" t="str">
            <v>8020022940</v>
          </cell>
        </row>
        <row r="1270">
          <cell r="W1270">
            <v>51</v>
          </cell>
        </row>
        <row r="1271">
          <cell r="B1271" t="str">
            <v>8010071341</v>
          </cell>
        </row>
        <row r="1271">
          <cell r="W1271">
            <v>134</v>
          </cell>
        </row>
        <row r="1272">
          <cell r="B1272" t="str">
            <v>8010070750</v>
          </cell>
        </row>
        <row r="1272">
          <cell r="W1272">
            <v>393</v>
          </cell>
        </row>
        <row r="1273">
          <cell r="B1273" t="str">
            <v>8010071336</v>
          </cell>
        </row>
        <row r="1273">
          <cell r="W1273">
            <v>66</v>
          </cell>
        </row>
        <row r="1274">
          <cell r="B1274" t="str">
            <v>8010025487</v>
          </cell>
        </row>
        <row r="1274">
          <cell r="W1274">
            <v>20</v>
          </cell>
        </row>
        <row r="1275">
          <cell r="B1275" t="str">
            <v>8010024877</v>
          </cell>
        </row>
        <row r="1275">
          <cell r="W1275">
            <v>2443</v>
          </cell>
        </row>
        <row r="1276">
          <cell r="B1276" t="str">
            <v>8010024812</v>
          </cell>
        </row>
        <row r="1276">
          <cell r="W1276">
            <v>286</v>
          </cell>
        </row>
        <row r="1277">
          <cell r="B1277" t="str">
            <v>8010024811</v>
          </cell>
        </row>
        <row r="1277">
          <cell r="W1277">
            <v>369</v>
          </cell>
        </row>
        <row r="1278">
          <cell r="B1278" t="str">
            <v>8010024318</v>
          </cell>
        </row>
        <row r="1278">
          <cell r="W1278">
            <v>307</v>
          </cell>
        </row>
        <row r="1279">
          <cell r="B1279" t="str">
            <v>8010024803</v>
          </cell>
        </row>
        <row r="1279">
          <cell r="W1279">
            <v>27</v>
          </cell>
        </row>
        <row r="1280">
          <cell r="B1280" t="str">
            <v>8010024348</v>
          </cell>
        </row>
        <row r="1280">
          <cell r="W1280">
            <v>450</v>
          </cell>
        </row>
        <row r="1281">
          <cell r="B1281" t="str">
            <v>8010024551</v>
          </cell>
        </row>
        <row r="1281">
          <cell r="W1281">
            <v>3670</v>
          </cell>
        </row>
        <row r="1282">
          <cell r="B1282" t="str">
            <v>8010024447</v>
          </cell>
        </row>
        <row r="1282">
          <cell r="W1282">
            <v>43</v>
          </cell>
        </row>
        <row r="1283">
          <cell r="B1283" t="str">
            <v>8010024196</v>
          </cell>
        </row>
        <row r="1283">
          <cell r="W1283">
            <v>195</v>
          </cell>
        </row>
        <row r="1284">
          <cell r="B1284" t="str">
            <v>8010024416</v>
          </cell>
        </row>
        <row r="1284">
          <cell r="W1284">
            <v>200</v>
          </cell>
        </row>
        <row r="1285">
          <cell r="B1285" t="str">
            <v>8010024415</v>
          </cell>
        </row>
        <row r="1285">
          <cell r="W1285">
            <v>90</v>
          </cell>
        </row>
        <row r="1286">
          <cell r="B1286" t="str">
            <v>8010024362</v>
          </cell>
        </row>
        <row r="1286">
          <cell r="W1286">
            <v>47</v>
          </cell>
        </row>
        <row r="1287">
          <cell r="B1287" t="str">
            <v>8010024353</v>
          </cell>
        </row>
        <row r="1287">
          <cell r="W1287">
            <v>98</v>
          </cell>
        </row>
        <row r="1288">
          <cell r="B1288" t="str">
            <v>GPR-SP26M02007</v>
          </cell>
        </row>
        <row r="1288">
          <cell r="W1288">
            <v>0</v>
          </cell>
        </row>
        <row r="1289">
          <cell r="B1289" t="str">
            <v>102412</v>
          </cell>
        </row>
        <row r="1289">
          <cell r="W1289">
            <v>0</v>
          </cell>
        </row>
        <row r="1290">
          <cell r="B1290" t="str">
            <v>8010062288</v>
          </cell>
        </row>
        <row r="1290">
          <cell r="W1290">
            <v>586</v>
          </cell>
        </row>
        <row r="1291">
          <cell r="B1291" t="str">
            <v>8010071343</v>
          </cell>
        </row>
        <row r="1291">
          <cell r="W1291">
            <v>238</v>
          </cell>
        </row>
        <row r="1292">
          <cell r="B1292" t="str">
            <v>01520000</v>
          </cell>
        </row>
        <row r="1292">
          <cell r="W1292">
            <v>0</v>
          </cell>
        </row>
        <row r="1293">
          <cell r="B1293" t="str">
            <v>8010062266</v>
          </cell>
        </row>
        <row r="1293">
          <cell r="W1293">
            <v>2184</v>
          </cell>
        </row>
        <row r="1294">
          <cell r="B1294" t="str">
            <v>8010013701</v>
          </cell>
        </row>
        <row r="1294">
          <cell r="W1294">
            <v>108</v>
          </cell>
        </row>
        <row r="1295">
          <cell r="B1295" t="str">
            <v>80516432</v>
          </cell>
        </row>
        <row r="1295">
          <cell r="W1295">
            <v>0</v>
          </cell>
        </row>
        <row r="1296">
          <cell r="B1296" t="str">
            <v>CP-MLMT-3.6MMC</v>
          </cell>
        </row>
        <row r="1296">
          <cell r="W1296">
            <v>2698</v>
          </cell>
        </row>
        <row r="1297">
          <cell r="B1297" t="str">
            <v>CP-MLVT-0.6MMC</v>
          </cell>
        </row>
        <row r="1297">
          <cell r="W1297">
            <v>2450</v>
          </cell>
        </row>
        <row r="1298">
          <cell r="B1298" t="str">
            <v>80090919</v>
          </cell>
        </row>
        <row r="1298">
          <cell r="W1298">
            <v>20</v>
          </cell>
        </row>
        <row r="1299">
          <cell r="B1299" t="str">
            <v>102555</v>
          </cell>
        </row>
        <row r="1299">
          <cell r="W1299">
            <v>0</v>
          </cell>
        </row>
        <row r="1300">
          <cell r="B1300" t="str">
            <v>CP-MLMB-MC1200-02</v>
          </cell>
        </row>
        <row r="1300">
          <cell r="W1300">
            <v>0</v>
          </cell>
        </row>
        <row r="1301">
          <cell r="B1301" t="str">
            <v>8030020174</v>
          </cell>
        </row>
        <row r="1301">
          <cell r="W1301">
            <v>0</v>
          </cell>
        </row>
        <row r="1302">
          <cell r="B1302" t="str">
            <v>8030020172</v>
          </cell>
        </row>
        <row r="1302">
          <cell r="W1302">
            <v>537</v>
          </cell>
        </row>
        <row r="1303">
          <cell r="B1303" t="str">
            <v>8030020053</v>
          </cell>
        </row>
        <row r="1303">
          <cell r="W1303">
            <v>636</v>
          </cell>
        </row>
        <row r="1304">
          <cell r="B1304" t="str">
            <v>8030020071</v>
          </cell>
        </row>
        <row r="1304">
          <cell r="W1304">
            <v>0</v>
          </cell>
        </row>
        <row r="1305">
          <cell r="B1305" t="str">
            <v>8030020171</v>
          </cell>
        </row>
        <row r="1305">
          <cell r="W1305">
            <v>1768</v>
          </cell>
        </row>
        <row r="1306">
          <cell r="B1306" t="str">
            <v>8030020128</v>
          </cell>
        </row>
        <row r="1306">
          <cell r="W1306">
            <v>9873</v>
          </cell>
        </row>
        <row r="1307">
          <cell r="B1307" t="str">
            <v>8030020127</v>
          </cell>
        </row>
        <row r="1307">
          <cell r="W1307">
            <v>20472</v>
          </cell>
        </row>
        <row r="1308">
          <cell r="B1308" t="str">
            <v>8030020129</v>
          </cell>
        </row>
        <row r="1308">
          <cell r="W1308">
            <v>1773</v>
          </cell>
        </row>
        <row r="1309">
          <cell r="B1309" t="str">
            <v>8030021231</v>
          </cell>
        </row>
        <row r="1309">
          <cell r="W1309">
            <v>146</v>
          </cell>
        </row>
        <row r="1310">
          <cell r="B1310" t="str">
            <v>8030021212</v>
          </cell>
        </row>
        <row r="1310">
          <cell r="W1310">
            <v>0</v>
          </cell>
        </row>
        <row r="1311">
          <cell r="B1311" t="str">
            <v>8030020594</v>
          </cell>
        </row>
        <row r="1311">
          <cell r="W1311">
            <v>17354</v>
          </cell>
        </row>
        <row r="1312">
          <cell r="B1312" t="str">
            <v>8030020595</v>
          </cell>
        </row>
        <row r="1312">
          <cell r="W1312">
            <v>30046</v>
          </cell>
        </row>
        <row r="1313">
          <cell r="B1313" t="str">
            <v>8030020205</v>
          </cell>
        </row>
        <row r="1313">
          <cell r="W1313">
            <v>36</v>
          </cell>
        </row>
        <row r="1314">
          <cell r="B1314" t="str">
            <v>8030020203</v>
          </cell>
        </row>
        <row r="1314">
          <cell r="W1314">
            <v>230</v>
          </cell>
        </row>
        <row r="1315">
          <cell r="B1315" t="str">
            <v>8030020063</v>
          </cell>
        </row>
        <row r="1315">
          <cell r="W1315">
            <v>464</v>
          </cell>
        </row>
        <row r="1316">
          <cell r="B1316" t="str">
            <v>8030020047</v>
          </cell>
        </row>
        <row r="1316">
          <cell r="W1316">
            <v>1038</v>
          </cell>
        </row>
        <row r="1317">
          <cell r="B1317" t="str">
            <v>8030020208</v>
          </cell>
        </row>
        <row r="1317">
          <cell r="W1317">
            <v>568</v>
          </cell>
        </row>
        <row r="1318">
          <cell r="B1318" t="str">
            <v>8030020057</v>
          </cell>
        </row>
        <row r="1318">
          <cell r="W1318">
            <v>148</v>
          </cell>
        </row>
        <row r="1319">
          <cell r="B1319" t="str">
            <v>8030020068</v>
          </cell>
        </row>
        <row r="1319">
          <cell r="W1319">
            <v>0</v>
          </cell>
        </row>
        <row r="1320">
          <cell r="B1320" t="str">
            <v>8030020059</v>
          </cell>
        </row>
        <row r="1320">
          <cell r="W1320">
            <v>0</v>
          </cell>
        </row>
        <row r="1321">
          <cell r="B1321" t="str">
            <v>8030020209</v>
          </cell>
        </row>
        <row r="1321">
          <cell r="W1321">
            <v>353</v>
          </cell>
        </row>
        <row r="1322">
          <cell r="B1322" t="str">
            <v>8030020210</v>
          </cell>
        </row>
        <row r="1322">
          <cell r="W1322">
            <v>0</v>
          </cell>
        </row>
        <row r="1323">
          <cell r="B1323" t="str">
            <v>8030020291</v>
          </cell>
        </row>
        <row r="1323">
          <cell r="W1323">
            <v>8</v>
          </cell>
        </row>
        <row r="1324">
          <cell r="B1324" t="str">
            <v>8030020065</v>
          </cell>
        </row>
        <row r="1324">
          <cell r="W1324">
            <v>190</v>
          </cell>
        </row>
        <row r="1325">
          <cell r="B1325" t="str">
            <v>8020020639</v>
          </cell>
        </row>
        <row r="1325">
          <cell r="W1325">
            <v>329</v>
          </cell>
        </row>
        <row r="1326">
          <cell r="B1326" t="str">
            <v>8020020223</v>
          </cell>
        </row>
        <row r="1326">
          <cell r="W1326">
            <v>14</v>
          </cell>
        </row>
        <row r="1327">
          <cell r="B1327" t="str">
            <v>8010030227</v>
          </cell>
        </row>
        <row r="1327">
          <cell r="W1327">
            <v>0</v>
          </cell>
        </row>
        <row r="1328">
          <cell r="B1328" t="str">
            <v>8010030430</v>
          </cell>
        </row>
        <row r="1328">
          <cell r="W1328">
            <v>0</v>
          </cell>
        </row>
        <row r="1329">
          <cell r="B1329" t="str">
            <v>8020020186</v>
          </cell>
        </row>
        <row r="1329">
          <cell r="W1329">
            <v>480</v>
          </cell>
        </row>
        <row r="1330">
          <cell r="B1330" t="str">
            <v>8020020240</v>
          </cell>
        </row>
        <row r="1330">
          <cell r="W1330">
            <v>0</v>
          </cell>
        </row>
        <row r="1331">
          <cell r="B1331" t="str">
            <v>8020020166</v>
          </cell>
        </row>
        <row r="1331">
          <cell r="W1331">
            <v>2</v>
          </cell>
        </row>
        <row r="1332">
          <cell r="B1332" t="str">
            <v>8020020405</v>
          </cell>
        </row>
        <row r="1332">
          <cell r="W1332">
            <v>1235</v>
          </cell>
        </row>
        <row r="1333">
          <cell r="B1333" t="str">
            <v>8020020283</v>
          </cell>
        </row>
        <row r="1333">
          <cell r="W1333">
            <v>45</v>
          </cell>
        </row>
        <row r="1334">
          <cell r="B1334" t="str">
            <v>8020020676</v>
          </cell>
        </row>
        <row r="1334">
          <cell r="W1334">
            <v>0</v>
          </cell>
        </row>
        <row r="1335">
          <cell r="B1335" t="str">
            <v>8010030242</v>
          </cell>
        </row>
        <row r="1335">
          <cell r="W1335">
            <v>0</v>
          </cell>
        </row>
        <row r="1336">
          <cell r="B1336" t="str">
            <v>8010030440</v>
          </cell>
        </row>
        <row r="1336">
          <cell r="W1336">
            <v>0</v>
          </cell>
        </row>
        <row r="1337">
          <cell r="B1337" t="str">
            <v>8020020432</v>
          </cell>
        </row>
        <row r="1337">
          <cell r="W1337">
            <v>0</v>
          </cell>
        </row>
        <row r="1338">
          <cell r="B1338" t="str">
            <v>8020020730</v>
          </cell>
        </row>
        <row r="1338">
          <cell r="W1338">
            <v>0</v>
          </cell>
        </row>
        <row r="1339">
          <cell r="B1339" t="str">
            <v>8020020049</v>
          </cell>
        </row>
        <row r="1339">
          <cell r="W1339">
            <v>0</v>
          </cell>
        </row>
        <row r="1340">
          <cell r="B1340" t="str">
            <v>8020020672</v>
          </cell>
        </row>
        <row r="1340">
          <cell r="W1340">
            <v>0</v>
          </cell>
        </row>
        <row r="1341">
          <cell r="B1341" t="str">
            <v>8020020375</v>
          </cell>
        </row>
        <row r="1341">
          <cell r="W1341">
            <v>0</v>
          </cell>
        </row>
        <row r="1342">
          <cell r="B1342" t="str">
            <v>8010040830</v>
          </cell>
        </row>
        <row r="1342">
          <cell r="W1342">
            <v>0</v>
          </cell>
        </row>
        <row r="1343">
          <cell r="B1343" t="str">
            <v>8010030466</v>
          </cell>
        </row>
        <row r="1343">
          <cell r="W1343">
            <v>0</v>
          </cell>
        </row>
        <row r="1344">
          <cell r="B1344" t="str">
            <v>8020020393</v>
          </cell>
        </row>
        <row r="1344">
          <cell r="W1344">
            <v>0</v>
          </cell>
        </row>
        <row r="1345">
          <cell r="B1345" t="str">
            <v>8010030609</v>
          </cell>
        </row>
        <row r="1345">
          <cell r="W1345">
            <v>0</v>
          </cell>
        </row>
        <row r="1346">
          <cell r="B1346" t="str">
            <v>8010030485</v>
          </cell>
        </row>
        <row r="1346">
          <cell r="W1346">
            <v>0</v>
          </cell>
        </row>
        <row r="1347">
          <cell r="B1347" t="str">
            <v>8020020643</v>
          </cell>
        </row>
        <row r="1347">
          <cell r="W1347">
            <v>1870</v>
          </cell>
        </row>
        <row r="1348">
          <cell r="B1348" t="str">
            <v>8020020227</v>
          </cell>
        </row>
        <row r="1348">
          <cell r="W1348">
            <v>874</v>
          </cell>
        </row>
        <row r="1349">
          <cell r="B1349" t="str">
            <v>8020020307</v>
          </cell>
        </row>
        <row r="1349">
          <cell r="W1349">
            <v>776</v>
          </cell>
        </row>
        <row r="1350">
          <cell r="B1350" t="str">
            <v>8010030492</v>
          </cell>
        </row>
        <row r="1350">
          <cell r="W1350">
            <v>0</v>
          </cell>
        </row>
        <row r="1351">
          <cell r="B1351" t="str">
            <v>8020020187</v>
          </cell>
        </row>
        <row r="1351">
          <cell r="W1351">
            <v>460</v>
          </cell>
        </row>
        <row r="1352">
          <cell r="B1352" t="str">
            <v>8020021440</v>
          </cell>
        </row>
        <row r="1352">
          <cell r="W1352">
            <v>350</v>
          </cell>
        </row>
        <row r="1353">
          <cell r="B1353" t="str">
            <v>8020020168</v>
          </cell>
        </row>
        <row r="1353">
          <cell r="W1353">
            <v>0</v>
          </cell>
        </row>
        <row r="1354">
          <cell r="B1354" t="str">
            <v>8010030500</v>
          </cell>
        </row>
        <row r="1354">
          <cell r="W1354">
            <v>0</v>
          </cell>
        </row>
        <row r="1355">
          <cell r="B1355" t="str">
            <v>8010030501</v>
          </cell>
        </row>
        <row r="1355">
          <cell r="W1355">
            <v>0</v>
          </cell>
        </row>
        <row r="1356">
          <cell r="B1356" t="str">
            <v>8010030315</v>
          </cell>
        </row>
        <row r="1356">
          <cell r="W1356">
            <v>0</v>
          </cell>
        </row>
        <row r="1357">
          <cell r="B1357" t="str">
            <v>8020020344</v>
          </cell>
        </row>
        <row r="1357">
          <cell r="W1357">
            <v>170</v>
          </cell>
        </row>
        <row r="1358">
          <cell r="B1358" t="str">
            <v>8010030325</v>
          </cell>
        </row>
        <row r="1358">
          <cell r="W1358">
            <v>0</v>
          </cell>
        </row>
        <row r="1359">
          <cell r="B1359" t="str">
            <v>8010030837</v>
          </cell>
        </row>
        <row r="1359">
          <cell r="W1359">
            <v>0</v>
          </cell>
        </row>
        <row r="1360">
          <cell r="B1360" t="str">
            <v>8020020302</v>
          </cell>
        </row>
        <row r="1360">
          <cell r="W1360">
            <v>0</v>
          </cell>
        </row>
        <row r="1361">
          <cell r="B1361" t="str">
            <v>8010024409</v>
          </cell>
        </row>
        <row r="1361">
          <cell r="W1361">
            <v>2025</v>
          </cell>
        </row>
        <row r="1362">
          <cell r="B1362" t="str">
            <v>8010024441</v>
          </cell>
        </row>
        <row r="1362">
          <cell r="W1362">
            <v>254</v>
          </cell>
        </row>
        <row r="1363">
          <cell r="B1363" t="str">
            <v>80516375</v>
          </cell>
        </row>
        <row r="1363">
          <cell r="W1363">
            <v>0</v>
          </cell>
        </row>
        <row r="1364">
          <cell r="B1364" t="str">
            <v>8020010109</v>
          </cell>
        </row>
        <row r="1364">
          <cell r="W1364">
            <v>89</v>
          </cell>
        </row>
        <row r="1365">
          <cell r="B1365" t="str">
            <v>8010071350</v>
          </cell>
        </row>
        <row r="1365">
          <cell r="W1365">
            <v>67</v>
          </cell>
        </row>
        <row r="1366">
          <cell r="B1366" t="str">
            <v>8010071426</v>
          </cell>
        </row>
        <row r="1366">
          <cell r="W1366">
            <v>81</v>
          </cell>
        </row>
        <row r="1367">
          <cell r="B1367" t="str">
            <v>8010071424</v>
          </cell>
        </row>
        <row r="1367">
          <cell r="W1367">
            <v>686</v>
          </cell>
        </row>
        <row r="1368">
          <cell r="B1368" t="str">
            <v>8010071425</v>
          </cell>
        </row>
        <row r="1368">
          <cell r="W1368">
            <v>197</v>
          </cell>
        </row>
        <row r="1369">
          <cell r="B1369" t="str">
            <v>8010071477</v>
          </cell>
        </row>
        <row r="1369">
          <cell r="W1369">
            <v>886</v>
          </cell>
        </row>
        <row r="1370">
          <cell r="B1370" t="str">
            <v>8010071427</v>
          </cell>
        </row>
        <row r="1370">
          <cell r="W1370">
            <v>131</v>
          </cell>
        </row>
        <row r="1371">
          <cell r="B1371" t="str">
            <v>8010072515</v>
          </cell>
        </row>
        <row r="1371">
          <cell r="W1371">
            <v>89</v>
          </cell>
        </row>
        <row r="1372">
          <cell r="B1372" t="str">
            <v>8010072516</v>
          </cell>
        </row>
        <row r="1372">
          <cell r="W1372">
            <v>36</v>
          </cell>
        </row>
        <row r="1373">
          <cell r="B1373" t="str">
            <v>8010071480</v>
          </cell>
        </row>
        <row r="1373">
          <cell r="W1373">
            <v>464</v>
          </cell>
        </row>
        <row r="1374">
          <cell r="B1374" t="str">
            <v>8010071474</v>
          </cell>
        </row>
        <row r="1374">
          <cell r="W1374">
            <v>279</v>
          </cell>
        </row>
        <row r="1375">
          <cell r="B1375" t="str">
            <v>8010071483</v>
          </cell>
        </row>
        <row r="1375">
          <cell r="W1375">
            <v>405</v>
          </cell>
        </row>
        <row r="1376">
          <cell r="B1376" t="str">
            <v>8010071354</v>
          </cell>
        </row>
        <row r="1376">
          <cell r="W1376">
            <v>30</v>
          </cell>
        </row>
        <row r="1377">
          <cell r="B1377" t="str">
            <v>8010071355</v>
          </cell>
        </row>
        <row r="1377">
          <cell r="W1377">
            <v>46</v>
          </cell>
        </row>
        <row r="1378">
          <cell r="B1378" t="str">
            <v>8010071352</v>
          </cell>
        </row>
        <row r="1378">
          <cell r="W1378">
            <v>95</v>
          </cell>
        </row>
        <row r="1379">
          <cell r="B1379" t="str">
            <v>8010071376</v>
          </cell>
        </row>
        <row r="1379">
          <cell r="W1379">
            <v>1350</v>
          </cell>
        </row>
        <row r="1380">
          <cell r="B1380" t="str">
            <v>8010071476</v>
          </cell>
        </row>
        <row r="1380">
          <cell r="W1380">
            <v>231</v>
          </cell>
        </row>
        <row r="1381">
          <cell r="B1381" t="str">
            <v>8010071386</v>
          </cell>
        </row>
        <row r="1381">
          <cell r="W1381">
            <v>612</v>
          </cell>
        </row>
        <row r="1382">
          <cell r="B1382" t="str">
            <v>8020020588</v>
          </cell>
        </row>
        <row r="1382">
          <cell r="W1382">
            <v>3201</v>
          </cell>
        </row>
        <row r="1383">
          <cell r="B1383" t="str">
            <v>8020020597</v>
          </cell>
        </row>
        <row r="1383">
          <cell r="W1383">
            <v>0</v>
          </cell>
        </row>
        <row r="1384">
          <cell r="B1384" t="str">
            <v>8010040409</v>
          </cell>
        </row>
        <row r="1384">
          <cell r="W1384">
            <v>5</v>
          </cell>
        </row>
        <row r="1385">
          <cell r="B1385" t="str">
            <v>8010071414</v>
          </cell>
        </row>
        <row r="1385">
          <cell r="W1385">
            <v>1223</v>
          </cell>
        </row>
        <row r="1386">
          <cell r="B1386" t="str">
            <v>8010071420</v>
          </cell>
        </row>
        <row r="1386">
          <cell r="W1386">
            <v>0</v>
          </cell>
        </row>
        <row r="1387">
          <cell r="B1387" t="str">
            <v>8010071417</v>
          </cell>
        </row>
        <row r="1387">
          <cell r="W1387">
            <v>37</v>
          </cell>
        </row>
        <row r="1388">
          <cell r="B1388" t="str">
            <v>8010071415</v>
          </cell>
        </row>
        <row r="1388">
          <cell r="W1388">
            <v>215</v>
          </cell>
        </row>
        <row r="1389">
          <cell r="B1389" t="str">
            <v>8010071433</v>
          </cell>
        </row>
        <row r="1389">
          <cell r="W1389">
            <v>183</v>
          </cell>
        </row>
        <row r="1390">
          <cell r="B1390" t="str">
            <v>8010071432</v>
          </cell>
        </row>
        <row r="1390">
          <cell r="W1390">
            <v>565</v>
          </cell>
        </row>
        <row r="1391">
          <cell r="B1391" t="str">
            <v>8010071430</v>
          </cell>
        </row>
        <row r="1391">
          <cell r="W1391">
            <v>1773</v>
          </cell>
        </row>
        <row r="1392">
          <cell r="B1392" t="str">
            <v>8010071431</v>
          </cell>
        </row>
        <row r="1392">
          <cell r="W1392">
            <v>8014</v>
          </cell>
        </row>
        <row r="1393">
          <cell r="B1393" t="str">
            <v>8010071435</v>
          </cell>
        </row>
        <row r="1393">
          <cell r="W1393">
            <v>593</v>
          </cell>
        </row>
        <row r="1394">
          <cell r="B1394" t="str">
            <v>8010071436</v>
          </cell>
        </row>
        <row r="1394">
          <cell r="W1394">
            <v>360</v>
          </cell>
        </row>
        <row r="1395">
          <cell r="B1395" t="str">
            <v>8010071437</v>
          </cell>
        </row>
        <row r="1395">
          <cell r="W1395">
            <v>250</v>
          </cell>
        </row>
        <row r="1396">
          <cell r="B1396" t="str">
            <v>8010071438</v>
          </cell>
        </row>
        <row r="1396">
          <cell r="W1396">
            <v>133</v>
          </cell>
        </row>
        <row r="1397">
          <cell r="B1397" t="str">
            <v>8010071443</v>
          </cell>
        </row>
        <row r="1397">
          <cell r="W1397">
            <v>35</v>
          </cell>
        </row>
        <row r="1398">
          <cell r="B1398" t="str">
            <v>8010071440</v>
          </cell>
        </row>
        <row r="1398">
          <cell r="W1398">
            <v>186</v>
          </cell>
        </row>
        <row r="1399">
          <cell r="B1399" t="str">
            <v>8010071439</v>
          </cell>
        </row>
        <row r="1399">
          <cell r="W1399">
            <v>335</v>
          </cell>
        </row>
        <row r="1400">
          <cell r="B1400" t="str">
            <v>8010071441</v>
          </cell>
        </row>
        <row r="1400">
          <cell r="W1400">
            <v>95</v>
          </cell>
        </row>
        <row r="1401">
          <cell r="B1401" t="str">
            <v>8010071418</v>
          </cell>
        </row>
        <row r="1401">
          <cell r="W1401">
            <v>30</v>
          </cell>
        </row>
        <row r="1402">
          <cell r="B1402" t="str">
            <v>8010071338</v>
          </cell>
        </row>
        <row r="1402">
          <cell r="W1402">
            <v>1322</v>
          </cell>
        </row>
        <row r="1403">
          <cell r="B1403" t="str">
            <v>8010071340</v>
          </cell>
        </row>
        <row r="1403">
          <cell r="W1403">
            <v>734</v>
          </cell>
        </row>
        <row r="1404">
          <cell r="B1404" t="str">
            <v>8010071339</v>
          </cell>
        </row>
        <row r="1404">
          <cell r="W1404">
            <v>259</v>
          </cell>
        </row>
        <row r="1405">
          <cell r="B1405" t="str">
            <v>8010071332</v>
          </cell>
        </row>
        <row r="1405">
          <cell r="W1405">
            <v>201</v>
          </cell>
        </row>
        <row r="1406">
          <cell r="B1406" t="str">
            <v>8010071367</v>
          </cell>
        </row>
        <row r="1406">
          <cell r="W1406">
            <v>2100</v>
          </cell>
        </row>
        <row r="1407">
          <cell r="B1407" t="str">
            <v>8010024875</v>
          </cell>
        </row>
        <row r="1407">
          <cell r="W1407">
            <v>2273</v>
          </cell>
        </row>
        <row r="1408">
          <cell r="B1408" t="str">
            <v>8010024807</v>
          </cell>
        </row>
        <row r="1408">
          <cell r="W1408">
            <v>1250</v>
          </cell>
        </row>
        <row r="1409">
          <cell r="B1409" t="str">
            <v>8010024562</v>
          </cell>
        </row>
        <row r="1409">
          <cell r="W1409">
            <v>480</v>
          </cell>
        </row>
        <row r="1410">
          <cell r="B1410" t="str">
            <v>8010024808</v>
          </cell>
        </row>
        <row r="1410">
          <cell r="W1410">
            <v>0</v>
          </cell>
        </row>
        <row r="1411">
          <cell r="B1411" t="str">
            <v>8010024806</v>
          </cell>
        </row>
        <row r="1411">
          <cell r="W1411">
            <v>299</v>
          </cell>
        </row>
        <row r="1412">
          <cell r="B1412" t="str">
            <v>8010024449</v>
          </cell>
        </row>
        <row r="1412">
          <cell r="W1412">
            <v>86</v>
          </cell>
        </row>
        <row r="1413">
          <cell r="B1413" t="str">
            <v>8010024418</v>
          </cell>
        </row>
        <row r="1413">
          <cell r="W1413">
            <v>330</v>
          </cell>
        </row>
        <row r="1414">
          <cell r="B1414" t="str">
            <v>8010024426</v>
          </cell>
        </row>
        <row r="1414">
          <cell r="W1414">
            <v>7</v>
          </cell>
        </row>
        <row r="1415">
          <cell r="B1415" t="str">
            <v>8010024321</v>
          </cell>
        </row>
        <row r="1415">
          <cell r="W1415">
            <v>106</v>
          </cell>
        </row>
        <row r="1416">
          <cell r="B1416" t="str">
            <v>8010024366</v>
          </cell>
        </row>
        <row r="1416">
          <cell r="W1416">
            <v>294</v>
          </cell>
        </row>
        <row r="1417">
          <cell r="B1417" t="str">
            <v>8010024365</v>
          </cell>
        </row>
        <row r="1417">
          <cell r="W1417">
            <v>3500</v>
          </cell>
        </row>
        <row r="1418">
          <cell r="B1418" t="str">
            <v>8010024548</v>
          </cell>
        </row>
        <row r="1418">
          <cell r="W1418">
            <v>708</v>
          </cell>
        </row>
        <row r="1419">
          <cell r="B1419" t="str">
            <v>8010024423</v>
          </cell>
        </row>
        <row r="1419">
          <cell r="W1419">
            <v>128</v>
          </cell>
        </row>
        <row r="1420">
          <cell r="B1420" t="str">
            <v>8010024408</v>
          </cell>
        </row>
        <row r="1420">
          <cell r="W1420">
            <v>399</v>
          </cell>
        </row>
        <row r="1421">
          <cell r="B1421" t="str">
            <v>8010024322</v>
          </cell>
        </row>
        <row r="1421">
          <cell r="W1421">
            <v>127</v>
          </cell>
        </row>
        <row r="1422">
          <cell r="B1422" t="str">
            <v>8010024323</v>
          </cell>
        </row>
        <row r="1422">
          <cell r="W1422">
            <v>6800</v>
          </cell>
        </row>
        <row r="1423">
          <cell r="B1423" t="str">
            <v>8010024876</v>
          </cell>
        </row>
        <row r="1423">
          <cell r="W1423">
            <v>554</v>
          </cell>
        </row>
        <row r="1424">
          <cell r="B1424" t="str">
            <v>8010024320</v>
          </cell>
        </row>
        <row r="1424">
          <cell r="W1424">
            <v>204</v>
          </cell>
        </row>
        <row r="1425">
          <cell r="B1425" t="str">
            <v>8010024389</v>
          </cell>
        </row>
        <row r="1425">
          <cell r="W1425">
            <v>5140</v>
          </cell>
        </row>
        <row r="1426">
          <cell r="B1426" t="str">
            <v>8010024197</v>
          </cell>
        </row>
        <row r="1426">
          <cell r="W1426">
            <v>190</v>
          </cell>
        </row>
        <row r="1427">
          <cell r="B1427" t="str">
            <v>8010024198</v>
          </cell>
        </row>
        <row r="1427">
          <cell r="W1427">
            <v>346</v>
          </cell>
        </row>
        <row r="1428">
          <cell r="B1428" t="str">
            <v>8010024364</v>
          </cell>
        </row>
        <row r="1428">
          <cell r="W1428">
            <v>376</v>
          </cell>
        </row>
        <row r="1429">
          <cell r="B1429" t="str">
            <v>8010024440</v>
          </cell>
        </row>
        <row r="1429">
          <cell r="W1429">
            <v>694</v>
          </cell>
        </row>
        <row r="1430">
          <cell r="B1430" t="str">
            <v>8010024422</v>
          </cell>
        </row>
        <row r="1430">
          <cell r="W1430">
            <v>102</v>
          </cell>
        </row>
        <row r="1431">
          <cell r="B1431" t="str">
            <v>8010024421</v>
          </cell>
        </row>
        <row r="1431">
          <cell r="W1431">
            <v>0</v>
          </cell>
        </row>
        <row r="1432">
          <cell r="B1432" t="str">
            <v>8010024563</v>
          </cell>
        </row>
        <row r="1432">
          <cell r="W1432">
            <v>3208</v>
          </cell>
        </row>
        <row r="1433">
          <cell r="B1433" t="str">
            <v>8010024424</v>
          </cell>
        </row>
        <row r="1433">
          <cell r="W1433">
            <v>1045</v>
          </cell>
        </row>
        <row r="1434">
          <cell r="B1434" t="str">
            <v>8010024425</v>
          </cell>
        </row>
        <row r="1434">
          <cell r="W1434">
            <v>1034</v>
          </cell>
        </row>
        <row r="1435">
          <cell r="B1435" t="str">
            <v>8010072749</v>
          </cell>
        </row>
        <row r="1435">
          <cell r="W1435">
            <v>64</v>
          </cell>
        </row>
        <row r="1436">
          <cell r="B1436" t="str">
            <v>8010072484</v>
          </cell>
        </row>
        <row r="1436">
          <cell r="W1436">
            <v>168</v>
          </cell>
        </row>
        <row r="1437">
          <cell r="B1437" t="str">
            <v>8010071475</v>
          </cell>
        </row>
        <row r="1437">
          <cell r="W1437">
            <v>139</v>
          </cell>
        </row>
        <row r="1438">
          <cell r="B1438" t="str">
            <v>8010072270</v>
          </cell>
        </row>
        <row r="1438">
          <cell r="W1438">
            <v>319</v>
          </cell>
        </row>
        <row r="1439">
          <cell r="B1439" t="str">
            <v>8010072305</v>
          </cell>
        </row>
        <row r="1439">
          <cell r="W1439">
            <v>180</v>
          </cell>
        </row>
        <row r="1440">
          <cell r="B1440" t="str">
            <v>8010072271</v>
          </cell>
        </row>
        <row r="1440">
          <cell r="W1440">
            <v>447</v>
          </cell>
        </row>
        <row r="1441">
          <cell r="B1441" t="str">
            <v>8010072355</v>
          </cell>
        </row>
        <row r="1441">
          <cell r="W1441">
            <v>102</v>
          </cell>
        </row>
        <row r="1442">
          <cell r="B1442" t="str">
            <v>8010024802</v>
          </cell>
        </row>
        <row r="1442">
          <cell r="W1442">
            <v>49</v>
          </cell>
        </row>
        <row r="1443">
          <cell r="B1443" t="str">
            <v>8010024804</v>
          </cell>
        </row>
        <row r="1443">
          <cell r="W1443">
            <v>74</v>
          </cell>
        </row>
        <row r="1444">
          <cell r="B1444" t="str">
            <v>8010024805</v>
          </cell>
        </row>
        <row r="1444">
          <cell r="W1444">
            <v>61</v>
          </cell>
        </row>
        <row r="1445">
          <cell r="B1445" t="str">
            <v>8010070232</v>
          </cell>
        </row>
        <row r="1445">
          <cell r="W1445">
            <v>1</v>
          </cell>
        </row>
        <row r="1446">
          <cell r="B1446" t="str">
            <v>8010070233</v>
          </cell>
        </row>
        <row r="1446">
          <cell r="W1446">
            <v>12</v>
          </cell>
        </row>
        <row r="1447">
          <cell r="B1447" t="str">
            <v>8010070234</v>
          </cell>
        </row>
        <row r="1447">
          <cell r="W1447">
            <v>0</v>
          </cell>
        </row>
        <row r="1448">
          <cell r="B1448" t="str">
            <v>8010070235</v>
          </cell>
        </row>
        <row r="1448">
          <cell r="W1448">
            <v>11</v>
          </cell>
        </row>
        <row r="1449">
          <cell r="B1449" t="str">
            <v>8030020144</v>
          </cell>
        </row>
        <row r="1449">
          <cell r="W1449">
            <v>0</v>
          </cell>
        </row>
        <row r="1450">
          <cell r="B1450" t="str">
            <v>8010071337</v>
          </cell>
        </row>
        <row r="1450">
          <cell r="W1450">
            <v>0</v>
          </cell>
        </row>
        <row r="1451">
          <cell r="B1451" t="str">
            <v>8010073616</v>
          </cell>
        </row>
        <row r="1451">
          <cell r="W1451">
            <v>63</v>
          </cell>
        </row>
        <row r="1452">
          <cell r="B1452" t="str">
            <v>8010071372</v>
          </cell>
        </row>
        <row r="1452">
          <cell r="W1452">
            <v>244</v>
          </cell>
        </row>
        <row r="1453">
          <cell r="B1453" t="str">
            <v>8010071356</v>
          </cell>
        </row>
        <row r="1453">
          <cell r="W1453">
            <v>94</v>
          </cell>
        </row>
        <row r="1454">
          <cell r="B1454" t="str">
            <v>8010071353</v>
          </cell>
        </row>
        <row r="1454">
          <cell r="W1454">
            <v>26</v>
          </cell>
        </row>
        <row r="1455">
          <cell r="B1455" t="str">
            <v>8010071374</v>
          </cell>
        </row>
        <row r="1455">
          <cell r="W1455">
            <v>336</v>
          </cell>
        </row>
        <row r="1456">
          <cell r="B1456" t="str">
            <v>8030020920</v>
          </cell>
        </row>
        <row r="1456">
          <cell r="W1456">
            <v>100</v>
          </cell>
        </row>
        <row r="1457">
          <cell r="B1457" t="str">
            <v>8030020369</v>
          </cell>
        </row>
        <row r="1457">
          <cell r="W1457">
            <v>690</v>
          </cell>
        </row>
        <row r="1458">
          <cell r="B1458" t="str">
            <v>8030021168</v>
          </cell>
        </row>
        <row r="1458">
          <cell r="W1458">
            <v>0</v>
          </cell>
        </row>
        <row r="1459">
          <cell r="B1459" t="str">
            <v>8030020069</v>
          </cell>
        </row>
        <row r="1459">
          <cell r="W1459">
            <v>22</v>
          </cell>
        </row>
        <row r="1460">
          <cell r="B1460" t="str">
            <v>8030020619</v>
          </cell>
        </row>
        <row r="1460">
          <cell r="W1460">
            <v>100</v>
          </cell>
        </row>
        <row r="1461">
          <cell r="B1461" t="str">
            <v>8030020060</v>
          </cell>
        </row>
        <row r="1461">
          <cell r="W1461">
            <v>0</v>
          </cell>
        </row>
        <row r="1462">
          <cell r="B1462" t="str">
            <v>8030020056</v>
          </cell>
        </row>
        <row r="1462">
          <cell r="W1462">
            <v>0</v>
          </cell>
        </row>
        <row r="1463">
          <cell r="B1463" t="str">
            <v>8030020918</v>
          </cell>
        </row>
        <row r="1463">
          <cell r="W1463">
            <v>0</v>
          </cell>
        </row>
        <row r="1464">
          <cell r="B1464" t="str">
            <v>8030020618</v>
          </cell>
        </row>
        <row r="1464">
          <cell r="W1464">
            <v>0</v>
          </cell>
        </row>
        <row r="1465">
          <cell r="B1465" t="str">
            <v>8030020661</v>
          </cell>
        </row>
        <row r="1465">
          <cell r="W1465">
            <v>32</v>
          </cell>
        </row>
        <row r="1466">
          <cell r="B1466" t="str">
            <v>8030020064</v>
          </cell>
        </row>
        <row r="1466">
          <cell r="W1466">
            <v>0</v>
          </cell>
        </row>
        <row r="1467">
          <cell r="B1467" t="str">
            <v>8020035098</v>
          </cell>
        </row>
        <row r="1467">
          <cell r="W1467">
            <v>0</v>
          </cell>
        </row>
        <row r="1468">
          <cell r="B1468" t="str">
            <v>8010035435</v>
          </cell>
        </row>
        <row r="1468">
          <cell r="W1468">
            <v>0</v>
          </cell>
        </row>
        <row r="1469">
          <cell r="B1469" t="str">
            <v>8010036675</v>
          </cell>
        </row>
        <row r="1469">
          <cell r="W1469">
            <v>0</v>
          </cell>
        </row>
        <row r="1470">
          <cell r="B1470" t="str">
            <v>8010036759</v>
          </cell>
        </row>
        <row r="1470">
          <cell r="W1470">
            <v>0</v>
          </cell>
        </row>
        <row r="1471">
          <cell r="B1471" t="str">
            <v>8010071455</v>
          </cell>
        </row>
        <row r="1471">
          <cell r="W1471">
            <v>292</v>
          </cell>
        </row>
        <row r="1472">
          <cell r="B1472" t="str">
            <v>8010071452</v>
          </cell>
        </row>
        <row r="1472">
          <cell r="W1472">
            <v>473</v>
          </cell>
        </row>
        <row r="1473">
          <cell r="B1473" t="str">
            <v>8010071451</v>
          </cell>
        </row>
        <row r="1473">
          <cell r="W1473">
            <v>347</v>
          </cell>
        </row>
        <row r="1474">
          <cell r="B1474" t="str">
            <v>8010071466</v>
          </cell>
        </row>
        <row r="1474">
          <cell r="W1474">
            <v>145</v>
          </cell>
        </row>
        <row r="1475">
          <cell r="B1475" t="str">
            <v>8010071470</v>
          </cell>
        </row>
        <row r="1475">
          <cell r="W1475">
            <v>24</v>
          </cell>
        </row>
        <row r="1476">
          <cell r="B1476" t="str">
            <v>8010071462</v>
          </cell>
        </row>
        <row r="1476">
          <cell r="W1476">
            <v>170</v>
          </cell>
        </row>
        <row r="1477">
          <cell r="B1477" t="str">
            <v>8010071463</v>
          </cell>
        </row>
        <row r="1477">
          <cell r="W1477">
            <v>160</v>
          </cell>
        </row>
        <row r="1478">
          <cell r="B1478" t="str">
            <v>8010071449</v>
          </cell>
        </row>
        <row r="1478">
          <cell r="W1478">
            <v>530</v>
          </cell>
        </row>
        <row r="1479">
          <cell r="B1479" t="str">
            <v>8010071448</v>
          </cell>
        </row>
        <row r="1479">
          <cell r="W1479">
            <v>936</v>
          </cell>
        </row>
        <row r="1480">
          <cell r="B1480" t="str">
            <v>8010071465</v>
          </cell>
        </row>
        <row r="1480">
          <cell r="W1480">
            <v>79</v>
          </cell>
        </row>
        <row r="1481">
          <cell r="B1481" t="str">
            <v>8010072361</v>
          </cell>
        </row>
        <row r="1481">
          <cell r="W1481">
            <v>250</v>
          </cell>
        </row>
        <row r="1482">
          <cell r="B1482" t="str">
            <v>8010071464</v>
          </cell>
        </row>
        <row r="1482">
          <cell r="W1482">
            <v>80</v>
          </cell>
        </row>
        <row r="1483">
          <cell r="B1483" t="str">
            <v>8010072703</v>
          </cell>
        </row>
        <row r="1483">
          <cell r="W1483">
            <v>76</v>
          </cell>
        </row>
        <row r="1484">
          <cell r="B1484" t="str">
            <v>8020035100</v>
          </cell>
        </row>
        <row r="1484">
          <cell r="W1484">
            <v>0</v>
          </cell>
        </row>
        <row r="1485">
          <cell r="B1485" t="str">
            <v>8010062277</v>
          </cell>
        </row>
        <row r="1485">
          <cell r="W1485">
            <v>6</v>
          </cell>
        </row>
        <row r="1486">
          <cell r="B1486" t="str">
            <v>8010062278</v>
          </cell>
        </row>
        <row r="1486">
          <cell r="W1486">
            <v>6</v>
          </cell>
        </row>
        <row r="1487">
          <cell r="B1487" t="str">
            <v>8010062279</v>
          </cell>
        </row>
        <row r="1487">
          <cell r="W1487">
            <v>4</v>
          </cell>
        </row>
        <row r="1488">
          <cell r="B1488" t="str">
            <v>8010062280</v>
          </cell>
        </row>
        <row r="1488">
          <cell r="W1488">
            <v>0</v>
          </cell>
        </row>
        <row r="1489">
          <cell r="B1489" t="str">
            <v>8010062281</v>
          </cell>
        </row>
        <row r="1489">
          <cell r="W1489">
            <v>0</v>
          </cell>
        </row>
        <row r="1490">
          <cell r="B1490" t="str">
            <v>8010062282</v>
          </cell>
        </row>
        <row r="1490">
          <cell r="W1490">
            <v>0</v>
          </cell>
        </row>
        <row r="1491">
          <cell r="B1491" t="str">
            <v>8010071459</v>
          </cell>
        </row>
        <row r="1491">
          <cell r="W1491">
            <v>140</v>
          </cell>
        </row>
        <row r="1492">
          <cell r="B1492" t="str">
            <v>8010072347</v>
          </cell>
        </row>
        <row r="1492">
          <cell r="W1492">
            <v>617</v>
          </cell>
        </row>
        <row r="1493">
          <cell r="B1493" t="str">
            <v>8010072348</v>
          </cell>
        </row>
        <row r="1493">
          <cell r="W1493">
            <v>690</v>
          </cell>
        </row>
        <row r="1494">
          <cell r="B1494" t="str">
            <v>8010071731</v>
          </cell>
        </row>
        <row r="1494">
          <cell r="W1494">
            <v>844</v>
          </cell>
        </row>
        <row r="1495">
          <cell r="B1495" t="str">
            <v>8010072354</v>
          </cell>
        </row>
        <row r="1495">
          <cell r="W1495">
            <v>524</v>
          </cell>
        </row>
        <row r="1496">
          <cell r="B1496" t="str">
            <v>8010071734</v>
          </cell>
        </row>
        <row r="1496">
          <cell r="W1496">
            <v>150</v>
          </cell>
        </row>
        <row r="1497">
          <cell r="B1497" t="str">
            <v>8010072480</v>
          </cell>
        </row>
        <row r="1497">
          <cell r="W1497">
            <v>939</v>
          </cell>
        </row>
        <row r="1498">
          <cell r="B1498" t="str">
            <v>8010072481</v>
          </cell>
        </row>
        <row r="1498">
          <cell r="W1498">
            <v>480</v>
          </cell>
        </row>
        <row r="1499">
          <cell r="B1499" t="str">
            <v>8010072349</v>
          </cell>
        </row>
        <row r="1499">
          <cell r="W1499">
            <v>232</v>
          </cell>
        </row>
        <row r="1500">
          <cell r="B1500" t="str">
            <v>8010071391</v>
          </cell>
        </row>
        <row r="1500">
          <cell r="W1500">
            <v>4</v>
          </cell>
        </row>
        <row r="1501">
          <cell r="B1501" t="str">
            <v>8010071392</v>
          </cell>
        </row>
        <row r="1501">
          <cell r="W1501">
            <v>62</v>
          </cell>
        </row>
        <row r="1502">
          <cell r="B1502" t="str">
            <v>8010071393</v>
          </cell>
        </row>
        <row r="1502">
          <cell r="W1502">
            <v>20</v>
          </cell>
        </row>
        <row r="1503">
          <cell r="B1503" t="str">
            <v>8020022631</v>
          </cell>
        </row>
        <row r="1503">
          <cell r="W1503">
            <v>1375</v>
          </cell>
        </row>
        <row r="1504">
          <cell r="B1504" t="str">
            <v>8020022824</v>
          </cell>
        </row>
        <row r="1504">
          <cell r="W1504">
            <v>96</v>
          </cell>
        </row>
        <row r="1505">
          <cell r="B1505" t="str">
            <v>8020022759</v>
          </cell>
        </row>
        <row r="1505">
          <cell r="W1505">
            <v>0</v>
          </cell>
        </row>
        <row r="1506">
          <cell r="B1506" t="str">
            <v>8020022745</v>
          </cell>
        </row>
        <row r="1506">
          <cell r="W1506">
            <v>31</v>
          </cell>
        </row>
        <row r="1507">
          <cell r="B1507" t="str">
            <v>8010025106</v>
          </cell>
        </row>
        <row r="1507">
          <cell r="W1507">
            <v>83</v>
          </cell>
        </row>
        <row r="1508">
          <cell r="B1508" t="str">
            <v>8010025107</v>
          </cell>
        </row>
        <row r="1508">
          <cell r="W1508">
            <v>564</v>
          </cell>
        </row>
        <row r="1509">
          <cell r="B1509" t="str">
            <v>8020022765</v>
          </cell>
        </row>
        <row r="1509">
          <cell r="W1509">
            <v>176</v>
          </cell>
        </row>
        <row r="1510">
          <cell r="B1510" t="str">
            <v>8020022787</v>
          </cell>
        </row>
        <row r="1510">
          <cell r="W1510">
            <v>45</v>
          </cell>
        </row>
        <row r="1511">
          <cell r="B1511" t="str">
            <v>8020022766</v>
          </cell>
        </row>
        <row r="1511">
          <cell r="W1511">
            <v>88</v>
          </cell>
        </row>
        <row r="1512">
          <cell r="B1512" t="str">
            <v>8020022786</v>
          </cell>
        </row>
        <row r="1512">
          <cell r="W1512">
            <v>55</v>
          </cell>
        </row>
        <row r="1513">
          <cell r="B1513" t="str">
            <v>8020022749</v>
          </cell>
        </row>
        <row r="1513">
          <cell r="W1513">
            <v>58</v>
          </cell>
        </row>
        <row r="1514">
          <cell r="B1514" t="str">
            <v>8020022656</v>
          </cell>
        </row>
        <row r="1514">
          <cell r="W1514">
            <v>34</v>
          </cell>
        </row>
        <row r="1515">
          <cell r="B1515" t="str">
            <v>8010071492</v>
          </cell>
        </row>
        <row r="1515">
          <cell r="W1515">
            <v>3797</v>
          </cell>
        </row>
        <row r="1516">
          <cell r="B1516" t="str">
            <v>8010071494</v>
          </cell>
        </row>
        <row r="1516">
          <cell r="W1516">
            <v>458</v>
          </cell>
        </row>
        <row r="1517">
          <cell r="B1517" t="str">
            <v>8010071732</v>
          </cell>
        </row>
        <row r="1517">
          <cell r="W1517">
            <v>243</v>
          </cell>
        </row>
        <row r="1518">
          <cell r="B1518" t="str">
            <v>8010072755</v>
          </cell>
        </row>
        <row r="1518">
          <cell r="W1518">
            <v>119</v>
          </cell>
        </row>
        <row r="1519">
          <cell r="B1519" t="str">
            <v>8010072351</v>
          </cell>
        </row>
        <row r="1519">
          <cell r="W1519">
            <v>72</v>
          </cell>
        </row>
        <row r="1520">
          <cell r="B1520" t="str">
            <v>8010071497</v>
          </cell>
        </row>
        <row r="1520">
          <cell r="W1520">
            <v>56</v>
          </cell>
        </row>
        <row r="1521">
          <cell r="B1521" t="str">
            <v>8010071397</v>
          </cell>
        </row>
        <row r="1521">
          <cell r="W1521">
            <v>430</v>
          </cell>
        </row>
        <row r="1522">
          <cell r="B1522" t="str">
            <v>8010072352</v>
          </cell>
        </row>
        <row r="1522">
          <cell r="W1522">
            <v>150</v>
          </cell>
        </row>
        <row r="1523">
          <cell r="B1523" t="str">
            <v>8010071398</v>
          </cell>
        </row>
        <row r="1523">
          <cell r="W1523">
            <v>210</v>
          </cell>
        </row>
        <row r="1524">
          <cell r="B1524" t="str">
            <v>8010071399</v>
          </cell>
        </row>
        <row r="1524">
          <cell r="W1524">
            <v>289</v>
          </cell>
        </row>
        <row r="1525">
          <cell r="B1525" t="str">
            <v>8010071735</v>
          </cell>
        </row>
        <row r="1525">
          <cell r="W1525">
            <v>139</v>
          </cell>
        </row>
        <row r="1526">
          <cell r="B1526" t="str">
            <v>8010071400</v>
          </cell>
        </row>
        <row r="1526">
          <cell r="W1526">
            <v>101</v>
          </cell>
        </row>
        <row r="1527">
          <cell r="B1527" t="str">
            <v>8010072272</v>
          </cell>
        </row>
        <row r="1527">
          <cell r="W1527">
            <v>80</v>
          </cell>
        </row>
        <row r="1528">
          <cell r="B1528" t="str">
            <v>8010072307</v>
          </cell>
        </row>
        <row r="1528">
          <cell r="W1528">
            <v>216</v>
          </cell>
        </row>
        <row r="1529">
          <cell r="B1529" t="str">
            <v>8010072273</v>
          </cell>
        </row>
        <row r="1529">
          <cell r="W1529">
            <v>171</v>
          </cell>
        </row>
        <row r="1530">
          <cell r="B1530" t="str">
            <v>8010072356</v>
          </cell>
        </row>
        <row r="1530">
          <cell r="W1530">
            <v>129</v>
          </cell>
        </row>
        <row r="1531">
          <cell r="B1531" t="str">
            <v>8010072850</v>
          </cell>
        </row>
        <row r="1531">
          <cell r="W1531">
            <v>27</v>
          </cell>
        </row>
        <row r="1532">
          <cell r="B1532" t="str">
            <v>8010072852</v>
          </cell>
        </row>
        <row r="1532">
          <cell r="W1532">
            <v>144</v>
          </cell>
        </row>
        <row r="1533">
          <cell r="B1533" t="str">
            <v>8010072851</v>
          </cell>
        </row>
        <row r="1533">
          <cell r="W1533">
            <v>94</v>
          </cell>
        </row>
        <row r="1534">
          <cell r="B1534" t="str">
            <v>8010072488</v>
          </cell>
        </row>
        <row r="1534">
          <cell r="W1534">
            <v>420</v>
          </cell>
        </row>
        <row r="1535">
          <cell r="B1535" t="str">
            <v>8010031445</v>
          </cell>
        </row>
        <row r="1535">
          <cell r="W1535">
            <v>0</v>
          </cell>
        </row>
        <row r="1536">
          <cell r="B1536" t="str">
            <v>8010031945</v>
          </cell>
        </row>
        <row r="1536">
          <cell r="W1536">
            <v>0</v>
          </cell>
        </row>
        <row r="1537">
          <cell r="B1537" t="str">
            <v>8010033314</v>
          </cell>
        </row>
        <row r="1537">
          <cell r="W1537">
            <v>0</v>
          </cell>
        </row>
        <row r="1538">
          <cell r="B1538" t="str">
            <v>8010035232</v>
          </cell>
        </row>
        <row r="1538">
          <cell r="W1538">
            <v>0</v>
          </cell>
        </row>
        <row r="1539">
          <cell r="B1539" t="str">
            <v>8010030738</v>
          </cell>
        </row>
        <row r="1539">
          <cell r="W1539">
            <v>0</v>
          </cell>
        </row>
        <row r="1540">
          <cell r="B1540" t="str">
            <v>8010030225</v>
          </cell>
        </row>
        <row r="1540">
          <cell r="W1540">
            <v>0</v>
          </cell>
        </row>
        <row r="1541">
          <cell r="B1541" t="str">
            <v>8010030324</v>
          </cell>
        </row>
        <row r="1541">
          <cell r="W1541">
            <v>0</v>
          </cell>
        </row>
        <row r="1542">
          <cell r="B1542" t="str">
            <v>8010031149</v>
          </cell>
        </row>
        <row r="1542">
          <cell r="W1542">
            <v>0</v>
          </cell>
        </row>
        <row r="1543">
          <cell r="B1543" t="str">
            <v>8010033201</v>
          </cell>
        </row>
        <row r="1543">
          <cell r="W1543">
            <v>0</v>
          </cell>
        </row>
        <row r="1544">
          <cell r="B1544" t="str">
            <v>8010034636</v>
          </cell>
        </row>
        <row r="1544">
          <cell r="W1544">
            <v>0</v>
          </cell>
        </row>
        <row r="1545">
          <cell r="B1545" t="str">
            <v>8010030836</v>
          </cell>
        </row>
        <row r="1545">
          <cell r="W1545">
            <v>0</v>
          </cell>
        </row>
        <row r="1546">
          <cell r="B1546" t="str">
            <v>8010011479</v>
          </cell>
        </row>
        <row r="1546">
          <cell r="W1546">
            <v>0</v>
          </cell>
        </row>
        <row r="1547">
          <cell r="B1547" t="str">
            <v>B157P BK</v>
          </cell>
        </row>
        <row r="1547">
          <cell r="W1547">
            <v>1</v>
          </cell>
        </row>
        <row r="1548">
          <cell r="B1548" t="str">
            <v>8010030438</v>
          </cell>
        </row>
        <row r="1548">
          <cell r="W1548">
            <v>0</v>
          </cell>
        </row>
        <row r="1549">
          <cell r="B1549" t="str">
            <v>8010032003</v>
          </cell>
        </row>
        <row r="1549">
          <cell r="W1549">
            <v>0</v>
          </cell>
        </row>
        <row r="1550">
          <cell r="B1550" t="str">
            <v>8010030491</v>
          </cell>
        </row>
        <row r="1550">
          <cell r="W1550">
            <v>0</v>
          </cell>
        </row>
        <row r="1551">
          <cell r="B1551" t="str">
            <v>8010030474</v>
          </cell>
        </row>
        <row r="1551">
          <cell r="W1551">
            <v>0</v>
          </cell>
        </row>
        <row r="1552">
          <cell r="B1552" t="str">
            <v>8010030481</v>
          </cell>
        </row>
        <row r="1552">
          <cell r="W1552">
            <v>0</v>
          </cell>
        </row>
        <row r="1553">
          <cell r="B1553" t="str">
            <v>8010030507</v>
          </cell>
        </row>
        <row r="1553">
          <cell r="W1553">
            <v>0</v>
          </cell>
        </row>
        <row r="1554">
          <cell r="B1554" t="str">
            <v>8010030241</v>
          </cell>
        </row>
        <row r="1554">
          <cell r="W1554">
            <v>0</v>
          </cell>
        </row>
        <row r="1555">
          <cell r="B1555" t="str">
            <v>8010033733</v>
          </cell>
        </row>
        <row r="1555">
          <cell r="W1555">
            <v>0</v>
          </cell>
        </row>
        <row r="1556">
          <cell r="B1556" t="str">
            <v>8030051700</v>
          </cell>
        </row>
        <row r="1556">
          <cell r="W1556">
            <v>2437</v>
          </cell>
        </row>
        <row r="1557">
          <cell r="B1557" t="str">
            <v>8020035099</v>
          </cell>
        </row>
        <row r="1557">
          <cell r="W1557">
            <v>0</v>
          </cell>
        </row>
        <row r="1558">
          <cell r="B1558" t="str">
            <v>8110010133</v>
          </cell>
        </row>
        <row r="1558">
          <cell r="W1558">
            <v>1055</v>
          </cell>
        </row>
        <row r="1559">
          <cell r="B1559" t="str">
            <v>8110010128</v>
          </cell>
        </row>
        <row r="1559">
          <cell r="W1559">
            <v>2</v>
          </cell>
        </row>
        <row r="1560">
          <cell r="B1560" t="str">
            <v>8110010130</v>
          </cell>
        </row>
        <row r="1560">
          <cell r="W1560">
            <v>996</v>
          </cell>
        </row>
        <row r="1561">
          <cell r="B1561" t="str">
            <v>8110010131</v>
          </cell>
        </row>
        <row r="1561">
          <cell r="W1561">
            <v>3047</v>
          </cell>
        </row>
        <row r="1562">
          <cell r="B1562" t="str">
            <v>8110010450</v>
          </cell>
        </row>
        <row r="1562">
          <cell r="W1562">
            <v>56</v>
          </cell>
        </row>
        <row r="1563">
          <cell r="B1563" t="str">
            <v>8110010796</v>
          </cell>
        </row>
        <row r="1563">
          <cell r="W1563">
            <v>504</v>
          </cell>
        </row>
        <row r="1564">
          <cell r="B1564" t="str">
            <v>8110010845</v>
          </cell>
        </row>
        <row r="1564">
          <cell r="W1564">
            <v>576</v>
          </cell>
        </row>
        <row r="1565">
          <cell r="B1565" t="str">
            <v>8110010810</v>
          </cell>
        </row>
        <row r="1565">
          <cell r="W1565">
            <v>349</v>
          </cell>
        </row>
        <row r="1566">
          <cell r="B1566" t="str">
            <v>8110010755</v>
          </cell>
        </row>
        <row r="1566">
          <cell r="W1566">
            <v>0</v>
          </cell>
        </row>
        <row r="1567">
          <cell r="B1567" t="str">
            <v>8110010129</v>
          </cell>
        </row>
        <row r="1567">
          <cell r="W1567">
            <v>0</v>
          </cell>
        </row>
        <row r="1568">
          <cell r="B1568" t="str">
            <v>8110010134</v>
          </cell>
        </row>
        <row r="1568">
          <cell r="W1568">
            <v>11</v>
          </cell>
        </row>
        <row r="1569">
          <cell r="B1569" t="str">
            <v>8110010136</v>
          </cell>
        </row>
        <row r="1569">
          <cell r="W1569">
            <v>751</v>
          </cell>
        </row>
        <row r="1570">
          <cell r="B1570" t="str">
            <v>8110010127</v>
          </cell>
        </row>
        <row r="1570">
          <cell r="W1570">
            <v>5160</v>
          </cell>
        </row>
        <row r="1571">
          <cell r="B1571" t="str">
            <v>8110010107</v>
          </cell>
        </row>
        <row r="1571">
          <cell r="W1571">
            <v>31</v>
          </cell>
        </row>
        <row r="1572">
          <cell r="B1572" t="str">
            <v>8110010108</v>
          </cell>
        </row>
        <row r="1572">
          <cell r="W1572">
            <v>0</v>
          </cell>
        </row>
        <row r="1573">
          <cell r="B1573" t="str">
            <v>8110010185</v>
          </cell>
        </row>
        <row r="1573">
          <cell r="W1573">
            <v>245</v>
          </cell>
        </row>
        <row r="1574">
          <cell r="B1574" t="str">
            <v>8110010008</v>
          </cell>
        </row>
        <row r="1574">
          <cell r="W1574">
            <v>0</v>
          </cell>
        </row>
        <row r="1575">
          <cell r="B1575" t="str">
            <v>8110010009</v>
          </cell>
        </row>
        <row r="1575">
          <cell r="W1575">
            <v>0</v>
          </cell>
        </row>
        <row r="1576">
          <cell r="B1576" t="str">
            <v>8010024809</v>
          </cell>
        </row>
        <row r="1576">
          <cell r="W1576">
            <v>1548</v>
          </cell>
        </row>
        <row r="1577">
          <cell r="B1577" t="str">
            <v>8010024878</v>
          </cell>
        </row>
        <row r="1577">
          <cell r="W1577">
            <v>670</v>
          </cell>
        </row>
        <row r="1578">
          <cell r="B1578" t="str">
            <v>8010071444</v>
          </cell>
        </row>
        <row r="1578">
          <cell r="W1578">
            <v>8</v>
          </cell>
        </row>
        <row r="1579">
          <cell r="B1579" t="str">
            <v>8010071442</v>
          </cell>
        </row>
        <row r="1579">
          <cell r="W1579">
            <v>80</v>
          </cell>
        </row>
        <row r="1580">
          <cell r="B1580" t="str">
            <v>8010071410</v>
          </cell>
        </row>
        <row r="1580">
          <cell r="W1580">
            <v>388</v>
          </cell>
        </row>
        <row r="1581">
          <cell r="B1581" t="str">
            <v>8010071359</v>
          </cell>
        </row>
        <row r="1581">
          <cell r="W1581">
            <v>19</v>
          </cell>
        </row>
        <row r="1582">
          <cell r="B1582" t="str">
            <v>102568</v>
          </cell>
        </row>
        <row r="1582">
          <cell r="W1582">
            <v>0</v>
          </cell>
        </row>
        <row r="1583">
          <cell r="B1583" t="str">
            <v>8010071375</v>
          </cell>
        </row>
        <row r="1583">
          <cell r="W1583">
            <v>92</v>
          </cell>
        </row>
        <row r="1584">
          <cell r="B1584" t="str">
            <v>8010072514</v>
          </cell>
        </row>
        <row r="1584">
          <cell r="W1584">
            <v>92</v>
          </cell>
        </row>
        <row r="1585">
          <cell r="B1585" t="str">
            <v>8010071429</v>
          </cell>
        </row>
        <row r="1585">
          <cell r="W1585">
            <v>80</v>
          </cell>
        </row>
        <row r="1586">
          <cell r="B1586" t="str">
            <v>8010071421</v>
          </cell>
        </row>
        <row r="1586">
          <cell r="W1586">
            <v>5154</v>
          </cell>
        </row>
        <row r="1587">
          <cell r="B1587" t="str">
            <v>8010071428</v>
          </cell>
        </row>
        <row r="1587">
          <cell r="W1587">
            <v>116</v>
          </cell>
        </row>
        <row r="1588">
          <cell r="B1588" t="str">
            <v>8010062273</v>
          </cell>
        </row>
        <row r="1588">
          <cell r="W1588">
            <v>4</v>
          </cell>
        </row>
        <row r="1589">
          <cell r="B1589" t="str">
            <v>8010072477</v>
          </cell>
        </row>
        <row r="1589">
          <cell r="W1589">
            <v>19</v>
          </cell>
        </row>
        <row r="1590">
          <cell r="B1590" t="str">
            <v>8010072478</v>
          </cell>
        </row>
        <row r="1590">
          <cell r="W1590">
            <v>192</v>
          </cell>
        </row>
        <row r="1591">
          <cell r="B1591" t="str">
            <v>8010072479</v>
          </cell>
        </row>
        <row r="1591">
          <cell r="W1591">
            <v>0</v>
          </cell>
        </row>
        <row r="1592">
          <cell r="B1592" t="str">
            <v>8010072358</v>
          </cell>
        </row>
        <row r="1592">
          <cell r="W1592">
            <v>46</v>
          </cell>
        </row>
        <row r="1593">
          <cell r="B1593" t="str">
            <v>8010060779</v>
          </cell>
        </row>
        <row r="1593">
          <cell r="W1593">
            <v>2</v>
          </cell>
        </row>
        <row r="1594">
          <cell r="B1594" t="str">
            <v>8010060780</v>
          </cell>
        </row>
        <row r="1594">
          <cell r="W1594">
            <v>0</v>
          </cell>
        </row>
        <row r="1595">
          <cell r="B1595" t="str">
            <v>8010060775</v>
          </cell>
        </row>
        <row r="1595">
          <cell r="W1595">
            <v>0</v>
          </cell>
        </row>
        <row r="1596">
          <cell r="B1596" t="str">
            <v>8010060778</v>
          </cell>
        </row>
        <row r="1596">
          <cell r="W1596">
            <v>0</v>
          </cell>
        </row>
        <row r="1597">
          <cell r="B1597" t="str">
            <v>8010061300</v>
          </cell>
        </row>
        <row r="1597">
          <cell r="W1597">
            <v>0</v>
          </cell>
        </row>
        <row r="1598">
          <cell r="B1598" t="str">
            <v>8010061303</v>
          </cell>
        </row>
        <row r="1598">
          <cell r="W1598">
            <v>0</v>
          </cell>
        </row>
        <row r="1599">
          <cell r="B1599" t="str">
            <v>8010061304</v>
          </cell>
        </row>
        <row r="1599">
          <cell r="W1599">
            <v>0</v>
          </cell>
        </row>
        <row r="1600">
          <cell r="B1600" t="str">
            <v>8010061305</v>
          </cell>
        </row>
        <row r="1600">
          <cell r="W1600">
            <v>0</v>
          </cell>
        </row>
        <row r="1601">
          <cell r="B1601" t="str">
            <v>8010061306</v>
          </cell>
        </row>
        <row r="1601">
          <cell r="W1601">
            <v>10</v>
          </cell>
        </row>
        <row r="1602">
          <cell r="B1602" t="str">
            <v>8010061307</v>
          </cell>
        </row>
        <row r="1602">
          <cell r="W1602">
            <v>0</v>
          </cell>
        </row>
        <row r="1603">
          <cell r="B1603" t="str">
            <v>8010061048</v>
          </cell>
        </row>
        <row r="1603">
          <cell r="W1603">
            <v>0</v>
          </cell>
        </row>
        <row r="1604">
          <cell r="B1604" t="str">
            <v>8010060788</v>
          </cell>
        </row>
        <row r="1604">
          <cell r="W1604">
            <v>15</v>
          </cell>
        </row>
        <row r="1605">
          <cell r="B1605" t="str">
            <v>8020020242</v>
          </cell>
        </row>
        <row r="1605">
          <cell r="W1605">
            <v>500</v>
          </cell>
        </row>
        <row r="1606">
          <cell r="B1606" t="str">
            <v>8030020130</v>
          </cell>
        </row>
        <row r="1606">
          <cell r="W1606">
            <v>0</v>
          </cell>
        </row>
        <row r="1607">
          <cell r="B1607" t="str">
            <v>8030050055</v>
          </cell>
        </row>
        <row r="1607">
          <cell r="W1607">
            <v>2450</v>
          </cell>
        </row>
        <row r="1608">
          <cell r="B1608" t="str">
            <v>8030050101</v>
          </cell>
        </row>
        <row r="1608">
          <cell r="W1608">
            <v>50</v>
          </cell>
        </row>
        <row r="1609">
          <cell r="B1609" t="str">
            <v>8030050110</v>
          </cell>
        </row>
        <row r="1609">
          <cell r="W1609">
            <v>8</v>
          </cell>
        </row>
        <row r="1610">
          <cell r="B1610" t="str">
            <v>8030020351</v>
          </cell>
        </row>
        <row r="1610">
          <cell r="W1610">
            <v>645</v>
          </cell>
        </row>
        <row r="1611">
          <cell r="B1611" t="str">
            <v>8030020352</v>
          </cell>
        </row>
        <row r="1611">
          <cell r="W1611">
            <v>600</v>
          </cell>
        </row>
        <row r="1612">
          <cell r="B1612" t="str">
            <v>8030020353</v>
          </cell>
        </row>
        <row r="1612">
          <cell r="W1612">
            <v>200</v>
          </cell>
        </row>
        <row r="1613">
          <cell r="B1613" t="str">
            <v>8030021112</v>
          </cell>
        </row>
        <row r="1613">
          <cell r="W1613">
            <v>2100</v>
          </cell>
        </row>
        <row r="1614">
          <cell r="B1614" t="str">
            <v>8030020311</v>
          </cell>
        </row>
        <row r="1614">
          <cell r="W1614">
            <v>-1</v>
          </cell>
        </row>
        <row r="1615">
          <cell r="B1615" t="str">
            <v>8030020754</v>
          </cell>
        </row>
        <row r="1615">
          <cell r="W1615">
            <v>0</v>
          </cell>
        </row>
        <row r="1616">
          <cell r="B1616" t="str">
            <v>102569</v>
          </cell>
        </row>
        <row r="1616">
          <cell r="W1616">
            <v>0</v>
          </cell>
        </row>
        <row r="1617">
          <cell r="B1617" t="str">
            <v>8030020808</v>
          </cell>
        </row>
        <row r="1617">
          <cell r="W1617">
            <v>49</v>
          </cell>
        </row>
        <row r="1618">
          <cell r="B1618" t="str">
            <v>8030020812</v>
          </cell>
        </row>
        <row r="1618">
          <cell r="W1618">
            <v>30</v>
          </cell>
        </row>
        <row r="1619">
          <cell r="B1619" t="str">
            <v>8020013759</v>
          </cell>
        </row>
        <row r="1619">
          <cell r="W1619">
            <v>0</v>
          </cell>
        </row>
        <row r="1620">
          <cell r="B1620" t="str">
            <v>8020012377</v>
          </cell>
        </row>
        <row r="1620">
          <cell r="W1620">
            <v>123</v>
          </cell>
        </row>
        <row r="1621">
          <cell r="B1621" t="str">
            <v>8020013761</v>
          </cell>
        </row>
        <row r="1621">
          <cell r="W1621">
            <v>0</v>
          </cell>
        </row>
        <row r="1622">
          <cell r="B1622" t="str">
            <v>8020013762</v>
          </cell>
        </row>
        <row r="1622">
          <cell r="W1622">
            <v>10</v>
          </cell>
        </row>
        <row r="1623">
          <cell r="B1623" t="str">
            <v>8020013760</v>
          </cell>
        </row>
        <row r="1623">
          <cell r="W1623">
            <v>26</v>
          </cell>
        </row>
        <row r="1624">
          <cell r="B1624" t="str">
            <v>8020010018</v>
          </cell>
        </row>
        <row r="1624">
          <cell r="W1624">
            <v>252</v>
          </cell>
        </row>
        <row r="1625">
          <cell r="B1625" t="str">
            <v>8020010044</v>
          </cell>
        </row>
        <row r="1625">
          <cell r="W1625">
            <v>0</v>
          </cell>
        </row>
        <row r="1626">
          <cell r="B1626" t="str">
            <v>8020010083</v>
          </cell>
        </row>
        <row r="1626">
          <cell r="W1626">
            <v>795</v>
          </cell>
        </row>
        <row r="1627">
          <cell r="B1627" t="str">
            <v>8020010140</v>
          </cell>
        </row>
        <row r="1627">
          <cell r="W1627">
            <v>7</v>
          </cell>
        </row>
        <row r="1628">
          <cell r="B1628" t="str">
            <v>8010012691</v>
          </cell>
        </row>
        <row r="1628">
          <cell r="W1628">
            <v>250</v>
          </cell>
        </row>
        <row r="1629">
          <cell r="B1629" t="str">
            <v>8010012683</v>
          </cell>
        </row>
        <row r="1629">
          <cell r="W1629">
            <v>1602</v>
          </cell>
        </row>
        <row r="1630">
          <cell r="B1630" t="str">
            <v>8010012684</v>
          </cell>
        </row>
        <row r="1630">
          <cell r="W1630">
            <v>315</v>
          </cell>
        </row>
        <row r="1631">
          <cell r="B1631" t="str">
            <v>8010012696</v>
          </cell>
        </row>
        <row r="1631">
          <cell r="W1631">
            <v>157</v>
          </cell>
        </row>
        <row r="1632">
          <cell r="B1632" t="str">
            <v>8010013700</v>
          </cell>
        </row>
        <row r="1632">
          <cell r="W1632">
            <v>0</v>
          </cell>
        </row>
        <row r="1633">
          <cell r="B1633" t="str">
            <v>8010012695</v>
          </cell>
        </row>
        <row r="1633">
          <cell r="W1633">
            <v>261</v>
          </cell>
        </row>
        <row r="1634">
          <cell r="B1634" t="str">
            <v>8010013702</v>
          </cell>
        </row>
        <row r="1634">
          <cell r="W1634">
            <v>32</v>
          </cell>
        </row>
        <row r="1635">
          <cell r="B1635" t="str">
            <v>8020020047</v>
          </cell>
        </row>
        <row r="1635">
          <cell r="W1635">
            <v>1995</v>
          </cell>
        </row>
        <row r="1636">
          <cell r="B1636" t="str">
            <v>8010024381</v>
          </cell>
        </row>
        <row r="1636">
          <cell r="W1636">
            <v>995</v>
          </cell>
        </row>
        <row r="1637">
          <cell r="B1637" t="str">
            <v>8010024325</v>
          </cell>
        </row>
        <row r="1637">
          <cell r="W1637">
            <v>137</v>
          </cell>
        </row>
        <row r="1638">
          <cell r="B1638" t="str">
            <v>8010024380</v>
          </cell>
        </row>
        <row r="1638">
          <cell r="W1638">
            <v>918</v>
          </cell>
        </row>
        <row r="1639">
          <cell r="B1639" t="str">
            <v>8010024379</v>
          </cell>
        </row>
        <row r="1639">
          <cell r="W1639">
            <v>361</v>
          </cell>
        </row>
        <row r="1640">
          <cell r="B1640" t="str">
            <v>8010024326</v>
          </cell>
        </row>
        <row r="1640">
          <cell r="W1640">
            <v>270</v>
          </cell>
        </row>
        <row r="1641">
          <cell r="B1641" t="str">
            <v>8010024446</v>
          </cell>
        </row>
        <row r="1641">
          <cell r="W1641">
            <v>1144</v>
          </cell>
        </row>
        <row r="1642">
          <cell r="B1642" t="str">
            <v>8010024662</v>
          </cell>
        </row>
        <row r="1642">
          <cell r="W1642">
            <v>337</v>
          </cell>
        </row>
        <row r="1643">
          <cell r="B1643" t="str">
            <v>8010024417</v>
          </cell>
        </row>
        <row r="1643">
          <cell r="W1643">
            <v>302</v>
          </cell>
        </row>
        <row r="1644">
          <cell r="B1644" t="str">
            <v>8010024661</v>
          </cell>
        </row>
        <row r="1644">
          <cell r="W1644">
            <v>776</v>
          </cell>
        </row>
        <row r="1645">
          <cell r="B1645" t="str">
            <v>8010024445</v>
          </cell>
        </row>
        <row r="1645">
          <cell r="W1645">
            <v>182</v>
          </cell>
        </row>
        <row r="1646">
          <cell r="B1646" t="str">
            <v>8010024193</v>
          </cell>
        </row>
        <row r="1646">
          <cell r="W1646">
            <v>830</v>
          </cell>
        </row>
        <row r="1647">
          <cell r="B1647" t="str">
            <v>8010024382</v>
          </cell>
        </row>
        <row r="1647">
          <cell r="W1647">
            <v>617</v>
          </cell>
        </row>
        <row r="1648">
          <cell r="B1648" t="str">
            <v>8010024384</v>
          </cell>
        </row>
        <row r="1648">
          <cell r="W1648">
            <v>750</v>
          </cell>
        </row>
        <row r="1649">
          <cell r="B1649" t="str">
            <v>8010024385</v>
          </cell>
        </row>
        <row r="1649">
          <cell r="W1649">
            <v>62</v>
          </cell>
        </row>
        <row r="1650">
          <cell r="B1650" t="str">
            <v>8020022788</v>
          </cell>
        </row>
        <row r="1650">
          <cell r="W1650">
            <v>166</v>
          </cell>
        </row>
        <row r="1651">
          <cell r="B1651" t="str">
            <v>8020022658</v>
          </cell>
        </row>
        <row r="1651">
          <cell r="W1651">
            <v>323</v>
          </cell>
        </row>
        <row r="1652">
          <cell r="B1652" t="str">
            <v>8020022660</v>
          </cell>
        </row>
        <row r="1652">
          <cell r="W1652">
            <v>892</v>
          </cell>
        </row>
        <row r="1653">
          <cell r="B1653" t="str">
            <v>8020022752</v>
          </cell>
        </row>
        <row r="1653">
          <cell r="W1653">
            <v>388</v>
          </cell>
        </row>
        <row r="1654">
          <cell r="B1654" t="str">
            <v>8020022661</v>
          </cell>
        </row>
        <row r="1654">
          <cell r="W1654">
            <v>213</v>
          </cell>
        </row>
        <row r="1655">
          <cell r="B1655" t="str">
            <v>8020022663</v>
          </cell>
        </row>
        <row r="1655">
          <cell r="W1655">
            <v>138</v>
          </cell>
        </row>
        <row r="1656">
          <cell r="B1656" t="str">
            <v>8020022666</v>
          </cell>
        </row>
        <row r="1656">
          <cell r="W1656">
            <v>152</v>
          </cell>
        </row>
        <row r="1657">
          <cell r="B1657" t="str">
            <v>8020020875</v>
          </cell>
        </row>
        <row r="1657">
          <cell r="W1657">
            <v>0</v>
          </cell>
        </row>
        <row r="1658">
          <cell r="B1658" t="str">
            <v>8010024373</v>
          </cell>
        </row>
        <row r="1658">
          <cell r="W1658">
            <v>326</v>
          </cell>
        </row>
        <row r="1659">
          <cell r="B1659" t="str">
            <v>8010024370</v>
          </cell>
        </row>
        <row r="1659">
          <cell r="W1659">
            <v>103</v>
          </cell>
        </row>
        <row r="1660">
          <cell r="B1660" t="str">
            <v>8010024372</v>
          </cell>
        </row>
        <row r="1660">
          <cell r="W1660">
            <v>58</v>
          </cell>
        </row>
        <row r="1661">
          <cell r="B1661" t="str">
            <v>8010024371</v>
          </cell>
        </row>
        <row r="1661">
          <cell r="W1661">
            <v>330</v>
          </cell>
        </row>
        <row r="1662">
          <cell r="B1662" t="str">
            <v>8010024369</v>
          </cell>
        </row>
        <row r="1662">
          <cell r="W1662">
            <v>178</v>
          </cell>
        </row>
        <row r="1663">
          <cell r="B1663" t="str">
            <v>8010024444</v>
          </cell>
        </row>
        <row r="1663">
          <cell r="W1663">
            <v>353</v>
          </cell>
        </row>
        <row r="1664">
          <cell r="B1664" t="str">
            <v>8010024414</v>
          </cell>
        </row>
        <row r="1664">
          <cell r="W1664">
            <v>300</v>
          </cell>
        </row>
        <row r="1665">
          <cell r="B1665" t="str">
            <v>8010024324</v>
          </cell>
        </row>
        <row r="1665">
          <cell r="W1665">
            <v>538</v>
          </cell>
        </row>
        <row r="1666">
          <cell r="B1666" t="str">
            <v>8010024368</v>
          </cell>
        </row>
        <row r="1666">
          <cell r="W1666">
            <v>200</v>
          </cell>
        </row>
        <row r="1667">
          <cell r="B1667" t="str">
            <v>8010024378</v>
          </cell>
        </row>
        <row r="1667">
          <cell r="W1667">
            <v>227</v>
          </cell>
        </row>
        <row r="1668">
          <cell r="B1668" t="str">
            <v>8010024377</v>
          </cell>
        </row>
        <row r="1668">
          <cell r="W1668">
            <v>56</v>
          </cell>
        </row>
        <row r="1669">
          <cell r="B1669" t="str">
            <v>8010024374</v>
          </cell>
        </row>
        <row r="1669">
          <cell r="W1669">
            <v>155</v>
          </cell>
        </row>
        <row r="1670">
          <cell r="B1670" t="str">
            <v>8010024376</v>
          </cell>
        </row>
        <row r="1670">
          <cell r="W1670">
            <v>422</v>
          </cell>
        </row>
        <row r="1671">
          <cell r="B1671" t="str">
            <v>8010024375</v>
          </cell>
        </row>
        <row r="1671">
          <cell r="W1671">
            <v>450</v>
          </cell>
        </row>
        <row r="1672">
          <cell r="B1672" t="str">
            <v>8010024413</v>
          </cell>
        </row>
        <row r="1672">
          <cell r="W1672">
            <v>383</v>
          </cell>
        </row>
        <row r="1673">
          <cell r="B1673" t="str">
            <v>8030021235</v>
          </cell>
        </row>
        <row r="1673">
          <cell r="W1673">
            <v>186</v>
          </cell>
        </row>
        <row r="1674">
          <cell r="B1674" t="str">
            <v>8010072350</v>
          </cell>
        </row>
        <row r="1674">
          <cell r="W1674">
            <v>7895</v>
          </cell>
        </row>
        <row r="1675">
          <cell r="B1675" t="str">
            <v>8020040806</v>
          </cell>
        </row>
        <row r="1675">
          <cell r="W1675">
            <v>0</v>
          </cell>
        </row>
        <row r="1676">
          <cell r="B1676" t="str">
            <v>8020022639</v>
          </cell>
        </row>
        <row r="1676">
          <cell r="W1676">
            <v>604</v>
          </cell>
        </row>
        <row r="1677">
          <cell r="B1677" t="str">
            <v>8020022668</v>
          </cell>
        </row>
        <row r="1677">
          <cell r="W1677">
            <v>2456</v>
          </cell>
        </row>
        <row r="1678">
          <cell r="B1678" t="str">
            <v>8020022670</v>
          </cell>
        </row>
        <row r="1678">
          <cell r="W1678">
            <v>407</v>
          </cell>
        </row>
        <row r="1679">
          <cell r="B1679" t="str">
            <v>8010040044</v>
          </cell>
        </row>
        <row r="1679">
          <cell r="W1679">
            <v>0</v>
          </cell>
        </row>
        <row r="1680">
          <cell r="B1680" t="str">
            <v>8010040047</v>
          </cell>
        </row>
        <row r="1680">
          <cell r="W1680">
            <v>0</v>
          </cell>
        </row>
        <row r="1681">
          <cell r="B1681" t="str">
            <v>8010040232</v>
          </cell>
        </row>
        <row r="1681">
          <cell r="W1681">
            <v>0</v>
          </cell>
        </row>
        <row r="1682">
          <cell r="B1682" t="str">
            <v>8010040237</v>
          </cell>
        </row>
        <row r="1682">
          <cell r="W1682">
            <v>0</v>
          </cell>
        </row>
        <row r="1683">
          <cell r="B1683" t="str">
            <v>8010041341</v>
          </cell>
        </row>
        <row r="1683">
          <cell r="W1683">
            <v>0</v>
          </cell>
        </row>
        <row r="1684">
          <cell r="B1684" t="str">
            <v>8010041337</v>
          </cell>
        </row>
        <row r="1684">
          <cell r="W1684">
            <v>0</v>
          </cell>
        </row>
        <row r="1685">
          <cell r="B1685" t="str">
            <v>8010072855</v>
          </cell>
        </row>
        <row r="1685">
          <cell r="W1685">
            <v>50</v>
          </cell>
        </row>
        <row r="1686">
          <cell r="B1686" t="str">
            <v>8020020748</v>
          </cell>
        </row>
        <row r="1686">
          <cell r="W1686">
            <v>0</v>
          </cell>
        </row>
        <row r="1687">
          <cell r="B1687" t="str">
            <v>8010024359</v>
          </cell>
        </row>
        <row r="1687">
          <cell r="W1687">
            <v>80</v>
          </cell>
        </row>
        <row r="1688">
          <cell r="B1688" t="str">
            <v>8010024356</v>
          </cell>
        </row>
        <row r="1688">
          <cell r="W1688">
            <v>870</v>
          </cell>
        </row>
        <row r="1689">
          <cell r="B1689" t="str">
            <v>8010024361</v>
          </cell>
        </row>
        <row r="1689">
          <cell r="W1689">
            <v>390</v>
          </cell>
        </row>
        <row r="1690">
          <cell r="B1690" t="str">
            <v>8010024363</v>
          </cell>
        </row>
        <row r="1690">
          <cell r="W1690">
            <v>110</v>
          </cell>
        </row>
        <row r="1691">
          <cell r="B1691" t="str">
            <v>8010024982</v>
          </cell>
        </row>
        <row r="1691">
          <cell r="W1691">
            <v>119</v>
          </cell>
        </row>
        <row r="1692">
          <cell r="B1692" t="str">
            <v>8020022747</v>
          </cell>
        </row>
        <row r="1692">
          <cell r="W1692">
            <v>828</v>
          </cell>
        </row>
        <row r="1693">
          <cell r="B1693" t="str">
            <v>8020022762</v>
          </cell>
        </row>
        <row r="1693">
          <cell r="W1693">
            <v>392</v>
          </cell>
        </row>
        <row r="1694">
          <cell r="B1694" t="str">
            <v>8020022815</v>
          </cell>
        </row>
        <row r="1694">
          <cell r="W1694">
            <v>185</v>
          </cell>
        </row>
        <row r="1695">
          <cell r="B1695" t="str">
            <v>8020026063</v>
          </cell>
        </row>
        <row r="1695">
          <cell r="W1695">
            <v>0</v>
          </cell>
        </row>
        <row r="1696">
          <cell r="B1696" t="str">
            <v>8020022847</v>
          </cell>
        </row>
        <row r="1696">
          <cell r="W1696">
            <v>185</v>
          </cell>
        </row>
        <row r="1697">
          <cell r="B1697" t="str">
            <v>8020020399</v>
          </cell>
        </row>
        <row r="1697">
          <cell r="W1697">
            <v>0</v>
          </cell>
        </row>
        <row r="1698">
          <cell r="B1698" t="str">
            <v>8010072739</v>
          </cell>
        </row>
        <row r="1698">
          <cell r="W1698">
            <v>116</v>
          </cell>
        </row>
        <row r="1699">
          <cell r="B1699" t="str">
            <v>8010072741</v>
          </cell>
        </row>
        <row r="1699">
          <cell r="W1699">
            <v>106</v>
          </cell>
        </row>
        <row r="1700">
          <cell r="B1700" t="str">
            <v>8010024420</v>
          </cell>
        </row>
        <row r="1700">
          <cell r="W1700">
            <v>107</v>
          </cell>
        </row>
        <row r="1701">
          <cell r="B1701" t="str">
            <v>102570</v>
          </cell>
        </row>
        <row r="1701">
          <cell r="W1701">
            <v>0</v>
          </cell>
        </row>
        <row r="1702">
          <cell r="B1702" t="str">
            <v>8010024450</v>
          </cell>
        </row>
        <row r="1702">
          <cell r="W1702">
            <v>24</v>
          </cell>
        </row>
        <row r="1703">
          <cell r="B1703" t="str">
            <v>8010024553</v>
          </cell>
        </row>
        <row r="1703">
          <cell r="W1703">
            <v>294</v>
          </cell>
        </row>
        <row r="1704">
          <cell r="B1704" t="str">
            <v>8010024419</v>
          </cell>
        </row>
        <row r="1704">
          <cell r="W1704">
            <v>110</v>
          </cell>
        </row>
        <row r="1705">
          <cell r="B1705" t="str">
            <v>8010024813</v>
          </cell>
        </row>
        <row r="1705">
          <cell r="W1705">
            <v>392</v>
          </cell>
        </row>
        <row r="1706">
          <cell r="B1706" t="str">
            <v>8010024452</v>
          </cell>
        </row>
        <row r="1706">
          <cell r="W1706">
            <v>107</v>
          </cell>
        </row>
        <row r="1707">
          <cell r="B1707" t="str">
            <v>8010024451</v>
          </cell>
        </row>
        <row r="1707">
          <cell r="W1707">
            <v>50</v>
          </cell>
        </row>
        <row r="1708">
          <cell r="B1708" t="str">
            <v>8010024554</v>
          </cell>
        </row>
        <row r="1708">
          <cell r="W1708">
            <v>165</v>
          </cell>
        </row>
        <row r="1709">
          <cell r="B1709" t="str">
            <v>8010024814</v>
          </cell>
        </row>
        <row r="1709">
          <cell r="W1709">
            <v>173</v>
          </cell>
        </row>
        <row r="1710">
          <cell r="B1710" t="str">
            <v>8010024367</v>
          </cell>
        </row>
        <row r="1710">
          <cell r="W1710">
            <v>128</v>
          </cell>
        </row>
        <row r="1711">
          <cell r="B1711" t="str">
            <v>8010024660</v>
          </cell>
        </row>
        <row r="1711">
          <cell r="W1711">
            <v>319</v>
          </cell>
        </row>
        <row r="1712">
          <cell r="B1712" t="str">
            <v>8010024411</v>
          </cell>
        </row>
        <row r="1712">
          <cell r="W1712">
            <v>595</v>
          </cell>
        </row>
        <row r="1713">
          <cell r="B1713" t="str">
            <v>8010024561</v>
          </cell>
        </row>
        <row r="1713">
          <cell r="W1713">
            <v>300</v>
          </cell>
        </row>
        <row r="1714">
          <cell r="B1714" t="str">
            <v>8010024412</v>
          </cell>
        </row>
        <row r="1714">
          <cell r="W1714">
            <v>141</v>
          </cell>
        </row>
        <row r="1715">
          <cell r="B1715" t="str">
            <v>8010024442</v>
          </cell>
        </row>
        <row r="1715">
          <cell r="W1715">
            <v>105</v>
          </cell>
        </row>
        <row r="1716">
          <cell r="B1716" t="str">
            <v>8010024659</v>
          </cell>
        </row>
        <row r="1716">
          <cell r="W1716">
            <v>446</v>
          </cell>
        </row>
        <row r="1717">
          <cell r="B1717" t="str">
            <v>8010024658</v>
          </cell>
        </row>
        <row r="1717">
          <cell r="W1717">
            <v>335</v>
          </cell>
        </row>
        <row r="1718">
          <cell r="B1718" t="str">
            <v>8010024549</v>
          </cell>
        </row>
        <row r="1718">
          <cell r="W1718">
            <v>290</v>
          </cell>
        </row>
        <row r="1719">
          <cell r="B1719" t="str">
            <v>8010024443</v>
          </cell>
        </row>
        <row r="1719">
          <cell r="W1719">
            <v>32</v>
          </cell>
        </row>
        <row r="1720">
          <cell r="B1720" t="str">
            <v>8010070924</v>
          </cell>
        </row>
        <row r="1720">
          <cell r="W1720">
            <v>1</v>
          </cell>
        </row>
        <row r="1721">
          <cell r="B1721" t="str">
            <v>8010070923</v>
          </cell>
        </row>
        <row r="1721">
          <cell r="W1721">
            <v>0</v>
          </cell>
        </row>
        <row r="1722">
          <cell r="B1722" t="str">
            <v>8020022814</v>
          </cell>
        </row>
        <row r="1722">
          <cell r="W1722">
            <v>0</v>
          </cell>
        </row>
        <row r="1723">
          <cell r="B1723" t="str">
            <v>8020022813</v>
          </cell>
        </row>
        <row r="1723">
          <cell r="W1723">
            <v>83</v>
          </cell>
        </row>
        <row r="1724">
          <cell r="B1724" t="str">
            <v>8020022743</v>
          </cell>
        </row>
        <row r="1724">
          <cell r="W1724">
            <v>157</v>
          </cell>
        </row>
        <row r="1725">
          <cell r="B1725" t="str">
            <v>8020022791</v>
          </cell>
        </row>
        <row r="1725">
          <cell r="W1725">
            <v>15</v>
          </cell>
        </row>
        <row r="1726">
          <cell r="B1726" t="str">
            <v>8020022636</v>
          </cell>
        </row>
        <row r="1726">
          <cell r="W1726">
            <v>7</v>
          </cell>
        </row>
        <row r="1727">
          <cell r="B1727" t="str">
            <v>GPR-MB06R01001</v>
          </cell>
        </row>
        <row r="1727">
          <cell r="W1727">
            <v>0</v>
          </cell>
        </row>
        <row r="1728">
          <cell r="B1728" t="str">
            <v>GPR-MB21B03001</v>
          </cell>
        </row>
        <row r="1728">
          <cell r="W1728">
            <v>0</v>
          </cell>
        </row>
        <row r="1729">
          <cell r="B1729" t="str">
            <v>GPR-LL05L00001</v>
          </cell>
        </row>
        <row r="1729">
          <cell r="W1729">
            <v>0</v>
          </cell>
        </row>
        <row r="1730">
          <cell r="B1730" t="str">
            <v>39259000000024</v>
          </cell>
        </row>
        <row r="1730">
          <cell r="W1730">
            <v>-8922</v>
          </cell>
        </row>
        <row r="1731">
          <cell r="B1731" t="str">
            <v>GPR-EQ38R02002</v>
          </cell>
        </row>
        <row r="1731">
          <cell r="W1731">
            <v>0</v>
          </cell>
        </row>
        <row r="1732">
          <cell r="B1732" t="str">
            <v>GPR-EQ38R11001</v>
          </cell>
        </row>
        <row r="1732">
          <cell r="W1732">
            <v>0</v>
          </cell>
        </row>
        <row r="1733">
          <cell r="B1733" t="str">
            <v>GPR-EQ28R02009</v>
          </cell>
        </row>
        <row r="1733">
          <cell r="W1733">
            <v>0</v>
          </cell>
        </row>
        <row r="1734">
          <cell r="B1734" t="str">
            <v>CP-UPST-004</v>
          </cell>
        </row>
        <row r="1734">
          <cell r="W1734">
            <v>0</v>
          </cell>
        </row>
        <row r="1735">
          <cell r="B1735" t="str">
            <v>GPR-EL00C02001</v>
          </cell>
        </row>
        <row r="1735">
          <cell r="W1735">
            <v>0</v>
          </cell>
        </row>
        <row r="1736">
          <cell r="B1736" t="str">
            <v>GPR-HS01R02003</v>
          </cell>
        </row>
        <row r="1736">
          <cell r="W1736">
            <v>0</v>
          </cell>
        </row>
        <row r="1737">
          <cell r="B1737" t="str">
            <v>GPR-PL02C01003</v>
          </cell>
        </row>
        <row r="1737">
          <cell r="W1737">
            <v>-0.0046</v>
          </cell>
        </row>
        <row r="1738">
          <cell r="B1738" t="str">
            <v>39259000000027</v>
          </cell>
        </row>
        <row r="1738">
          <cell r="W1738">
            <v>0</v>
          </cell>
        </row>
        <row r="1739">
          <cell r="B1739" t="str">
            <v>GPR-SP25M21011</v>
          </cell>
        </row>
        <row r="1739">
          <cell r="W1739">
            <v>0</v>
          </cell>
        </row>
        <row r="1740">
          <cell r="B1740" t="str">
            <v>GPR-HO06P01001</v>
          </cell>
        </row>
        <row r="1740">
          <cell r="W1740">
            <v>0</v>
          </cell>
        </row>
        <row r="1741">
          <cell r="B1741" t="str">
            <v>GPR-EQ39C01001</v>
          </cell>
        </row>
        <row r="1741">
          <cell r="W1741">
            <v>0</v>
          </cell>
        </row>
        <row r="1742">
          <cell r="B1742" t="str">
            <v>GPR-HD01S21009</v>
          </cell>
        </row>
        <row r="1742">
          <cell r="W1742">
            <v>0</v>
          </cell>
        </row>
        <row r="1743">
          <cell r="B1743" t="str">
            <v>102419</v>
          </cell>
        </row>
        <row r="1743">
          <cell r="W1743">
            <v>0</v>
          </cell>
        </row>
        <row r="1744">
          <cell r="B1744" t="str">
            <v>GPR-EL22A22005</v>
          </cell>
        </row>
        <row r="1744">
          <cell r="W1744">
            <v>0</v>
          </cell>
        </row>
        <row r="1745">
          <cell r="B1745" t="str">
            <v>6900012091342</v>
          </cell>
        </row>
        <row r="1745">
          <cell r="W1745">
            <v>0</v>
          </cell>
        </row>
        <row r="1746">
          <cell r="B1746" t="str">
            <v>GPR-HS02R02001</v>
          </cell>
        </row>
        <row r="1746">
          <cell r="W1746">
            <v>0</v>
          </cell>
        </row>
        <row r="1747">
          <cell r="B1747" t="str">
            <v>6900009060328</v>
          </cell>
        </row>
        <row r="1747">
          <cell r="W1747">
            <v>0</v>
          </cell>
        </row>
        <row r="1748">
          <cell r="B1748" t="str">
            <v>GPR-MB02L11003</v>
          </cell>
        </row>
        <row r="1748">
          <cell r="W1748">
            <v>0</v>
          </cell>
        </row>
        <row r="1749">
          <cell r="B1749" t="str">
            <v>GPR-PP04C01024</v>
          </cell>
        </row>
        <row r="1749">
          <cell r="W1749">
            <v>0</v>
          </cell>
        </row>
        <row r="1750">
          <cell r="B1750" t="str">
            <v>GPR-PP04C01025</v>
          </cell>
        </row>
        <row r="1750">
          <cell r="W1750">
            <v>0</v>
          </cell>
        </row>
        <row r="1751">
          <cell r="B1751" t="str">
            <v>GPR-PP04C01028</v>
          </cell>
        </row>
        <row r="1751">
          <cell r="W1751">
            <v>0</v>
          </cell>
        </row>
        <row r="1752">
          <cell r="B1752" t="str">
            <v>GPR-PP04C01026</v>
          </cell>
        </row>
        <row r="1752">
          <cell r="W1752">
            <v>0</v>
          </cell>
        </row>
        <row r="1753">
          <cell r="B1753" t="str">
            <v>GPR-PP04C01029</v>
          </cell>
        </row>
        <row r="1753">
          <cell r="W1753">
            <v>0</v>
          </cell>
        </row>
        <row r="1754">
          <cell r="B1754" t="str">
            <v>GPR-PP04C01030</v>
          </cell>
        </row>
        <row r="1754">
          <cell r="W1754">
            <v>0</v>
          </cell>
        </row>
        <row r="1755">
          <cell r="B1755" t="str">
            <v>GPR-PP06R00001</v>
          </cell>
        </row>
        <row r="1755">
          <cell r="W1755">
            <v>0</v>
          </cell>
        </row>
        <row r="1756">
          <cell r="B1756" t="str">
            <v>6900012091362</v>
          </cell>
        </row>
        <row r="1756">
          <cell r="W1756">
            <v>0</v>
          </cell>
        </row>
        <row r="1757">
          <cell r="B1757" t="str">
            <v>102321</v>
          </cell>
        </row>
        <row r="1757">
          <cell r="W1757">
            <v>0</v>
          </cell>
        </row>
        <row r="1758">
          <cell r="B1758" t="str">
            <v>GPR-PP04M21004</v>
          </cell>
        </row>
        <row r="1758">
          <cell r="W1758">
            <v>0</v>
          </cell>
        </row>
        <row r="1759">
          <cell r="B1759" t="str">
            <v>102347</v>
          </cell>
        </row>
        <row r="1759">
          <cell r="W1759">
            <v>0</v>
          </cell>
        </row>
        <row r="1760">
          <cell r="B1760" t="str">
            <v>80090957</v>
          </cell>
        </row>
        <row r="1760">
          <cell r="W1760">
            <v>0</v>
          </cell>
        </row>
        <row r="1761">
          <cell r="B1761" t="str">
            <v>GPR-MB00M23003</v>
          </cell>
        </row>
        <row r="1761">
          <cell r="W1761">
            <v>0</v>
          </cell>
        </row>
        <row r="1762">
          <cell r="B1762" t="str">
            <v>GPR-MB00M23002</v>
          </cell>
        </row>
        <row r="1762">
          <cell r="W1762">
            <v>0</v>
          </cell>
        </row>
        <row r="1763">
          <cell r="B1763" t="str">
            <v>GPR-PP04C01035</v>
          </cell>
        </row>
        <row r="1763">
          <cell r="W1763">
            <v>0</v>
          </cell>
        </row>
        <row r="1764">
          <cell r="B1764" t="str">
            <v>GPR-PP04C01037</v>
          </cell>
        </row>
        <row r="1764">
          <cell r="W1764">
            <v>0</v>
          </cell>
        </row>
        <row r="1765">
          <cell r="B1765" t="str">
            <v>80516218</v>
          </cell>
        </row>
        <row r="1765">
          <cell r="W1765">
            <v>20</v>
          </cell>
        </row>
        <row r="1766">
          <cell r="B1766" t="str">
            <v>80516222</v>
          </cell>
        </row>
        <row r="1766">
          <cell r="W1766">
            <v>0</v>
          </cell>
        </row>
        <row r="1767">
          <cell r="B1767" t="str">
            <v>80516496</v>
          </cell>
        </row>
        <row r="1767">
          <cell r="W1767">
            <v>0</v>
          </cell>
        </row>
        <row r="1768">
          <cell r="B1768" t="str">
            <v>80516500</v>
          </cell>
        </row>
        <row r="1768">
          <cell r="W1768">
            <v>0</v>
          </cell>
        </row>
        <row r="1769">
          <cell r="B1769" t="str">
            <v>80516262</v>
          </cell>
        </row>
        <row r="1769">
          <cell r="W1769">
            <v>0</v>
          </cell>
        </row>
        <row r="1770">
          <cell r="B1770" t="str">
            <v>80516264</v>
          </cell>
        </row>
        <row r="1770">
          <cell r="W1770">
            <v>0</v>
          </cell>
        </row>
        <row r="1771">
          <cell r="B1771" t="str">
            <v>80576829</v>
          </cell>
        </row>
        <row r="1771">
          <cell r="W1771">
            <v>16</v>
          </cell>
        </row>
        <row r="1772">
          <cell r="B1772" t="str">
            <v>GPR-PP04M21009</v>
          </cell>
        </row>
        <row r="1772">
          <cell r="W1772">
            <v>0</v>
          </cell>
        </row>
        <row r="1773">
          <cell r="B1773" t="str">
            <v>GPR-PP04M21005</v>
          </cell>
        </row>
        <row r="1773">
          <cell r="W1773">
            <v>0</v>
          </cell>
        </row>
        <row r="1774">
          <cell r="B1774" t="str">
            <v>102308</v>
          </cell>
        </row>
        <row r="1774">
          <cell r="W1774">
            <v>0</v>
          </cell>
        </row>
        <row r="1775">
          <cell r="B1775" t="str">
            <v>102402</v>
          </cell>
        </row>
        <row r="1775">
          <cell r="W1775">
            <v>0</v>
          </cell>
        </row>
        <row r="1776">
          <cell r="B1776" t="str">
            <v>102401</v>
          </cell>
        </row>
        <row r="1776">
          <cell r="W1776">
            <v>0</v>
          </cell>
        </row>
        <row r="1777">
          <cell r="B1777" t="str">
            <v>102403</v>
          </cell>
        </row>
        <row r="1777">
          <cell r="W1777">
            <v>0</v>
          </cell>
        </row>
        <row r="1778">
          <cell r="B1778" t="str">
            <v>102404</v>
          </cell>
        </row>
        <row r="1778">
          <cell r="W1778">
            <v>0</v>
          </cell>
        </row>
        <row r="1779">
          <cell r="B1779" t="str">
            <v>GPR-PP04R02011</v>
          </cell>
        </row>
        <row r="1779">
          <cell r="W1779">
            <v>0</v>
          </cell>
        </row>
        <row r="1780">
          <cell r="B1780" t="str">
            <v>GPR-PP04R02007</v>
          </cell>
        </row>
        <row r="1780">
          <cell r="W1780">
            <v>0</v>
          </cell>
        </row>
        <row r="1781">
          <cell r="B1781" t="str">
            <v>GPR-PP04R02008</v>
          </cell>
        </row>
        <row r="1781">
          <cell r="W1781">
            <v>0</v>
          </cell>
        </row>
        <row r="1782">
          <cell r="B1782" t="str">
            <v>GPR-PP04R02006</v>
          </cell>
        </row>
        <row r="1782">
          <cell r="W1782">
            <v>0</v>
          </cell>
        </row>
        <row r="1783">
          <cell r="B1783" t="str">
            <v>GPR-PP04R02003</v>
          </cell>
        </row>
        <row r="1783">
          <cell r="W1783">
            <v>0</v>
          </cell>
        </row>
        <row r="1784">
          <cell r="B1784" t="str">
            <v>GPR-PP04R02005</v>
          </cell>
        </row>
        <row r="1784">
          <cell r="W1784">
            <v>0</v>
          </cell>
        </row>
        <row r="1785">
          <cell r="B1785" t="str">
            <v>GPR-PP04R02001</v>
          </cell>
        </row>
        <row r="1785">
          <cell r="W1785">
            <v>0</v>
          </cell>
        </row>
        <row r="1786">
          <cell r="B1786" t="str">
            <v>69000030103191</v>
          </cell>
        </row>
        <row r="1786">
          <cell r="W1786">
            <v>0</v>
          </cell>
        </row>
        <row r="1787">
          <cell r="B1787" t="str">
            <v>69000030103192</v>
          </cell>
        </row>
        <row r="1787">
          <cell r="W1787">
            <v>0</v>
          </cell>
        </row>
        <row r="1788">
          <cell r="B1788" t="str">
            <v>69000030103193</v>
          </cell>
        </row>
        <row r="1788">
          <cell r="W1788">
            <v>0</v>
          </cell>
        </row>
        <row r="1789">
          <cell r="B1789" t="str">
            <v>6900012091314</v>
          </cell>
        </row>
        <row r="1789">
          <cell r="W1789">
            <v>0</v>
          </cell>
        </row>
        <row r="1790">
          <cell r="B1790" t="str">
            <v>6900012091315</v>
          </cell>
        </row>
        <row r="1790">
          <cell r="W1790">
            <v>0</v>
          </cell>
        </row>
        <row r="1791">
          <cell r="B1791" t="str">
            <v>6900012091313</v>
          </cell>
        </row>
        <row r="1791">
          <cell r="W1791">
            <v>0</v>
          </cell>
        </row>
        <row r="1792">
          <cell r="B1792" t="str">
            <v>102462</v>
          </cell>
        </row>
        <row r="1792">
          <cell r="W1792">
            <v>0</v>
          </cell>
        </row>
        <row r="1793">
          <cell r="B1793" t="str">
            <v>102461</v>
          </cell>
        </row>
        <row r="1793">
          <cell r="W1793">
            <v>0</v>
          </cell>
        </row>
        <row r="1794">
          <cell r="B1794" t="str">
            <v>102460</v>
          </cell>
        </row>
        <row r="1794">
          <cell r="W1794">
            <v>0</v>
          </cell>
        </row>
        <row r="1795">
          <cell r="B1795" t="str">
            <v>102459</v>
          </cell>
        </row>
        <row r="1795">
          <cell r="W1795">
            <v>0</v>
          </cell>
        </row>
        <row r="1796">
          <cell r="B1796" t="str">
            <v>102452</v>
          </cell>
        </row>
        <row r="1796">
          <cell r="W1796">
            <v>0</v>
          </cell>
        </row>
        <row r="1797">
          <cell r="B1797" t="str">
            <v>102451</v>
          </cell>
        </row>
        <row r="1797">
          <cell r="W1797">
            <v>0</v>
          </cell>
        </row>
        <row r="1798">
          <cell r="B1798" t="str">
            <v>102450</v>
          </cell>
        </row>
        <row r="1798">
          <cell r="W1798">
            <v>0</v>
          </cell>
        </row>
        <row r="1799">
          <cell r="B1799" t="str">
            <v>102418</v>
          </cell>
        </row>
        <row r="1799">
          <cell r="W1799">
            <v>0</v>
          </cell>
        </row>
        <row r="1800">
          <cell r="B1800" t="str">
            <v>102327</v>
          </cell>
        </row>
        <row r="1800">
          <cell r="W1800">
            <v>0</v>
          </cell>
        </row>
        <row r="1801">
          <cell r="B1801" t="str">
            <v>102328</v>
          </cell>
        </row>
        <row r="1801">
          <cell r="W1801">
            <v>0</v>
          </cell>
        </row>
        <row r="1802">
          <cell r="B1802" t="str">
            <v>102348</v>
          </cell>
        </row>
        <row r="1802">
          <cell r="W1802">
            <v>0</v>
          </cell>
        </row>
        <row r="1803">
          <cell r="B1803" t="str">
            <v>102333</v>
          </cell>
        </row>
        <row r="1803">
          <cell r="W1803">
            <v>0</v>
          </cell>
        </row>
        <row r="1804">
          <cell r="B1804" t="str">
            <v>102379</v>
          </cell>
        </row>
        <row r="1804">
          <cell r="W1804">
            <v>0</v>
          </cell>
        </row>
        <row r="1805">
          <cell r="B1805" t="str">
            <v>102388</v>
          </cell>
        </row>
        <row r="1805">
          <cell r="W1805">
            <v>0</v>
          </cell>
        </row>
        <row r="1806">
          <cell r="B1806" t="str">
            <v>102428</v>
          </cell>
        </row>
        <row r="1806">
          <cell r="W1806">
            <v>0</v>
          </cell>
        </row>
        <row r="1807">
          <cell r="B1807" t="str">
            <v>102514</v>
          </cell>
        </row>
        <row r="1807">
          <cell r="W1807">
            <v>0</v>
          </cell>
        </row>
        <row r="1808">
          <cell r="B1808" t="str">
            <v>102367</v>
          </cell>
        </row>
        <row r="1808">
          <cell r="W1808">
            <v>0</v>
          </cell>
        </row>
        <row r="1809">
          <cell r="B1809" t="str">
            <v>102368</v>
          </cell>
        </row>
        <row r="1809">
          <cell r="W1809">
            <v>0</v>
          </cell>
        </row>
        <row r="1810">
          <cell r="B1810" t="str">
            <v>102566</v>
          </cell>
        </row>
        <row r="1810">
          <cell r="W1810">
            <v>0</v>
          </cell>
        </row>
        <row r="1811">
          <cell r="B1811" t="str">
            <v>102500</v>
          </cell>
        </row>
        <row r="1811">
          <cell r="W1811">
            <v>0</v>
          </cell>
        </row>
        <row r="1812">
          <cell r="B1812" t="str">
            <v>102449</v>
          </cell>
        </row>
        <row r="1812">
          <cell r="W1812">
            <v>0</v>
          </cell>
        </row>
        <row r="1813">
          <cell r="B1813" t="str">
            <v>102442</v>
          </cell>
        </row>
        <row r="1813">
          <cell r="W1813">
            <v>0</v>
          </cell>
        </row>
        <row r="1814">
          <cell r="B1814" t="str">
            <v>102441</v>
          </cell>
        </row>
        <row r="1814">
          <cell r="W1814">
            <v>0</v>
          </cell>
        </row>
        <row r="1815">
          <cell r="B1815" t="str">
            <v>102493</v>
          </cell>
        </row>
        <row r="1815">
          <cell r="W1815">
            <v>0</v>
          </cell>
        </row>
        <row r="1816">
          <cell r="B1816" t="str">
            <v>102365</v>
          </cell>
        </row>
        <row r="1816">
          <cell r="W1816">
            <v>0</v>
          </cell>
        </row>
        <row r="1817">
          <cell r="B1817" t="str">
            <v>8424300000018209800</v>
          </cell>
        </row>
        <row r="1817">
          <cell r="W1817">
            <v>0</v>
          </cell>
        </row>
        <row r="1818">
          <cell r="B1818" t="str">
            <v>80516550</v>
          </cell>
        </row>
        <row r="1818">
          <cell r="W1818">
            <v>0</v>
          </cell>
        </row>
        <row r="1819">
          <cell r="B1819" t="str">
            <v>80516562</v>
          </cell>
        </row>
        <row r="1819">
          <cell r="W1819">
            <v>0</v>
          </cell>
        </row>
        <row r="1820">
          <cell r="B1820" t="str">
            <v>80516567</v>
          </cell>
        </row>
        <row r="1820">
          <cell r="W1820">
            <v>0</v>
          </cell>
        </row>
        <row r="1821">
          <cell r="B1821" t="str">
            <v>6900012091358</v>
          </cell>
        </row>
        <row r="1821">
          <cell r="W1821">
            <v>0</v>
          </cell>
        </row>
        <row r="1822">
          <cell r="B1822" t="str">
            <v>6900012091348</v>
          </cell>
        </row>
        <row r="1822">
          <cell r="W1822">
            <v>0</v>
          </cell>
        </row>
        <row r="1823">
          <cell r="B1823" t="str">
            <v>80516378</v>
          </cell>
        </row>
        <row r="1823">
          <cell r="W1823">
            <v>0</v>
          </cell>
        </row>
        <row r="1824">
          <cell r="B1824" t="str">
            <v>80516377</v>
          </cell>
        </row>
        <row r="1824">
          <cell r="W1824">
            <v>0</v>
          </cell>
        </row>
        <row r="1825">
          <cell r="B1825" t="str">
            <v>80516517</v>
          </cell>
        </row>
        <row r="1825">
          <cell r="W1825">
            <v>0</v>
          </cell>
        </row>
        <row r="1826">
          <cell r="B1826" t="str">
            <v>80516518</v>
          </cell>
        </row>
        <row r="1826">
          <cell r="W1826">
            <v>0</v>
          </cell>
        </row>
        <row r="1827">
          <cell r="B1827" t="str">
            <v>80516379</v>
          </cell>
        </row>
        <row r="1827">
          <cell r="W1827">
            <v>0</v>
          </cell>
        </row>
        <row r="1828">
          <cell r="B1828" t="str">
            <v>80516380</v>
          </cell>
        </row>
        <row r="1828">
          <cell r="W1828">
            <v>0</v>
          </cell>
        </row>
        <row r="1829">
          <cell r="B1829" t="str">
            <v>80516367</v>
          </cell>
        </row>
        <row r="1829">
          <cell r="W1829">
            <v>0</v>
          </cell>
        </row>
        <row r="1830">
          <cell r="B1830" t="str">
            <v>80516366</v>
          </cell>
        </row>
        <row r="1830">
          <cell r="W1830">
            <v>2</v>
          </cell>
        </row>
        <row r="1831">
          <cell r="B1831" t="str">
            <v>80516368</v>
          </cell>
        </row>
        <row r="1831">
          <cell r="W1831">
            <v>0</v>
          </cell>
        </row>
        <row r="1832">
          <cell r="B1832" t="str">
            <v>VPR-PP10C33001</v>
          </cell>
        </row>
        <row r="1832">
          <cell r="W1832">
            <v>0</v>
          </cell>
        </row>
        <row r="1833">
          <cell r="B1833" t="str">
            <v>GPR-PP04S33001</v>
          </cell>
        </row>
        <row r="1833">
          <cell r="W1833">
            <v>0</v>
          </cell>
        </row>
        <row r="1834">
          <cell r="B1834" t="str">
            <v>GPR-PP04M21006</v>
          </cell>
        </row>
        <row r="1834">
          <cell r="W1834">
            <v>0</v>
          </cell>
        </row>
        <row r="1835">
          <cell r="B1835" t="str">
            <v>102391</v>
          </cell>
        </row>
        <row r="1835">
          <cell r="W1835">
            <v>0</v>
          </cell>
        </row>
        <row r="1836">
          <cell r="B1836" t="str">
            <v>102390</v>
          </cell>
        </row>
        <row r="1836">
          <cell r="W1836">
            <v>0</v>
          </cell>
        </row>
        <row r="1837">
          <cell r="B1837" t="str">
            <v>102392</v>
          </cell>
        </row>
        <row r="1837">
          <cell r="W1837">
            <v>0</v>
          </cell>
        </row>
        <row r="1838">
          <cell r="B1838" t="str">
            <v>102381</v>
          </cell>
        </row>
        <row r="1838">
          <cell r="W1838">
            <v>0</v>
          </cell>
        </row>
        <row r="1839">
          <cell r="B1839" t="str">
            <v>102408</v>
          </cell>
        </row>
        <row r="1839">
          <cell r="W1839">
            <v>0</v>
          </cell>
        </row>
        <row r="1840">
          <cell r="B1840" t="str">
            <v>GPR-PP03C02003</v>
          </cell>
        </row>
        <row r="1840">
          <cell r="W1840">
            <v>0</v>
          </cell>
        </row>
        <row r="1841">
          <cell r="B1841" t="str">
            <v>GPR-PP03C01002</v>
          </cell>
        </row>
        <row r="1841">
          <cell r="W1841">
            <v>0</v>
          </cell>
        </row>
        <row r="1842">
          <cell r="B1842" t="str">
            <v>102380</v>
          </cell>
        </row>
        <row r="1842">
          <cell r="W1842">
            <v>0</v>
          </cell>
        </row>
        <row r="1843">
          <cell r="B1843" t="str">
            <v>GPR-PP04C33024</v>
          </cell>
        </row>
        <row r="1843">
          <cell r="W1843">
            <v>0</v>
          </cell>
        </row>
        <row r="1844">
          <cell r="B1844" t="str">
            <v>GPR-PP04C33027</v>
          </cell>
        </row>
        <row r="1844">
          <cell r="W1844">
            <v>0</v>
          </cell>
        </row>
        <row r="1845">
          <cell r="B1845" t="str">
            <v>GPR-PP04C33026</v>
          </cell>
        </row>
        <row r="1845">
          <cell r="W1845">
            <v>0</v>
          </cell>
        </row>
        <row r="1846">
          <cell r="B1846" t="str">
            <v>GPR-PP04C33025</v>
          </cell>
        </row>
        <row r="1846">
          <cell r="W1846">
            <v>0</v>
          </cell>
        </row>
        <row r="1847">
          <cell r="B1847" t="str">
            <v>GPR-PP07C33002</v>
          </cell>
        </row>
        <row r="1847">
          <cell r="W1847">
            <v>0</v>
          </cell>
        </row>
        <row r="1848">
          <cell r="B1848" t="str">
            <v>GPR-PP04C33003</v>
          </cell>
        </row>
        <row r="1848">
          <cell r="W1848">
            <v>0</v>
          </cell>
        </row>
        <row r="1849">
          <cell r="B1849" t="str">
            <v>GPR-PP04C33004</v>
          </cell>
        </row>
        <row r="1849">
          <cell r="W1849">
            <v>0</v>
          </cell>
        </row>
        <row r="1850">
          <cell r="B1850" t="str">
            <v>GPR-PP04C33008</v>
          </cell>
        </row>
        <row r="1850">
          <cell r="W1850">
            <v>0</v>
          </cell>
        </row>
        <row r="1851">
          <cell r="B1851" t="str">
            <v>GPR-PP04C33007</v>
          </cell>
        </row>
        <row r="1851">
          <cell r="W1851">
            <v>0</v>
          </cell>
        </row>
        <row r="1852">
          <cell r="B1852" t="str">
            <v>GPR-PP04C33019</v>
          </cell>
        </row>
        <row r="1852">
          <cell r="W1852">
            <v>0</v>
          </cell>
        </row>
        <row r="1853">
          <cell r="B1853" t="str">
            <v>GPR-PP04C33020</v>
          </cell>
        </row>
        <row r="1853">
          <cell r="W1853">
            <v>0</v>
          </cell>
        </row>
        <row r="1854">
          <cell r="B1854" t="str">
            <v>GPR-PP04C33018</v>
          </cell>
        </row>
        <row r="1854">
          <cell r="W1854">
            <v>0</v>
          </cell>
        </row>
        <row r="1855">
          <cell r="B1855" t="str">
            <v>GPR-PP04C33016</v>
          </cell>
        </row>
        <row r="1855">
          <cell r="W1855">
            <v>0</v>
          </cell>
        </row>
        <row r="1856">
          <cell r="B1856" t="str">
            <v>8030020140</v>
          </cell>
        </row>
        <row r="1856">
          <cell r="W1856">
            <v>7200</v>
          </cell>
        </row>
        <row r="1857">
          <cell r="B1857" t="str">
            <v>GPR-PP04C33015</v>
          </cell>
        </row>
        <row r="1857">
          <cell r="W1857">
            <v>0</v>
          </cell>
        </row>
        <row r="1858">
          <cell r="B1858" t="str">
            <v>GPR-PP04C33014</v>
          </cell>
        </row>
        <row r="1858">
          <cell r="W1858">
            <v>0</v>
          </cell>
        </row>
        <row r="1859">
          <cell r="B1859" t="str">
            <v>GPR-PP04C33013</v>
          </cell>
        </row>
        <row r="1859">
          <cell r="W1859">
            <v>0</v>
          </cell>
        </row>
        <row r="1860">
          <cell r="B1860" t="str">
            <v>GPR-PP04C33012</v>
          </cell>
        </row>
        <row r="1860">
          <cell r="W1860">
            <v>0</v>
          </cell>
        </row>
        <row r="1861">
          <cell r="B1861" t="str">
            <v>GPR-PP04C33011</v>
          </cell>
        </row>
        <row r="1861">
          <cell r="W1861">
            <v>0</v>
          </cell>
        </row>
        <row r="1862">
          <cell r="B1862" t="str">
            <v>GPR-PP04C33009</v>
          </cell>
        </row>
        <row r="1862">
          <cell r="W1862">
            <v>0</v>
          </cell>
        </row>
        <row r="1863">
          <cell r="B1863" t="str">
            <v>GPR-PP04C33035</v>
          </cell>
        </row>
        <row r="1863">
          <cell r="W1863">
            <v>0</v>
          </cell>
        </row>
        <row r="1864">
          <cell r="B1864" t="str">
            <v>GPR-PP04C33036</v>
          </cell>
        </row>
        <row r="1864">
          <cell r="W1864">
            <v>0</v>
          </cell>
        </row>
        <row r="1865">
          <cell r="B1865" t="str">
            <v>GPR-PP04C33034</v>
          </cell>
        </row>
        <row r="1865">
          <cell r="W1865">
            <v>0</v>
          </cell>
        </row>
        <row r="1866">
          <cell r="B1866" t="str">
            <v>GPR-PP04C33033</v>
          </cell>
        </row>
        <row r="1866">
          <cell r="W1866">
            <v>0</v>
          </cell>
        </row>
        <row r="1867">
          <cell r="B1867" t="str">
            <v>GPR-PP04C33032</v>
          </cell>
        </row>
        <row r="1867">
          <cell r="W1867">
            <v>0</v>
          </cell>
        </row>
        <row r="1868">
          <cell r="B1868" t="str">
            <v>GPR-PP04C33031</v>
          </cell>
        </row>
        <row r="1868">
          <cell r="W1868">
            <v>0</v>
          </cell>
        </row>
        <row r="1869">
          <cell r="B1869" t="str">
            <v>GPR-PP04C33030</v>
          </cell>
        </row>
        <row r="1869">
          <cell r="W1869">
            <v>0</v>
          </cell>
        </row>
        <row r="1870">
          <cell r="B1870" t="str">
            <v>GPR-PP04C33029</v>
          </cell>
        </row>
        <row r="1870">
          <cell r="W1870">
            <v>0</v>
          </cell>
        </row>
        <row r="1871">
          <cell r="B1871" t="str">
            <v>GPR-PP04C33028</v>
          </cell>
        </row>
        <row r="1871">
          <cell r="W1871">
            <v>0</v>
          </cell>
        </row>
        <row r="1872">
          <cell r="B1872" t="str">
            <v>GPR-PP03C33001</v>
          </cell>
        </row>
        <row r="1872">
          <cell r="W1872">
            <v>0</v>
          </cell>
        </row>
        <row r="1873">
          <cell r="B1873" t="str">
            <v>80576842</v>
          </cell>
        </row>
        <row r="1873">
          <cell r="W1873">
            <v>0</v>
          </cell>
        </row>
        <row r="1874">
          <cell r="B1874" t="str">
            <v>6900012091334</v>
          </cell>
        </row>
        <row r="1874">
          <cell r="W1874">
            <v>0</v>
          </cell>
        </row>
        <row r="1875">
          <cell r="B1875" t="str">
            <v>6900012091333</v>
          </cell>
        </row>
        <row r="1875">
          <cell r="W1875">
            <v>0</v>
          </cell>
        </row>
        <row r="1876">
          <cell r="B1876" t="str">
            <v>6900012091335</v>
          </cell>
        </row>
        <row r="1876">
          <cell r="W1876">
            <v>0</v>
          </cell>
        </row>
        <row r="1877">
          <cell r="B1877" t="str">
            <v>102488</v>
          </cell>
        </row>
        <row r="1877">
          <cell r="W1877">
            <v>2</v>
          </cell>
        </row>
        <row r="1878">
          <cell r="B1878" t="str">
            <v>102325</v>
          </cell>
        </row>
        <row r="1878">
          <cell r="W1878">
            <v>0</v>
          </cell>
        </row>
        <row r="1879">
          <cell r="B1879" t="str">
            <v>102180</v>
          </cell>
        </row>
        <row r="1879">
          <cell r="W1879">
            <v>0</v>
          </cell>
        </row>
        <row r="1880">
          <cell r="B1880" t="str">
            <v>80576823</v>
          </cell>
        </row>
        <row r="1880">
          <cell r="W1880">
            <v>28</v>
          </cell>
        </row>
        <row r="1881">
          <cell r="B1881" t="str">
            <v>80576826</v>
          </cell>
        </row>
        <row r="1881">
          <cell r="W1881">
            <v>21</v>
          </cell>
        </row>
        <row r="1882">
          <cell r="B1882" t="str">
            <v>80576808</v>
          </cell>
        </row>
        <row r="1882">
          <cell r="W1882">
            <v>7</v>
          </cell>
        </row>
        <row r="1883">
          <cell r="B1883" t="str">
            <v>6900012091365</v>
          </cell>
        </row>
        <row r="1883">
          <cell r="W1883">
            <v>0</v>
          </cell>
        </row>
        <row r="1884">
          <cell r="B1884" t="str">
            <v>6900012091363</v>
          </cell>
        </row>
        <row r="1884">
          <cell r="W1884">
            <v>0</v>
          </cell>
        </row>
        <row r="1885">
          <cell r="B1885" t="str">
            <v>102300</v>
          </cell>
        </row>
        <row r="1885">
          <cell r="W1885">
            <v>0</v>
          </cell>
        </row>
        <row r="1886">
          <cell r="B1886" t="str">
            <v>6900012091356</v>
          </cell>
        </row>
        <row r="1886">
          <cell r="W1886">
            <v>0</v>
          </cell>
        </row>
        <row r="1887">
          <cell r="B1887" t="str">
            <v>80687977</v>
          </cell>
        </row>
        <row r="1887">
          <cell r="W1887">
            <v>0</v>
          </cell>
        </row>
        <row r="1888">
          <cell r="B1888" t="str">
            <v>VPR-MB19C03001</v>
          </cell>
        </row>
        <row r="1888">
          <cell r="W1888">
            <v>0</v>
          </cell>
        </row>
        <row r="1889">
          <cell r="B1889" t="str">
            <v>GPR-PP02C01007</v>
          </cell>
        </row>
        <row r="1889">
          <cell r="W1889">
            <v>0</v>
          </cell>
        </row>
        <row r="1890">
          <cell r="B1890" t="str">
            <v>GPR-PP04C01001</v>
          </cell>
        </row>
        <row r="1890">
          <cell r="W1890">
            <v>0</v>
          </cell>
        </row>
        <row r="1891">
          <cell r="B1891" t="str">
            <v>GPR-PP04C01002</v>
          </cell>
        </row>
        <row r="1891">
          <cell r="W1891">
            <v>0</v>
          </cell>
        </row>
        <row r="1892">
          <cell r="B1892" t="str">
            <v>GPR-PP04C01004</v>
          </cell>
        </row>
        <row r="1892">
          <cell r="W1892">
            <v>0</v>
          </cell>
        </row>
        <row r="1893">
          <cell r="B1893" t="str">
            <v>102179</v>
          </cell>
        </row>
        <row r="1893">
          <cell r="W1893">
            <v>0</v>
          </cell>
        </row>
        <row r="1894">
          <cell r="B1894" t="str">
            <v>6900012091345</v>
          </cell>
        </row>
        <row r="1894">
          <cell r="W1894">
            <v>0</v>
          </cell>
        </row>
        <row r="1895">
          <cell r="B1895" t="str">
            <v>GPR-PP04C01016</v>
          </cell>
        </row>
        <row r="1895">
          <cell r="W1895">
            <v>0</v>
          </cell>
        </row>
        <row r="1896">
          <cell r="B1896" t="str">
            <v>GPR-PP04C01017</v>
          </cell>
        </row>
        <row r="1896">
          <cell r="W1896">
            <v>0</v>
          </cell>
        </row>
        <row r="1897">
          <cell r="B1897" t="str">
            <v>GPR-PP04C01018</v>
          </cell>
        </row>
        <row r="1897">
          <cell r="W1897">
            <v>0</v>
          </cell>
        </row>
        <row r="1898">
          <cell r="B1898" t="str">
            <v>GPR-PP04C01012</v>
          </cell>
        </row>
        <row r="1898">
          <cell r="W1898">
            <v>0</v>
          </cell>
        </row>
        <row r="1899">
          <cell r="B1899" t="str">
            <v>GPR-PP04C01013</v>
          </cell>
        </row>
        <row r="1899">
          <cell r="W1899">
            <v>0</v>
          </cell>
        </row>
        <row r="1900">
          <cell r="B1900" t="str">
            <v>GPR-PP02C01006</v>
          </cell>
        </row>
        <row r="1900">
          <cell r="W1900">
            <v>0</v>
          </cell>
        </row>
        <row r="1901">
          <cell r="B1901" t="str">
            <v>GPR-PP04C01019</v>
          </cell>
        </row>
        <row r="1901">
          <cell r="W1901">
            <v>0</v>
          </cell>
        </row>
        <row r="1902">
          <cell r="B1902" t="str">
            <v>GPR-PP04C01020</v>
          </cell>
        </row>
        <row r="1902">
          <cell r="W1902">
            <v>0</v>
          </cell>
        </row>
        <row r="1903">
          <cell r="B1903" t="str">
            <v>GPR-PP04C01021</v>
          </cell>
        </row>
        <row r="1903">
          <cell r="W1903">
            <v>0</v>
          </cell>
        </row>
        <row r="1904">
          <cell r="B1904" t="str">
            <v>GPR-PP04C01022</v>
          </cell>
        </row>
        <row r="1904">
          <cell r="W1904">
            <v>0</v>
          </cell>
        </row>
        <row r="1905">
          <cell r="B1905" t="str">
            <v>GPR-PP04C01023</v>
          </cell>
        </row>
        <row r="1905">
          <cell r="W1905">
            <v>0</v>
          </cell>
        </row>
        <row r="1906">
          <cell r="B1906" t="str">
            <v>GPR-PP04C01005</v>
          </cell>
        </row>
        <row r="1906">
          <cell r="W1906">
            <v>0</v>
          </cell>
        </row>
        <row r="1907">
          <cell r="B1907" t="str">
            <v>GPR-PP04C01008</v>
          </cell>
        </row>
        <row r="1907">
          <cell r="W1907">
            <v>0</v>
          </cell>
        </row>
        <row r="1908">
          <cell r="B1908" t="str">
            <v>80688077</v>
          </cell>
        </row>
        <row r="1908">
          <cell r="W1908">
            <v>0</v>
          </cell>
        </row>
        <row r="1909">
          <cell r="B1909" t="str">
            <v>102306</v>
          </cell>
        </row>
        <row r="1909">
          <cell r="W1909">
            <v>0</v>
          </cell>
        </row>
        <row r="1910">
          <cell r="B1910" t="str">
            <v>GPR-PP02C01008</v>
          </cell>
        </row>
        <row r="1910">
          <cell r="W1910">
            <v>0</v>
          </cell>
        </row>
        <row r="1911">
          <cell r="B1911" t="str">
            <v>GPR-PP02C01009</v>
          </cell>
        </row>
        <row r="1911">
          <cell r="W1911">
            <v>0</v>
          </cell>
        </row>
        <row r="1912">
          <cell r="B1912" t="str">
            <v>102178</v>
          </cell>
        </row>
        <row r="1912">
          <cell r="W1912">
            <v>0</v>
          </cell>
        </row>
        <row r="1913">
          <cell r="B1913" t="str">
            <v>GPR-PP04C03004</v>
          </cell>
        </row>
        <row r="1913">
          <cell r="W1913">
            <v>0</v>
          </cell>
        </row>
        <row r="1914">
          <cell r="B1914" t="str">
            <v>GPR-PP04C03005</v>
          </cell>
        </row>
        <row r="1914">
          <cell r="W1914">
            <v>0</v>
          </cell>
        </row>
        <row r="1915">
          <cell r="B1915" t="str">
            <v>GPR-PP04C03006</v>
          </cell>
        </row>
        <row r="1915">
          <cell r="W1915">
            <v>0</v>
          </cell>
        </row>
        <row r="1916">
          <cell r="B1916" t="str">
            <v>GPR-PP04C03007</v>
          </cell>
        </row>
        <row r="1916">
          <cell r="W1916">
            <v>0</v>
          </cell>
        </row>
        <row r="1917">
          <cell r="B1917" t="str">
            <v>80516490</v>
          </cell>
        </row>
        <row r="1917">
          <cell r="W1917">
            <v>0</v>
          </cell>
        </row>
        <row r="1918">
          <cell r="B1918" t="str">
            <v>6900011043023</v>
          </cell>
        </row>
        <row r="1918">
          <cell r="W1918">
            <v>0</v>
          </cell>
        </row>
        <row r="1919">
          <cell r="B1919" t="str">
            <v>6900011043020</v>
          </cell>
        </row>
        <row r="1919">
          <cell r="W1919">
            <v>0</v>
          </cell>
        </row>
        <row r="1920">
          <cell r="B1920" t="str">
            <v>6900011043019</v>
          </cell>
        </row>
        <row r="1920">
          <cell r="W1920">
            <v>0</v>
          </cell>
        </row>
        <row r="1921">
          <cell r="B1921" t="str">
            <v>IFPVC04</v>
          </cell>
        </row>
        <row r="1921">
          <cell r="W1921">
            <v>0</v>
          </cell>
        </row>
        <row r="1922">
          <cell r="B1922" t="str">
            <v>PVC71345</v>
          </cell>
        </row>
        <row r="1922">
          <cell r="W1922">
            <v>114</v>
          </cell>
        </row>
        <row r="1923">
          <cell r="B1923" t="str">
            <v>PVC71346</v>
          </cell>
        </row>
        <row r="1923">
          <cell r="W1923">
            <v>36</v>
          </cell>
        </row>
        <row r="1924">
          <cell r="B1924" t="str">
            <v>IFPVC09</v>
          </cell>
        </row>
        <row r="1924">
          <cell r="W1924">
            <v>30</v>
          </cell>
        </row>
        <row r="1925">
          <cell r="B1925" t="str">
            <v>IFPVC05</v>
          </cell>
        </row>
        <row r="1925">
          <cell r="W1925">
            <v>0</v>
          </cell>
        </row>
        <row r="1926">
          <cell r="B1926" t="str">
            <v>PVC71350</v>
          </cell>
        </row>
        <row r="1926">
          <cell r="W1926">
            <v>19</v>
          </cell>
        </row>
        <row r="1927">
          <cell r="B1927" t="str">
            <v>PVC72854</v>
          </cell>
        </row>
        <row r="1927">
          <cell r="W1927">
            <v>1</v>
          </cell>
        </row>
        <row r="1928">
          <cell r="B1928" t="str">
            <v>GPR-PP02C01003</v>
          </cell>
        </row>
        <row r="1928">
          <cell r="W1928">
            <v>0</v>
          </cell>
        </row>
        <row r="1929">
          <cell r="B1929" t="str">
            <v>GPR-PP02C01005</v>
          </cell>
        </row>
        <row r="1929">
          <cell r="W1929">
            <v>0</v>
          </cell>
        </row>
        <row r="1930">
          <cell r="B1930" t="str">
            <v>6900011043027</v>
          </cell>
        </row>
        <row r="1930">
          <cell r="W1930">
            <v>0</v>
          </cell>
        </row>
        <row r="1931">
          <cell r="B1931" t="str">
            <v>6900011043031</v>
          </cell>
        </row>
        <row r="1931">
          <cell r="W1931">
            <v>0</v>
          </cell>
        </row>
        <row r="1932">
          <cell r="B1932" t="str">
            <v>102216</v>
          </cell>
        </row>
        <row r="1932">
          <cell r="W1932">
            <v>0</v>
          </cell>
        </row>
        <row r="1933">
          <cell r="B1933" t="str">
            <v>6900012091336</v>
          </cell>
        </row>
        <row r="1933">
          <cell r="W1933">
            <v>0</v>
          </cell>
        </row>
        <row r="1934">
          <cell r="B1934" t="str">
            <v>6900012091337</v>
          </cell>
        </row>
        <row r="1934">
          <cell r="W1934">
            <v>0</v>
          </cell>
        </row>
        <row r="1935">
          <cell r="B1935" t="str">
            <v>6900012091338</v>
          </cell>
        </row>
        <row r="1935">
          <cell r="W1935">
            <v>0</v>
          </cell>
        </row>
        <row r="1936">
          <cell r="B1936" t="str">
            <v>3917290000017114000</v>
          </cell>
        </row>
        <row r="1936">
          <cell r="W1936">
            <v>0</v>
          </cell>
        </row>
        <row r="1937">
          <cell r="B1937" t="str">
            <v>6900011043028</v>
          </cell>
        </row>
        <row r="1937">
          <cell r="W1937">
            <v>0</v>
          </cell>
        </row>
        <row r="1938">
          <cell r="B1938" t="str">
            <v>6900011043030</v>
          </cell>
        </row>
        <row r="1938">
          <cell r="W1938">
            <v>0</v>
          </cell>
        </row>
        <row r="1939">
          <cell r="B1939" t="str">
            <v>6900011043014</v>
          </cell>
        </row>
        <row r="1939">
          <cell r="W1939">
            <v>0</v>
          </cell>
        </row>
        <row r="1940">
          <cell r="B1940" t="str">
            <v>6900011043017</v>
          </cell>
        </row>
        <row r="1940">
          <cell r="W1940">
            <v>0</v>
          </cell>
        </row>
        <row r="1941">
          <cell r="B1941" t="str">
            <v>6900011043013</v>
          </cell>
        </row>
        <row r="1941">
          <cell r="W1941">
            <v>0</v>
          </cell>
        </row>
        <row r="1942">
          <cell r="B1942" t="str">
            <v>GPR-PP03C01006</v>
          </cell>
        </row>
        <row r="1942">
          <cell r="W1942">
            <v>0</v>
          </cell>
        </row>
        <row r="1943">
          <cell r="B1943" t="str">
            <v>GPR-PP03C01007</v>
          </cell>
        </row>
        <row r="1943">
          <cell r="W1943">
            <v>0</v>
          </cell>
        </row>
        <row r="1944">
          <cell r="B1944" t="str">
            <v>80516401</v>
          </cell>
        </row>
        <row r="1944">
          <cell r="W1944">
            <v>6</v>
          </cell>
        </row>
        <row r="1945">
          <cell r="B1945" t="str">
            <v>102273</v>
          </cell>
        </row>
        <row r="1945">
          <cell r="W1945">
            <v>0</v>
          </cell>
        </row>
        <row r="1946">
          <cell r="B1946" t="str">
            <v>10055677718101</v>
          </cell>
        </row>
        <row r="1946">
          <cell r="W1946">
            <v>0</v>
          </cell>
        </row>
        <row r="1947">
          <cell r="B1947" t="str">
            <v>80516247</v>
          </cell>
        </row>
        <row r="1947">
          <cell r="W1947">
            <v>0</v>
          </cell>
        </row>
        <row r="1948">
          <cell r="B1948" t="str">
            <v>80516248</v>
          </cell>
        </row>
        <row r="1948">
          <cell r="W1948">
            <v>0</v>
          </cell>
        </row>
        <row r="1949">
          <cell r="B1949" t="str">
            <v>GPR-PP04M21003</v>
          </cell>
        </row>
        <row r="1949">
          <cell r="W1949">
            <v>0</v>
          </cell>
        </row>
        <row r="1950">
          <cell r="B1950" t="str">
            <v>GPR-PP05C03001</v>
          </cell>
        </row>
        <row r="1950">
          <cell r="W1950">
            <v>0</v>
          </cell>
        </row>
        <row r="1951">
          <cell r="B1951" t="str">
            <v>GPR-PP05C03002</v>
          </cell>
        </row>
        <row r="1951">
          <cell r="W1951">
            <v>0</v>
          </cell>
        </row>
        <row r="1952">
          <cell r="B1952" t="str">
            <v>6900005030220</v>
          </cell>
        </row>
        <row r="1952">
          <cell r="W1952">
            <v>0</v>
          </cell>
        </row>
        <row r="1953">
          <cell r="B1953" t="str">
            <v>6900005030221</v>
          </cell>
        </row>
        <row r="1953">
          <cell r="W1953">
            <v>0</v>
          </cell>
        </row>
        <row r="1954">
          <cell r="B1954" t="str">
            <v>6900005030224</v>
          </cell>
        </row>
        <row r="1954">
          <cell r="W1954">
            <v>0</v>
          </cell>
        </row>
        <row r="1955">
          <cell r="B1955" t="str">
            <v>GPR-PP01M21001</v>
          </cell>
        </row>
        <row r="1955">
          <cell r="W1955">
            <v>0</v>
          </cell>
        </row>
        <row r="1956">
          <cell r="B1956" t="str">
            <v>GPR-PP01M02002</v>
          </cell>
        </row>
        <row r="1956">
          <cell r="W1956">
            <v>0</v>
          </cell>
        </row>
        <row r="1957">
          <cell r="B1957" t="str">
            <v>102174</v>
          </cell>
        </row>
        <row r="1957">
          <cell r="W1957">
            <v>0</v>
          </cell>
        </row>
        <row r="1958">
          <cell r="B1958" t="str">
            <v>102323</v>
          </cell>
        </row>
        <row r="1958">
          <cell r="W1958">
            <v>0</v>
          </cell>
        </row>
        <row r="1959">
          <cell r="B1959" t="str">
            <v>GPR-PP04M21001</v>
          </cell>
        </row>
        <row r="1959">
          <cell r="W1959">
            <v>0</v>
          </cell>
        </row>
        <row r="1960">
          <cell r="B1960" t="str">
            <v>102424</v>
          </cell>
        </row>
        <row r="1960">
          <cell r="W1960">
            <v>0</v>
          </cell>
        </row>
        <row r="1961">
          <cell r="B1961" t="str">
            <v>6900012091327</v>
          </cell>
        </row>
        <row r="1961">
          <cell r="W1961">
            <v>0</v>
          </cell>
        </row>
        <row r="1962">
          <cell r="B1962" t="str">
            <v>80516481</v>
          </cell>
        </row>
        <row r="1962">
          <cell r="W1962">
            <v>0</v>
          </cell>
        </row>
        <row r="1963">
          <cell r="B1963" t="str">
            <v>6900012091357</v>
          </cell>
        </row>
        <row r="1963">
          <cell r="W1963">
            <v>0</v>
          </cell>
        </row>
        <row r="1964">
          <cell r="B1964" t="str">
            <v>6900012091353</v>
          </cell>
        </row>
        <row r="1964">
          <cell r="W1964">
            <v>0</v>
          </cell>
        </row>
        <row r="1965">
          <cell r="B1965" t="str">
            <v>6900012091349</v>
          </cell>
        </row>
        <row r="1965">
          <cell r="W1965">
            <v>0</v>
          </cell>
        </row>
        <row r="1966">
          <cell r="B1966" t="str">
            <v>6900012091350</v>
          </cell>
        </row>
        <row r="1966">
          <cell r="W1966">
            <v>0</v>
          </cell>
        </row>
        <row r="1967">
          <cell r="B1967" t="str">
            <v>6900012091359</v>
          </cell>
        </row>
        <row r="1967">
          <cell r="W1967">
            <v>0</v>
          </cell>
        </row>
        <row r="1968">
          <cell r="B1968" t="str">
            <v>GPR-PP04C33002</v>
          </cell>
        </row>
        <row r="1968">
          <cell r="W1968">
            <v>0</v>
          </cell>
        </row>
        <row r="1969">
          <cell r="B1969" t="str">
            <v>GPR-PP05C02001</v>
          </cell>
        </row>
        <row r="1969">
          <cell r="W1969">
            <v>0</v>
          </cell>
        </row>
        <row r="1970">
          <cell r="B1970" t="str">
            <v>GPR-PP05C02002</v>
          </cell>
        </row>
        <row r="1970">
          <cell r="W1970">
            <v>0</v>
          </cell>
        </row>
        <row r="1971">
          <cell r="B1971" t="str">
            <v>GPR-PP04C01038</v>
          </cell>
        </row>
        <row r="1971">
          <cell r="W1971">
            <v>0</v>
          </cell>
        </row>
        <row r="1972">
          <cell r="B1972" t="str">
            <v>GPR-PP04S33002</v>
          </cell>
        </row>
        <row r="1972">
          <cell r="W1972">
            <v>0</v>
          </cell>
        </row>
        <row r="1973">
          <cell r="B1973" t="str">
            <v>GPR-PP04S33005</v>
          </cell>
        </row>
        <row r="1973">
          <cell r="W1973">
            <v>0</v>
          </cell>
        </row>
        <row r="1974">
          <cell r="B1974" t="str">
            <v>102356</v>
          </cell>
        </row>
        <row r="1974">
          <cell r="W1974">
            <v>0</v>
          </cell>
        </row>
        <row r="1975">
          <cell r="B1975" t="str">
            <v>102355</v>
          </cell>
        </row>
        <row r="1975">
          <cell r="W1975">
            <v>0</v>
          </cell>
        </row>
        <row r="1976">
          <cell r="B1976" t="str">
            <v>GPR-PP04C03002</v>
          </cell>
        </row>
        <row r="1976">
          <cell r="W1976">
            <v>0</v>
          </cell>
        </row>
        <row r="1977">
          <cell r="B1977" t="str">
            <v>GPR-PP10C01003</v>
          </cell>
        </row>
        <row r="1977">
          <cell r="W1977">
            <v>0</v>
          </cell>
        </row>
        <row r="1978">
          <cell r="B1978" t="str">
            <v>GPR-PP10C01004</v>
          </cell>
        </row>
        <row r="1978">
          <cell r="W1978">
            <v>0</v>
          </cell>
        </row>
        <row r="1979">
          <cell r="B1979" t="str">
            <v>6900012091324</v>
          </cell>
        </row>
        <row r="1979">
          <cell r="W1979">
            <v>0</v>
          </cell>
        </row>
        <row r="1980">
          <cell r="B1980" t="str">
            <v>6900012091322</v>
          </cell>
        </row>
        <row r="1980">
          <cell r="W1980">
            <v>0</v>
          </cell>
        </row>
        <row r="1981">
          <cell r="B1981" t="str">
            <v>6900012091368</v>
          </cell>
        </row>
        <row r="1981">
          <cell r="W1981">
            <v>0</v>
          </cell>
        </row>
        <row r="1982">
          <cell r="B1982" t="str">
            <v>6900012091370</v>
          </cell>
        </row>
        <row r="1982">
          <cell r="W1982">
            <v>0</v>
          </cell>
        </row>
        <row r="1983">
          <cell r="B1983" t="str">
            <v>6900012091369</v>
          </cell>
        </row>
        <row r="1983">
          <cell r="W1983">
            <v>0</v>
          </cell>
        </row>
        <row r="1984">
          <cell r="B1984" t="str">
            <v>80516424</v>
          </cell>
        </row>
        <row r="1984">
          <cell r="W1984">
            <v>2</v>
          </cell>
        </row>
        <row r="1985">
          <cell r="B1985" t="str">
            <v>80516417</v>
          </cell>
        </row>
        <row r="1985">
          <cell r="W1985">
            <v>0</v>
          </cell>
        </row>
        <row r="1986">
          <cell r="B1986" t="str">
            <v>80516420</v>
          </cell>
        </row>
        <row r="1986">
          <cell r="W1986">
            <v>0</v>
          </cell>
        </row>
        <row r="1987">
          <cell r="B1987" t="str">
            <v>80516543</v>
          </cell>
        </row>
        <row r="1987">
          <cell r="W1987">
            <v>0</v>
          </cell>
        </row>
        <row r="1988">
          <cell r="B1988" t="str">
            <v>80516427</v>
          </cell>
        </row>
        <row r="1988">
          <cell r="W1988">
            <v>0</v>
          </cell>
        </row>
        <row r="1989">
          <cell r="B1989" t="str">
            <v>80516536</v>
          </cell>
        </row>
        <row r="1989">
          <cell r="W1989">
            <v>0</v>
          </cell>
        </row>
        <row r="1990">
          <cell r="B1990" t="str">
            <v>80516542</v>
          </cell>
        </row>
        <row r="1990">
          <cell r="W1990">
            <v>0</v>
          </cell>
        </row>
        <row r="1991">
          <cell r="B1991" t="str">
            <v>GPR-EQ07R01001</v>
          </cell>
        </row>
        <row r="1991">
          <cell r="W1991">
            <v>0</v>
          </cell>
        </row>
        <row r="1992">
          <cell r="B1992" t="str">
            <v>GPR-SP00M21031</v>
          </cell>
        </row>
        <row r="1992">
          <cell r="W1992">
            <v>0</v>
          </cell>
        </row>
        <row r="1993">
          <cell r="B1993" t="str">
            <v>GPR-EL22C01003</v>
          </cell>
        </row>
        <row r="1993">
          <cell r="W1993">
            <v>0</v>
          </cell>
        </row>
        <row r="1994">
          <cell r="B1994" t="str">
            <v>6900010080169</v>
          </cell>
        </row>
        <row r="1994">
          <cell r="W1994">
            <v>0</v>
          </cell>
        </row>
        <row r="1995">
          <cell r="B1995" t="str">
            <v>6900010080211</v>
          </cell>
        </row>
        <row r="1995">
          <cell r="W1995">
            <v>0</v>
          </cell>
        </row>
        <row r="1996">
          <cell r="B1996" t="str">
            <v>GPR-PL02C01006</v>
          </cell>
        </row>
        <row r="1996">
          <cell r="W1996">
            <v>-0.00435</v>
          </cell>
        </row>
        <row r="1997">
          <cell r="B1997" t="str">
            <v>CP-PKUR-76</v>
          </cell>
        </row>
        <row r="1997">
          <cell r="W1997">
            <v>1408</v>
          </cell>
        </row>
        <row r="1998">
          <cell r="B1998" t="str">
            <v>69000030103268</v>
          </cell>
        </row>
        <row r="1998">
          <cell r="W1998">
            <v>0</v>
          </cell>
        </row>
        <row r="1999">
          <cell r="B1999" t="str">
            <v>GPR-PP03C01008</v>
          </cell>
        </row>
        <row r="1999">
          <cell r="W1999">
            <v>0</v>
          </cell>
        </row>
        <row r="2000">
          <cell r="B2000" t="str">
            <v>GPR-MB33O04001</v>
          </cell>
        </row>
        <row r="2000">
          <cell r="W2000">
            <v>0</v>
          </cell>
        </row>
        <row r="2001">
          <cell r="B2001" t="str">
            <v>172481107</v>
          </cell>
        </row>
        <row r="2001">
          <cell r="W2001">
            <v>0</v>
          </cell>
        </row>
        <row r="2002">
          <cell r="B2002" t="str">
            <v>GPR-EQ27A21003</v>
          </cell>
        </row>
        <row r="2002">
          <cell r="W2002">
            <v>0</v>
          </cell>
        </row>
        <row r="2003">
          <cell r="B2003" t="str">
            <v>8020035148</v>
          </cell>
        </row>
        <row r="2003">
          <cell r="W2003">
            <v>0</v>
          </cell>
        </row>
        <row r="2004">
          <cell r="B2004" t="str">
            <v>830100100007</v>
          </cell>
        </row>
        <row r="2004">
          <cell r="W2004">
            <v>-307</v>
          </cell>
        </row>
        <row r="2005">
          <cell r="B2005" t="str">
            <v>GPR-EQ27A21004</v>
          </cell>
        </row>
        <row r="2005">
          <cell r="W2005">
            <v>0</v>
          </cell>
        </row>
        <row r="2006">
          <cell r="B2006" t="str">
            <v>GPR-WD03J03001</v>
          </cell>
        </row>
        <row r="2006">
          <cell r="W2006">
            <v>0</v>
          </cell>
        </row>
        <row r="2007">
          <cell r="B2007" t="str">
            <v>6900012091341</v>
          </cell>
        </row>
        <row r="2007">
          <cell r="W2007">
            <v>0</v>
          </cell>
        </row>
        <row r="2008">
          <cell r="B2008" t="str">
            <v>GPR-LL02L00001</v>
          </cell>
        </row>
        <row r="2008">
          <cell r="W2008">
            <v>0</v>
          </cell>
        </row>
        <row r="2009">
          <cell r="B2009" t="str">
            <v>GPR-MB33O04002</v>
          </cell>
        </row>
        <row r="2009">
          <cell r="W2009">
            <v>0</v>
          </cell>
        </row>
        <row r="2010">
          <cell r="B2010" t="str">
            <v>GPR-EL22A22007</v>
          </cell>
        </row>
        <row r="2010">
          <cell r="W2010">
            <v>0</v>
          </cell>
        </row>
        <row r="2011">
          <cell r="B2011" t="str">
            <v>GPR-PT02M33001</v>
          </cell>
        </row>
        <row r="2011">
          <cell r="W2011">
            <v>0</v>
          </cell>
        </row>
        <row r="2012">
          <cell r="B2012" t="str">
            <v>84818039900010</v>
          </cell>
        </row>
        <row r="2012">
          <cell r="W2012">
            <v>0</v>
          </cell>
        </row>
        <row r="2013">
          <cell r="B2013" t="str">
            <v>GPR-HD08M02002</v>
          </cell>
        </row>
        <row r="2013">
          <cell r="W2013">
            <v>0</v>
          </cell>
        </row>
        <row r="2014">
          <cell r="B2014" t="str">
            <v>GPR-MB02L03003</v>
          </cell>
        </row>
        <row r="2014">
          <cell r="W2014">
            <v>0</v>
          </cell>
        </row>
        <row r="2015">
          <cell r="B2015" t="str">
            <v>830200410003</v>
          </cell>
        </row>
        <row r="2015">
          <cell r="W2015">
            <v>-77</v>
          </cell>
        </row>
        <row r="2016">
          <cell r="B2016" t="str">
            <v>GPR-EQ27A21005</v>
          </cell>
        </row>
        <row r="2016">
          <cell r="W2016">
            <v>0</v>
          </cell>
        </row>
        <row r="2017">
          <cell r="B2017" t="str">
            <v>GPR-MB33O04003</v>
          </cell>
        </row>
        <row r="2017">
          <cell r="W2017">
            <v>0</v>
          </cell>
        </row>
        <row r="2018">
          <cell r="B2018" t="str">
            <v>GPR-EL22A22008</v>
          </cell>
        </row>
        <row r="2018">
          <cell r="W2018">
            <v>0</v>
          </cell>
        </row>
        <row r="2019">
          <cell r="B2019" t="str">
            <v>GPR-LM05G15002</v>
          </cell>
        </row>
        <row r="2019">
          <cell r="W2019">
            <v>0</v>
          </cell>
        </row>
        <row r="2020">
          <cell r="B2020" t="str">
            <v>830200410004</v>
          </cell>
        </row>
        <row r="2020">
          <cell r="W2020">
            <v>1</v>
          </cell>
        </row>
        <row r="2021">
          <cell r="B2021" t="str">
            <v>830100100008</v>
          </cell>
        </row>
        <row r="2021">
          <cell r="W2021">
            <v>-195</v>
          </cell>
        </row>
        <row r="2022">
          <cell r="B2022" t="str">
            <v>69000030103107</v>
          </cell>
        </row>
        <row r="2022">
          <cell r="W2022">
            <v>0</v>
          </cell>
        </row>
        <row r="2023">
          <cell r="B2023" t="str">
            <v>GPR-EQ42R02007</v>
          </cell>
        </row>
        <row r="2023">
          <cell r="W2023">
            <v>0</v>
          </cell>
        </row>
        <row r="2024">
          <cell r="B2024" t="str">
            <v>6900010080175</v>
          </cell>
        </row>
        <row r="2024">
          <cell r="W2024">
            <v>0</v>
          </cell>
        </row>
        <row r="2025">
          <cell r="B2025" t="str">
            <v>6900005030217</v>
          </cell>
        </row>
        <row r="2025">
          <cell r="W2025">
            <v>0</v>
          </cell>
        </row>
        <row r="2026">
          <cell r="B2026" t="str">
            <v>830100100002</v>
          </cell>
        </row>
        <row r="2026">
          <cell r="W2026">
            <v>-322</v>
          </cell>
        </row>
        <row r="2027">
          <cell r="B2027" t="str">
            <v>GPR-WD02I23001</v>
          </cell>
        </row>
        <row r="2027">
          <cell r="W2027">
            <v>0</v>
          </cell>
        </row>
        <row r="2028">
          <cell r="B2028" t="str">
            <v>GPR-SP00M21001</v>
          </cell>
        </row>
        <row r="2028">
          <cell r="W2028">
            <v>0</v>
          </cell>
        </row>
        <row r="2029">
          <cell r="B2029" t="str">
            <v>GPR-HS04M21002</v>
          </cell>
        </row>
        <row r="2029">
          <cell r="W2029">
            <v>0</v>
          </cell>
        </row>
        <row r="2030">
          <cell r="B2030" t="str">
            <v>GPR-PL02A21005</v>
          </cell>
        </row>
        <row r="2030">
          <cell r="W2030">
            <v>0</v>
          </cell>
        </row>
        <row r="2031">
          <cell r="B2031" t="str">
            <v>GPR-EQ42R02008</v>
          </cell>
        </row>
        <row r="2031">
          <cell r="W2031">
            <v>0</v>
          </cell>
        </row>
        <row r="2032">
          <cell r="B2032" t="str">
            <v>GPR-EQ55R00001</v>
          </cell>
        </row>
        <row r="2032">
          <cell r="W2032">
            <v>0</v>
          </cell>
        </row>
        <row r="2033">
          <cell r="B2033" t="str">
            <v>6900010080208</v>
          </cell>
        </row>
        <row r="2033">
          <cell r="W2033">
            <v>0</v>
          </cell>
        </row>
        <row r="2034">
          <cell r="B2034" t="str">
            <v>GPR-PT09M21014</v>
          </cell>
        </row>
        <row r="2034">
          <cell r="W2034">
            <v>0</v>
          </cell>
        </row>
        <row r="2035">
          <cell r="B2035" t="str">
            <v>830100100003</v>
          </cell>
        </row>
        <row r="2035">
          <cell r="W2035">
            <v>-247</v>
          </cell>
        </row>
        <row r="2036">
          <cell r="B2036" t="str">
            <v>GPR-WD02M02002</v>
          </cell>
        </row>
        <row r="2036">
          <cell r="W2036">
            <v>0</v>
          </cell>
        </row>
        <row r="2037">
          <cell r="B2037" t="str">
            <v>GPR-OT02M21025</v>
          </cell>
        </row>
        <row r="2037">
          <cell r="W2037">
            <v>0</v>
          </cell>
        </row>
        <row r="2038">
          <cell r="B2038" t="str">
            <v>GPR-EQ55R00003</v>
          </cell>
        </row>
        <row r="2038">
          <cell r="W2038">
            <v>0</v>
          </cell>
        </row>
        <row r="2039">
          <cell r="B2039" t="str">
            <v>GPR-MB02L21006</v>
          </cell>
        </row>
        <row r="2039">
          <cell r="W2039">
            <v>0</v>
          </cell>
        </row>
        <row r="2040">
          <cell r="B2040" t="str">
            <v>GPR-WD02I23002</v>
          </cell>
        </row>
        <row r="2040">
          <cell r="W2040">
            <v>0</v>
          </cell>
        </row>
        <row r="2041">
          <cell r="B2041" t="str">
            <v>VPR-SP02M21001</v>
          </cell>
        </row>
        <row r="2041">
          <cell r="W2041">
            <v>0</v>
          </cell>
        </row>
        <row r="2042">
          <cell r="B2042" t="str">
            <v>69000030103188</v>
          </cell>
        </row>
        <row r="2042">
          <cell r="W2042">
            <v>0</v>
          </cell>
        </row>
        <row r="2043">
          <cell r="B2043" t="str">
            <v>GPR-EL09A21001</v>
          </cell>
        </row>
        <row r="2043">
          <cell r="W2043">
            <v>0</v>
          </cell>
        </row>
        <row r="2044">
          <cell r="B2044" t="str">
            <v>GPR-EQ55R00004</v>
          </cell>
        </row>
        <row r="2044">
          <cell r="W2044">
            <v>0</v>
          </cell>
        </row>
        <row r="2045">
          <cell r="B2045" t="str">
            <v>6900010080220</v>
          </cell>
        </row>
        <row r="2045">
          <cell r="W2045">
            <v>0</v>
          </cell>
        </row>
        <row r="2046">
          <cell r="B2046" t="str">
            <v>0112715900</v>
          </cell>
        </row>
        <row r="2046">
          <cell r="W2046">
            <v>0</v>
          </cell>
        </row>
        <row r="2047">
          <cell r="B2047" t="str">
            <v>69000030103205</v>
          </cell>
        </row>
        <row r="2047">
          <cell r="W2047">
            <v>0</v>
          </cell>
        </row>
        <row r="2048">
          <cell r="B2048" t="str">
            <v>GPR-HD01S21010</v>
          </cell>
        </row>
        <row r="2048">
          <cell r="W2048">
            <v>0</v>
          </cell>
        </row>
        <row r="2049">
          <cell r="B2049" t="str">
            <v>GPR-WC01M21002</v>
          </cell>
        </row>
        <row r="2049">
          <cell r="W2049">
            <v>0</v>
          </cell>
        </row>
        <row r="2050">
          <cell r="B2050" t="str">
            <v>GPR-EQ55R00005</v>
          </cell>
        </row>
        <row r="2050">
          <cell r="W2050">
            <v>0</v>
          </cell>
        </row>
        <row r="2051">
          <cell r="B2051" t="str">
            <v>6900010080213</v>
          </cell>
        </row>
        <row r="2051">
          <cell r="W2051">
            <v>0</v>
          </cell>
        </row>
        <row r="2052">
          <cell r="B2052" t="str">
            <v>102467</v>
          </cell>
        </row>
        <row r="2052">
          <cell r="W2052">
            <v>0</v>
          </cell>
        </row>
        <row r="2053">
          <cell r="B2053" t="str">
            <v>6900010080214</v>
          </cell>
        </row>
        <row r="2053">
          <cell r="W2053">
            <v>0</v>
          </cell>
        </row>
        <row r="2054">
          <cell r="B2054" t="str">
            <v>GPR-EQ00R14001</v>
          </cell>
        </row>
        <row r="2054">
          <cell r="W2054">
            <v>0</v>
          </cell>
        </row>
        <row r="2055">
          <cell r="B2055" t="str">
            <v>GPR-SP00M02001</v>
          </cell>
        </row>
        <row r="2055">
          <cell r="W2055">
            <v>0</v>
          </cell>
        </row>
        <row r="2056">
          <cell r="B2056" t="str">
            <v>3926909090014</v>
          </cell>
        </row>
        <row r="2056">
          <cell r="W2056">
            <v>0</v>
          </cell>
        </row>
        <row r="2057">
          <cell r="B2057" t="str">
            <v>73239300000001</v>
          </cell>
        </row>
        <row r="2057">
          <cell r="W2057">
            <v>246</v>
          </cell>
        </row>
        <row r="2058">
          <cell r="B2058" t="str">
            <v>GPR-EL22A22009</v>
          </cell>
        </row>
        <row r="2058">
          <cell r="W2058">
            <v>0</v>
          </cell>
        </row>
        <row r="2059">
          <cell r="B2059" t="str">
            <v>GPR-WD02M03001</v>
          </cell>
        </row>
        <row r="2059">
          <cell r="W2059">
            <v>0</v>
          </cell>
        </row>
        <row r="2060">
          <cell r="B2060" t="str">
            <v>GPR-MB14M21003</v>
          </cell>
        </row>
        <row r="2060">
          <cell r="W2060">
            <v>0</v>
          </cell>
        </row>
        <row r="2061">
          <cell r="B2061" t="str">
            <v>GPR-MB00M21001</v>
          </cell>
        </row>
        <row r="2061">
          <cell r="W2061">
            <v>0</v>
          </cell>
        </row>
        <row r="2062">
          <cell r="B2062" t="str">
            <v>GPR-ME04N01010</v>
          </cell>
        </row>
        <row r="2062">
          <cell r="W2062">
            <v>0</v>
          </cell>
        </row>
        <row r="2063">
          <cell r="B2063" t="str">
            <v>GPR-DC03S11001</v>
          </cell>
        </row>
        <row r="2063">
          <cell r="W2063">
            <v>0</v>
          </cell>
        </row>
        <row r="2064">
          <cell r="B2064" t="str">
            <v>GPR-EL19C01004</v>
          </cell>
        </row>
        <row r="2064">
          <cell r="W2064">
            <v>0</v>
          </cell>
        </row>
        <row r="2065">
          <cell r="B2065" t="str">
            <v>6401990000001</v>
          </cell>
        </row>
        <row r="2065">
          <cell r="W2065">
            <v>7</v>
          </cell>
        </row>
        <row r="2066">
          <cell r="B2066" t="str">
            <v>6900005030121</v>
          </cell>
        </row>
        <row r="2066">
          <cell r="W2066">
            <v>70</v>
          </cell>
        </row>
        <row r="2067">
          <cell r="B2067" t="str">
            <v>GPR-HS01R02004</v>
          </cell>
        </row>
        <row r="2067">
          <cell r="W2067">
            <v>0</v>
          </cell>
        </row>
        <row r="2068">
          <cell r="B2068" t="str">
            <v>6900005030118</v>
          </cell>
        </row>
        <row r="2068">
          <cell r="W2068">
            <v>0</v>
          </cell>
        </row>
        <row r="2069">
          <cell r="B2069" t="str">
            <v>GPR-PL02A21004</v>
          </cell>
        </row>
        <row r="2069">
          <cell r="W2069">
            <v>0</v>
          </cell>
        </row>
        <row r="2070">
          <cell r="B2070" t="str">
            <v>830100100004</v>
          </cell>
        </row>
        <row r="2070">
          <cell r="W2070">
            <v>-182</v>
          </cell>
        </row>
        <row r="2071">
          <cell r="B2071" t="str">
            <v>69000030103231</v>
          </cell>
        </row>
        <row r="2071">
          <cell r="W2071">
            <v>0</v>
          </cell>
        </row>
        <row r="2072">
          <cell r="B2072" t="str">
            <v>GPR-EL19C01007</v>
          </cell>
        </row>
        <row r="2072">
          <cell r="W2072">
            <v>0</v>
          </cell>
        </row>
        <row r="2073">
          <cell r="B2073" t="str">
            <v>GPR-HO03K00003</v>
          </cell>
        </row>
        <row r="2073">
          <cell r="W2073">
            <v>0</v>
          </cell>
        </row>
        <row r="2074">
          <cell r="B2074" t="str">
            <v>GPR-SP00M02023</v>
          </cell>
        </row>
        <row r="2074">
          <cell r="W2074">
            <v>0</v>
          </cell>
        </row>
        <row r="2075">
          <cell r="B2075" t="str">
            <v>6900010080215</v>
          </cell>
        </row>
        <row r="2075">
          <cell r="W2075">
            <v>0</v>
          </cell>
        </row>
        <row r="2076">
          <cell r="B2076" t="str">
            <v>GPR-PL02A21006</v>
          </cell>
        </row>
        <row r="2076">
          <cell r="W2076">
            <v>0</v>
          </cell>
        </row>
        <row r="2077">
          <cell r="B2077" t="str">
            <v>GPR-HO03K00002</v>
          </cell>
        </row>
        <row r="2077">
          <cell r="W2077">
            <v>0</v>
          </cell>
        </row>
        <row r="2078">
          <cell r="B2078" t="str">
            <v>GPR-SP33R02005</v>
          </cell>
        </row>
        <row r="2078">
          <cell r="W2078">
            <v>0</v>
          </cell>
        </row>
        <row r="2079">
          <cell r="B2079" t="str">
            <v>6900005030111</v>
          </cell>
        </row>
        <row r="2079">
          <cell r="W2079">
            <v>0</v>
          </cell>
        </row>
        <row r="2080">
          <cell r="B2080" t="str">
            <v>GPR-WC01M21003</v>
          </cell>
        </row>
        <row r="2080">
          <cell r="W2080">
            <v>0</v>
          </cell>
        </row>
        <row r="2081">
          <cell r="B2081" t="str">
            <v>GPR-MB17A21001</v>
          </cell>
        </row>
        <row r="2081">
          <cell r="W2081">
            <v>0</v>
          </cell>
        </row>
        <row r="2082">
          <cell r="B2082" t="str">
            <v>69000030103118</v>
          </cell>
        </row>
        <row r="2082">
          <cell r="W2082">
            <v>0</v>
          </cell>
        </row>
        <row r="2083">
          <cell r="B2083" t="str">
            <v>GPR-OT02C02002</v>
          </cell>
        </row>
        <row r="2083">
          <cell r="W2083">
            <v>0</v>
          </cell>
        </row>
        <row r="2084">
          <cell r="B2084" t="str">
            <v>80516488</v>
          </cell>
        </row>
        <row r="2084">
          <cell r="W2084">
            <v>0</v>
          </cell>
        </row>
        <row r="2085">
          <cell r="B2085" t="str">
            <v>102468</v>
          </cell>
        </row>
        <row r="2085">
          <cell r="W2085">
            <v>0</v>
          </cell>
        </row>
        <row r="2086">
          <cell r="B2086" t="str">
            <v>0118324300</v>
          </cell>
        </row>
        <row r="2086">
          <cell r="W2086">
            <v>0</v>
          </cell>
        </row>
        <row r="2087">
          <cell r="B2087" t="str">
            <v>GPR-EQ18O04006</v>
          </cell>
        </row>
        <row r="2087">
          <cell r="W2087">
            <v>0</v>
          </cell>
        </row>
        <row r="2088">
          <cell r="B2088" t="str">
            <v>GPR-MB13S21002</v>
          </cell>
        </row>
        <row r="2088">
          <cell r="W2088">
            <v>0</v>
          </cell>
        </row>
        <row r="2089">
          <cell r="B2089" t="str">
            <v>3925900000001</v>
          </cell>
        </row>
        <row r="2089">
          <cell r="W2089">
            <v>0</v>
          </cell>
        </row>
        <row r="2090">
          <cell r="B2090" t="str">
            <v>GPR-EL19C01009</v>
          </cell>
        </row>
        <row r="2090">
          <cell r="W2090">
            <v>0</v>
          </cell>
        </row>
        <row r="2091">
          <cell r="B2091" t="str">
            <v>84818039900008</v>
          </cell>
        </row>
        <row r="2091">
          <cell r="W2091">
            <v>0</v>
          </cell>
        </row>
        <row r="2092">
          <cell r="B2092" t="str">
            <v>6900010080216</v>
          </cell>
        </row>
        <row r="2092">
          <cell r="W2092">
            <v>0</v>
          </cell>
        </row>
        <row r="2093">
          <cell r="B2093" t="str">
            <v>GPR-MB14M21015</v>
          </cell>
        </row>
        <row r="2093">
          <cell r="W2093">
            <v>0</v>
          </cell>
        </row>
        <row r="2094">
          <cell r="B2094" t="str">
            <v>VPR-PT10M21001</v>
          </cell>
        </row>
        <row r="2094">
          <cell r="W2094">
            <v>0</v>
          </cell>
        </row>
        <row r="2095">
          <cell r="B2095" t="str">
            <v>GPR-MB13S21003</v>
          </cell>
        </row>
        <row r="2095">
          <cell r="W2095">
            <v>0</v>
          </cell>
        </row>
        <row r="2096">
          <cell r="B2096" t="str">
            <v>GPR-SP25M22004</v>
          </cell>
        </row>
        <row r="2096">
          <cell r="W2096">
            <v>0</v>
          </cell>
        </row>
        <row r="2097">
          <cell r="B2097" t="str">
            <v>GPR-EL19C01010</v>
          </cell>
        </row>
        <row r="2097">
          <cell r="W2097">
            <v>0</v>
          </cell>
        </row>
        <row r="2098">
          <cell r="B2098" t="str">
            <v>GPR-MB25S21002</v>
          </cell>
        </row>
        <row r="2098">
          <cell r="W2098">
            <v>0</v>
          </cell>
        </row>
        <row r="2099">
          <cell r="B2099" t="str">
            <v>69000030103224</v>
          </cell>
        </row>
        <row r="2099">
          <cell r="W2099">
            <v>0</v>
          </cell>
        </row>
        <row r="2100">
          <cell r="B2100" t="str">
            <v>GPR-PT09C02002</v>
          </cell>
        </row>
        <row r="2100">
          <cell r="W2100">
            <v>0</v>
          </cell>
        </row>
        <row r="2101">
          <cell r="B2101" t="str">
            <v>GPR-PL02E01074</v>
          </cell>
        </row>
        <row r="2101">
          <cell r="W2101">
            <v>0</v>
          </cell>
        </row>
        <row r="2102">
          <cell r="B2102" t="str">
            <v>6900003010271</v>
          </cell>
        </row>
        <row r="2102">
          <cell r="W2102">
            <v>0</v>
          </cell>
        </row>
        <row r="2103">
          <cell r="B2103" t="str">
            <v>GPR-LM01G01002</v>
          </cell>
        </row>
        <row r="2103">
          <cell r="W2103">
            <v>0</v>
          </cell>
        </row>
        <row r="2104">
          <cell r="B2104" t="str">
            <v>GPR-MB25S21003</v>
          </cell>
        </row>
        <row r="2104">
          <cell r="W2104">
            <v>0</v>
          </cell>
        </row>
        <row r="2105">
          <cell r="B2105" t="str">
            <v>GPR-EL38G00001</v>
          </cell>
        </row>
        <row r="2105">
          <cell r="W2105">
            <v>0</v>
          </cell>
        </row>
        <row r="2106">
          <cell r="B2106" t="str">
            <v>6900010106712</v>
          </cell>
        </row>
        <row r="2106">
          <cell r="W2106">
            <v>-110</v>
          </cell>
        </row>
        <row r="2107">
          <cell r="B2107" t="str">
            <v>GPR-LM01G01003</v>
          </cell>
        </row>
        <row r="2107">
          <cell r="W2107">
            <v>0</v>
          </cell>
        </row>
        <row r="2108">
          <cell r="B2108" t="str">
            <v>GPR-SP27M21001</v>
          </cell>
        </row>
        <row r="2108">
          <cell r="W2108">
            <v>0</v>
          </cell>
        </row>
        <row r="2109">
          <cell r="B2109" t="str">
            <v>GPR-WC01S21006</v>
          </cell>
        </row>
        <row r="2109">
          <cell r="W2109">
            <v>0</v>
          </cell>
        </row>
        <row r="2110">
          <cell r="B2110" t="str">
            <v>GPR-PL02E01069</v>
          </cell>
        </row>
        <row r="2110">
          <cell r="W2110">
            <v>0</v>
          </cell>
        </row>
        <row r="2111">
          <cell r="B2111" t="str">
            <v>GPR-SP07M22001</v>
          </cell>
        </row>
        <row r="2111">
          <cell r="W2111">
            <v>0</v>
          </cell>
        </row>
        <row r="2112">
          <cell r="B2112" t="str">
            <v>GPR-MB06E01002</v>
          </cell>
        </row>
        <row r="2112">
          <cell r="W2112">
            <v>0</v>
          </cell>
        </row>
        <row r="2113">
          <cell r="B2113" t="str">
            <v>GPR-EL38G00002</v>
          </cell>
        </row>
        <row r="2113">
          <cell r="W2113">
            <v>0</v>
          </cell>
        </row>
        <row r="2114">
          <cell r="B2114" t="str">
            <v>VPR-LL04L02001</v>
          </cell>
        </row>
        <row r="2114">
          <cell r="W2114">
            <v>0</v>
          </cell>
        </row>
        <row r="2115">
          <cell r="B2115" t="str">
            <v>6900005030219</v>
          </cell>
        </row>
        <row r="2115">
          <cell r="W2115">
            <v>0</v>
          </cell>
        </row>
        <row r="2116">
          <cell r="B2116" t="str">
            <v>GPR-PL02E01071</v>
          </cell>
        </row>
        <row r="2116">
          <cell r="W2116">
            <v>0</v>
          </cell>
        </row>
        <row r="2117">
          <cell r="B2117" t="str">
            <v>GPR-HO04G00001</v>
          </cell>
        </row>
        <row r="2117">
          <cell r="W2117">
            <v>0</v>
          </cell>
        </row>
        <row r="2118">
          <cell r="B2118" t="str">
            <v>VPR-LL04L00001</v>
          </cell>
        </row>
        <row r="2118">
          <cell r="W2118">
            <v>0</v>
          </cell>
        </row>
        <row r="2119">
          <cell r="B2119" t="str">
            <v>GPR-EL38G00003</v>
          </cell>
        </row>
        <row r="2119">
          <cell r="W2119">
            <v>0</v>
          </cell>
        </row>
        <row r="2120">
          <cell r="B2120" t="str">
            <v>102134</v>
          </cell>
        </row>
        <row r="2120">
          <cell r="W2120">
            <v>0</v>
          </cell>
        </row>
        <row r="2121">
          <cell r="B2121" t="str">
            <v>GPR-SP26T01001</v>
          </cell>
        </row>
        <row r="2121">
          <cell r="W2121">
            <v>0</v>
          </cell>
        </row>
        <row r="2122">
          <cell r="B2122" t="str">
            <v>GPR-WC01S21009</v>
          </cell>
        </row>
        <row r="2122">
          <cell r="W2122">
            <v>0</v>
          </cell>
        </row>
        <row r="2123">
          <cell r="B2123" t="str">
            <v>GPR-OS03P01002</v>
          </cell>
        </row>
        <row r="2123">
          <cell r="W2123">
            <v>0</v>
          </cell>
        </row>
        <row r="2124">
          <cell r="B2124" t="str">
            <v>GPR-MB25S21006</v>
          </cell>
        </row>
        <row r="2124">
          <cell r="W2124">
            <v>0</v>
          </cell>
        </row>
        <row r="2125">
          <cell r="B2125" t="str">
            <v>8010070749</v>
          </cell>
        </row>
        <row r="2125">
          <cell r="W2125">
            <v>600</v>
          </cell>
        </row>
        <row r="2126">
          <cell r="B2126" t="str">
            <v>VPR-LL04L01001</v>
          </cell>
        </row>
        <row r="2126">
          <cell r="W2126">
            <v>0</v>
          </cell>
        </row>
        <row r="2127">
          <cell r="B2127" t="str">
            <v>830200100007</v>
          </cell>
        </row>
        <row r="2127">
          <cell r="W2127">
            <v>1</v>
          </cell>
        </row>
        <row r="2128">
          <cell r="B2128" t="str">
            <v>6900010080217</v>
          </cell>
        </row>
        <row r="2128">
          <cell r="W2128">
            <v>204</v>
          </cell>
        </row>
        <row r="2129">
          <cell r="B2129" t="str">
            <v>8020022632</v>
          </cell>
        </row>
        <row r="2129">
          <cell r="W2129">
            <v>0</v>
          </cell>
        </row>
        <row r="2130">
          <cell r="B2130" t="str">
            <v>GPR-EQ31C01001</v>
          </cell>
        </row>
        <row r="2130">
          <cell r="W2130">
            <v>0</v>
          </cell>
        </row>
        <row r="2131">
          <cell r="B2131" t="str">
            <v>GPR-GS06M21004</v>
          </cell>
        </row>
        <row r="2131">
          <cell r="W2131">
            <v>0</v>
          </cell>
        </row>
        <row r="2132">
          <cell r="B2132" t="str">
            <v>GPR-EL38G00004</v>
          </cell>
        </row>
        <row r="2132">
          <cell r="W2132">
            <v>0</v>
          </cell>
        </row>
        <row r="2133">
          <cell r="B2133" t="str">
            <v>GPR-HD04M02003</v>
          </cell>
        </row>
        <row r="2133">
          <cell r="W2133">
            <v>0</v>
          </cell>
        </row>
        <row r="2134">
          <cell r="B2134" t="str">
            <v>6900005050311</v>
          </cell>
        </row>
        <row r="2134">
          <cell r="W2134">
            <v>0</v>
          </cell>
        </row>
        <row r="2135">
          <cell r="B2135" t="str">
            <v>VPR-PT01M11001</v>
          </cell>
        </row>
        <row r="2135">
          <cell r="W2135">
            <v>0</v>
          </cell>
        </row>
        <row r="2136">
          <cell r="B2136" t="str">
            <v>GPR-EL04C01003</v>
          </cell>
        </row>
        <row r="2136">
          <cell r="W2136">
            <v>0</v>
          </cell>
        </row>
        <row r="2137">
          <cell r="B2137" t="str">
            <v>GPR-WC01S21002</v>
          </cell>
        </row>
        <row r="2137">
          <cell r="W2137">
            <v>0</v>
          </cell>
        </row>
        <row r="2138">
          <cell r="B2138" t="str">
            <v>GPR-EL24C02001</v>
          </cell>
        </row>
        <row r="2138">
          <cell r="W2138">
            <v>0</v>
          </cell>
        </row>
        <row r="2139">
          <cell r="B2139" t="str">
            <v>6900010080222</v>
          </cell>
        </row>
        <row r="2139">
          <cell r="W2139">
            <v>0</v>
          </cell>
        </row>
        <row r="2140">
          <cell r="B2140" t="str">
            <v>GPR-WC01S21007</v>
          </cell>
        </row>
        <row r="2140">
          <cell r="W2140">
            <v>0</v>
          </cell>
        </row>
        <row r="2141">
          <cell r="B2141" t="str">
            <v>GPR-OT02M21033</v>
          </cell>
        </row>
        <row r="2141">
          <cell r="W2141">
            <v>0</v>
          </cell>
        </row>
        <row r="2142">
          <cell r="B2142" t="str">
            <v>GPR-OS03P13001</v>
          </cell>
        </row>
        <row r="2142">
          <cell r="W2142">
            <v>0</v>
          </cell>
        </row>
        <row r="2143">
          <cell r="B2143" t="str">
            <v>GPR-SP03M02005</v>
          </cell>
        </row>
        <row r="2143">
          <cell r="W2143">
            <v>0</v>
          </cell>
        </row>
        <row r="2144">
          <cell r="B2144" t="str">
            <v>8302001000010</v>
          </cell>
        </row>
        <row r="2144">
          <cell r="W2144">
            <v>1</v>
          </cell>
        </row>
        <row r="2145">
          <cell r="B2145" t="str">
            <v>102135</v>
          </cell>
        </row>
        <row r="2145">
          <cell r="W2145">
            <v>0</v>
          </cell>
        </row>
        <row r="2146">
          <cell r="B2146" t="str">
            <v>GPR-WC02A21001</v>
          </cell>
        </row>
        <row r="2146">
          <cell r="W2146">
            <v>0</v>
          </cell>
        </row>
        <row r="2147">
          <cell r="B2147" t="str">
            <v>6900005030211</v>
          </cell>
        </row>
        <row r="2147">
          <cell r="W2147">
            <v>0</v>
          </cell>
        </row>
        <row r="2148">
          <cell r="B2148" t="str">
            <v>0117421400</v>
          </cell>
        </row>
        <row r="2148">
          <cell r="W2148">
            <v>0</v>
          </cell>
        </row>
        <row r="2149">
          <cell r="B2149" t="str">
            <v>GPR-SP25M22012</v>
          </cell>
        </row>
        <row r="2149">
          <cell r="W2149">
            <v>0</v>
          </cell>
        </row>
        <row r="2150">
          <cell r="B2150" t="str">
            <v>GPR-FA04M02001</v>
          </cell>
        </row>
        <row r="2150">
          <cell r="W2150">
            <v>0</v>
          </cell>
        </row>
        <row r="2151">
          <cell r="B2151" t="str">
            <v>GPR-PT01M21009</v>
          </cell>
        </row>
        <row r="2151">
          <cell r="W2151">
            <v>0</v>
          </cell>
        </row>
        <row r="2152">
          <cell r="B2152" t="str">
            <v>VPR-LL04L00002</v>
          </cell>
        </row>
        <row r="2152">
          <cell r="W2152">
            <v>0</v>
          </cell>
        </row>
        <row r="2153">
          <cell r="B2153" t="str">
            <v>GPR-WC01S21003</v>
          </cell>
        </row>
        <row r="2153">
          <cell r="W2153">
            <v>0</v>
          </cell>
        </row>
        <row r="2154">
          <cell r="B2154" t="str">
            <v>102136</v>
          </cell>
        </row>
        <row r="2154">
          <cell r="W2154">
            <v>0</v>
          </cell>
        </row>
        <row r="2155">
          <cell r="B2155" t="str">
            <v>GPR-EL24C02003</v>
          </cell>
        </row>
        <row r="2155">
          <cell r="W2155">
            <v>0</v>
          </cell>
        </row>
        <row r="2156">
          <cell r="B2156" t="str">
            <v>69000030103114</v>
          </cell>
        </row>
        <row r="2156">
          <cell r="W2156">
            <v>0</v>
          </cell>
        </row>
        <row r="2157">
          <cell r="B2157" t="str">
            <v>6900010080223</v>
          </cell>
        </row>
        <row r="2157">
          <cell r="W2157">
            <v>0</v>
          </cell>
        </row>
        <row r="2158">
          <cell r="B2158" t="str">
            <v>GPR-OS02M03005</v>
          </cell>
        </row>
        <row r="2158">
          <cell r="W2158">
            <v>0</v>
          </cell>
        </row>
        <row r="2159">
          <cell r="B2159" t="str">
            <v>A070046I21</v>
          </cell>
        </row>
        <row r="2159">
          <cell r="W2159">
            <v>0</v>
          </cell>
        </row>
        <row r="2160">
          <cell r="B2160" t="str">
            <v>GPR-PT09M02002</v>
          </cell>
        </row>
        <row r="2160">
          <cell r="W2160">
            <v>0</v>
          </cell>
        </row>
        <row r="2161">
          <cell r="B2161" t="str">
            <v>VPR-LL04L02002</v>
          </cell>
        </row>
        <row r="2161">
          <cell r="W2161">
            <v>0</v>
          </cell>
        </row>
        <row r="2162">
          <cell r="B2162" t="str">
            <v>6900005030218</v>
          </cell>
        </row>
        <row r="2162">
          <cell r="W2162">
            <v>0</v>
          </cell>
        </row>
        <row r="2163">
          <cell r="B2163" t="str">
            <v>GPR-EL24C02004</v>
          </cell>
        </row>
        <row r="2163">
          <cell r="W2163">
            <v>0</v>
          </cell>
        </row>
        <row r="2164">
          <cell r="B2164" t="str">
            <v>GPR-HD08C33001</v>
          </cell>
        </row>
        <row r="2164">
          <cell r="W2164">
            <v>0</v>
          </cell>
        </row>
        <row r="2165">
          <cell r="B2165" t="str">
            <v>GPR-WC01S21004</v>
          </cell>
        </row>
        <row r="2165">
          <cell r="W2165">
            <v>0</v>
          </cell>
        </row>
        <row r="2166">
          <cell r="B2166" t="str">
            <v>6900010080224</v>
          </cell>
        </row>
        <row r="2166">
          <cell r="W2166">
            <v>0</v>
          </cell>
        </row>
        <row r="2167">
          <cell r="B2167" t="str">
            <v>GPR-HD13M15001</v>
          </cell>
        </row>
        <row r="2167">
          <cell r="W2167">
            <v>0</v>
          </cell>
        </row>
        <row r="2168">
          <cell r="B2168" t="str">
            <v>84242000000001</v>
          </cell>
        </row>
        <row r="2168">
          <cell r="W2168">
            <v>1610</v>
          </cell>
        </row>
        <row r="2169">
          <cell r="B2169" t="str">
            <v>GPR-EQ28R02020</v>
          </cell>
        </row>
        <row r="2169">
          <cell r="W2169">
            <v>0</v>
          </cell>
        </row>
        <row r="2170">
          <cell r="B2170" t="str">
            <v>GPR-EL18M01007</v>
          </cell>
        </row>
        <row r="2170">
          <cell r="W2170">
            <v>0</v>
          </cell>
        </row>
        <row r="2171">
          <cell r="B2171" t="str">
            <v>GPR-SP25M22014</v>
          </cell>
        </row>
        <row r="2171">
          <cell r="W2171">
            <v>0</v>
          </cell>
        </row>
        <row r="2172">
          <cell r="B2172" t="str">
            <v>7317000000005</v>
          </cell>
        </row>
        <row r="2172">
          <cell r="W2172">
            <v>0</v>
          </cell>
        </row>
        <row r="2173">
          <cell r="B2173" t="str">
            <v>GPR-SP22M21003</v>
          </cell>
        </row>
        <row r="2173">
          <cell r="W2173">
            <v>0</v>
          </cell>
        </row>
        <row r="2174">
          <cell r="B2174" t="str">
            <v>GPR-OS02M03001</v>
          </cell>
        </row>
        <row r="2174">
          <cell r="W2174">
            <v>0</v>
          </cell>
        </row>
        <row r="2175">
          <cell r="B2175" t="str">
            <v>6900010080221</v>
          </cell>
        </row>
        <row r="2175">
          <cell r="W2175">
            <v>0</v>
          </cell>
        </row>
        <row r="2176">
          <cell r="B2176" t="str">
            <v>84818090000001</v>
          </cell>
        </row>
        <row r="2176">
          <cell r="W2176">
            <v>-399</v>
          </cell>
        </row>
        <row r="2177">
          <cell r="B2177" t="str">
            <v>GPR-MB13M21002</v>
          </cell>
        </row>
        <row r="2177">
          <cell r="W2177">
            <v>0</v>
          </cell>
        </row>
        <row r="2178">
          <cell r="B2178" t="str">
            <v>GPR-HA02S21001</v>
          </cell>
        </row>
        <row r="2178">
          <cell r="W2178">
            <v>0</v>
          </cell>
        </row>
        <row r="2179">
          <cell r="B2179" t="str">
            <v>GPR-SP25M22015</v>
          </cell>
        </row>
        <row r="2179">
          <cell r="W2179">
            <v>0</v>
          </cell>
        </row>
        <row r="2180">
          <cell r="B2180" t="str">
            <v>GPR-HD13M12001</v>
          </cell>
        </row>
        <row r="2180">
          <cell r="W2180">
            <v>0</v>
          </cell>
        </row>
        <row r="2181">
          <cell r="B2181" t="str">
            <v>VPR-SE04A02001</v>
          </cell>
        </row>
        <row r="2181">
          <cell r="W2181">
            <v>0</v>
          </cell>
        </row>
        <row r="2182">
          <cell r="B2182" t="str">
            <v>GPR-MB13M21003</v>
          </cell>
        </row>
        <row r="2182">
          <cell r="W2182">
            <v>0</v>
          </cell>
        </row>
        <row r="2183">
          <cell r="B2183" t="str">
            <v>830100300001</v>
          </cell>
        </row>
        <row r="2183">
          <cell r="W2183">
            <v>608</v>
          </cell>
        </row>
        <row r="2184">
          <cell r="B2184" t="str">
            <v>GPR-EL03M21001</v>
          </cell>
        </row>
        <row r="2184">
          <cell r="W2184">
            <v>0</v>
          </cell>
        </row>
        <row r="2185">
          <cell r="B2185" t="str">
            <v>GPR-AP11C00002</v>
          </cell>
        </row>
        <row r="2185">
          <cell r="W2185">
            <v>0</v>
          </cell>
        </row>
        <row r="2186">
          <cell r="B2186" t="str">
            <v>6114300090</v>
          </cell>
        </row>
        <row r="2186">
          <cell r="W2186">
            <v>0</v>
          </cell>
        </row>
        <row r="2187">
          <cell r="B2187" t="str">
            <v>GPR-PT09M14001</v>
          </cell>
        </row>
        <row r="2187">
          <cell r="W2187">
            <v>0</v>
          </cell>
        </row>
        <row r="2188">
          <cell r="B2188" t="str">
            <v>GPR-MB13M21001</v>
          </cell>
        </row>
        <row r="2188">
          <cell r="W2188">
            <v>0</v>
          </cell>
        </row>
        <row r="2189">
          <cell r="B2189" t="str">
            <v>GPR-SP25M22017</v>
          </cell>
        </row>
        <row r="2189">
          <cell r="W2189">
            <v>0</v>
          </cell>
        </row>
        <row r="2190">
          <cell r="B2190" t="str">
            <v>GPR-EL22R02001</v>
          </cell>
        </row>
        <row r="2190">
          <cell r="W2190">
            <v>0</v>
          </cell>
        </row>
        <row r="2191">
          <cell r="B2191" t="str">
            <v>GPR-MB05R02003</v>
          </cell>
        </row>
        <row r="2191">
          <cell r="W2191">
            <v>0</v>
          </cell>
        </row>
        <row r="2192">
          <cell r="B2192" t="str">
            <v>GPR-MB02L02004</v>
          </cell>
        </row>
        <row r="2192">
          <cell r="W2192">
            <v>0</v>
          </cell>
        </row>
        <row r="2193">
          <cell r="B2193" t="str">
            <v>GPR-OT02M21037</v>
          </cell>
        </row>
        <row r="2193">
          <cell r="W2193">
            <v>0</v>
          </cell>
        </row>
        <row r="2194">
          <cell r="B2194" t="str">
            <v>GPR-SP25M22018</v>
          </cell>
        </row>
        <row r="2194">
          <cell r="W2194">
            <v>0</v>
          </cell>
        </row>
        <row r="2195">
          <cell r="B2195" t="str">
            <v>GPR-HD19M02005</v>
          </cell>
        </row>
        <row r="2195">
          <cell r="W2195">
            <v>0</v>
          </cell>
        </row>
        <row r="2196">
          <cell r="B2196" t="str">
            <v>GPR-MB02L14003</v>
          </cell>
        </row>
        <row r="2196">
          <cell r="W2196">
            <v>0</v>
          </cell>
        </row>
        <row r="2197">
          <cell r="B2197" t="str">
            <v>GPR-MB06R02002</v>
          </cell>
        </row>
        <row r="2197">
          <cell r="W2197">
            <v>0</v>
          </cell>
        </row>
        <row r="2198">
          <cell r="B2198" t="str">
            <v>GPR-EL22R02002</v>
          </cell>
        </row>
        <row r="2198">
          <cell r="W2198">
            <v>0</v>
          </cell>
        </row>
        <row r="2199">
          <cell r="B2199" t="str">
            <v>GPR-MB05R02004</v>
          </cell>
        </row>
        <row r="2199">
          <cell r="W2199">
            <v>0</v>
          </cell>
        </row>
        <row r="2200">
          <cell r="B2200" t="str">
            <v>GPR-MB02L11005</v>
          </cell>
        </row>
        <row r="2200">
          <cell r="W2200">
            <v>0</v>
          </cell>
        </row>
        <row r="2201">
          <cell r="B2201" t="str">
            <v>GPR-PT01M15001</v>
          </cell>
        </row>
        <row r="2201">
          <cell r="W2201">
            <v>0</v>
          </cell>
        </row>
        <row r="2202">
          <cell r="B2202" t="str">
            <v>GPR-OT02M21038</v>
          </cell>
        </row>
        <row r="2202">
          <cell r="W2202">
            <v>0</v>
          </cell>
        </row>
        <row r="2203">
          <cell r="B2203" t="str">
            <v>69000030103181</v>
          </cell>
        </row>
        <row r="2203">
          <cell r="W2203">
            <v>0</v>
          </cell>
        </row>
        <row r="2204">
          <cell r="B2204" t="str">
            <v>GPR-EL22R02003</v>
          </cell>
        </row>
        <row r="2204">
          <cell r="W2204">
            <v>0</v>
          </cell>
        </row>
        <row r="2205">
          <cell r="B2205" t="str">
            <v>GPR-PT02M13009</v>
          </cell>
        </row>
        <row r="2205">
          <cell r="W2205">
            <v>0</v>
          </cell>
        </row>
        <row r="2206">
          <cell r="B2206" t="str">
            <v>69000030103153</v>
          </cell>
        </row>
        <row r="2206">
          <cell r="W2206">
            <v>0</v>
          </cell>
        </row>
        <row r="2207">
          <cell r="B2207" t="str">
            <v>GPR-HD20M02001</v>
          </cell>
        </row>
        <row r="2207">
          <cell r="W2207">
            <v>0</v>
          </cell>
        </row>
        <row r="2208">
          <cell r="B2208" t="str">
            <v>GPR-EL22R02004</v>
          </cell>
        </row>
        <row r="2208">
          <cell r="W2208">
            <v>0</v>
          </cell>
        </row>
        <row r="2209">
          <cell r="B2209" t="str">
            <v>102552</v>
          </cell>
        </row>
        <row r="2209">
          <cell r="W2209">
            <v>0</v>
          </cell>
        </row>
        <row r="2210">
          <cell r="B2210" t="str">
            <v>GPR-ME03C01003</v>
          </cell>
        </row>
        <row r="2210">
          <cell r="W2210">
            <v>0</v>
          </cell>
        </row>
        <row r="2211">
          <cell r="B2211" t="str">
            <v>GPR-SP25M22020</v>
          </cell>
        </row>
        <row r="2211">
          <cell r="W2211">
            <v>0</v>
          </cell>
        </row>
        <row r="2212">
          <cell r="B2212" t="str">
            <v>84254910000111414400</v>
          </cell>
        </row>
        <row r="2212">
          <cell r="W2212">
            <v>0</v>
          </cell>
        </row>
        <row r="2213">
          <cell r="B2213" t="str">
            <v>GPR-MB02L15002</v>
          </cell>
        </row>
        <row r="2213">
          <cell r="W2213">
            <v>0</v>
          </cell>
        </row>
        <row r="2214">
          <cell r="B2214" t="str">
            <v>GPR-MB02L01003</v>
          </cell>
        </row>
        <row r="2214">
          <cell r="W2214">
            <v>0</v>
          </cell>
        </row>
        <row r="2215">
          <cell r="B2215" t="str">
            <v>GPR-EL22R02005</v>
          </cell>
        </row>
        <row r="2215">
          <cell r="W2215">
            <v>0</v>
          </cell>
        </row>
        <row r="2216">
          <cell r="B2216" t="str">
            <v>GPR-PT09M01001</v>
          </cell>
        </row>
        <row r="2216">
          <cell r="W2216">
            <v>0</v>
          </cell>
        </row>
        <row r="2217">
          <cell r="B2217" t="str">
            <v>GPR-PT02M13011</v>
          </cell>
        </row>
        <row r="2217">
          <cell r="W2217">
            <v>0</v>
          </cell>
        </row>
        <row r="2218">
          <cell r="B2218" t="str">
            <v>GPR-ME05D01001</v>
          </cell>
        </row>
        <row r="2218">
          <cell r="W2218">
            <v>0</v>
          </cell>
        </row>
        <row r="2219">
          <cell r="B2219" t="str">
            <v>69000030103185</v>
          </cell>
        </row>
        <row r="2219">
          <cell r="W2219">
            <v>0</v>
          </cell>
        </row>
        <row r="2220">
          <cell r="B2220" t="str">
            <v>6900010080231</v>
          </cell>
        </row>
        <row r="2220">
          <cell r="W2220">
            <v>0</v>
          </cell>
        </row>
        <row r="2221">
          <cell r="B2221" t="str">
            <v>GPR-PT02M13012</v>
          </cell>
        </row>
        <row r="2221">
          <cell r="W2221">
            <v>0</v>
          </cell>
        </row>
        <row r="2222">
          <cell r="B2222" t="str">
            <v>GPR-SP00M21038</v>
          </cell>
        </row>
        <row r="2222">
          <cell r="W2222">
            <v>0</v>
          </cell>
        </row>
        <row r="2223">
          <cell r="B2223" t="str">
            <v>VPR-OS04D01002</v>
          </cell>
        </row>
        <row r="2223">
          <cell r="W2223">
            <v>0</v>
          </cell>
        </row>
        <row r="2224">
          <cell r="B2224" t="str">
            <v>GPR-MB14M21010</v>
          </cell>
        </row>
        <row r="2224">
          <cell r="W2224">
            <v>0</v>
          </cell>
        </row>
        <row r="2225">
          <cell r="B2225" t="str">
            <v>84254910000111400000</v>
          </cell>
        </row>
        <row r="2225">
          <cell r="W2225">
            <v>0</v>
          </cell>
        </row>
        <row r="2226">
          <cell r="B2226" t="str">
            <v>830200410001</v>
          </cell>
        </row>
        <row r="2226">
          <cell r="W2226">
            <v>-59</v>
          </cell>
        </row>
        <row r="2227">
          <cell r="B2227" t="str">
            <v>69000030103257</v>
          </cell>
        </row>
        <row r="2227">
          <cell r="W2227">
            <v>0</v>
          </cell>
        </row>
        <row r="2228">
          <cell r="B2228" t="str">
            <v>GPR-EL03C01013</v>
          </cell>
        </row>
        <row r="2228">
          <cell r="W2228">
            <v>0</v>
          </cell>
        </row>
        <row r="2229">
          <cell r="B2229" t="str">
            <v>GPR-EL15M21002</v>
          </cell>
        </row>
        <row r="2229">
          <cell r="W2229">
            <v>0</v>
          </cell>
        </row>
        <row r="2230">
          <cell r="B2230" t="str">
            <v>GPR-EL05C02001</v>
          </cell>
        </row>
        <row r="2230">
          <cell r="W2230">
            <v>0</v>
          </cell>
        </row>
        <row r="2231">
          <cell r="B2231" t="str">
            <v>GPR-HD01M02002</v>
          </cell>
        </row>
        <row r="2231">
          <cell r="W2231">
            <v>0</v>
          </cell>
        </row>
        <row r="2232">
          <cell r="B2232" t="str">
            <v>GPR-PT02M13013</v>
          </cell>
        </row>
        <row r="2232">
          <cell r="W2232">
            <v>0</v>
          </cell>
        </row>
        <row r="2233">
          <cell r="B2233" t="str">
            <v>VPR-OS04D01001</v>
          </cell>
        </row>
        <row r="2233">
          <cell r="W2233">
            <v>0</v>
          </cell>
        </row>
        <row r="2234">
          <cell r="B2234" t="str">
            <v>GPR-HD01S21019</v>
          </cell>
        </row>
        <row r="2234">
          <cell r="W2234">
            <v>0</v>
          </cell>
        </row>
        <row r="2235">
          <cell r="B2235" t="str">
            <v>101282</v>
          </cell>
        </row>
        <row r="2235">
          <cell r="W2235">
            <v>0</v>
          </cell>
        </row>
        <row r="2236">
          <cell r="B2236" t="str">
            <v>GPR-PT02M13014</v>
          </cell>
        </row>
        <row r="2236">
          <cell r="W2236">
            <v>0</v>
          </cell>
        </row>
        <row r="2237">
          <cell r="B2237" t="str">
            <v>GPR-MB23M21001</v>
          </cell>
        </row>
        <row r="2237">
          <cell r="W2237">
            <v>0</v>
          </cell>
        </row>
        <row r="2238">
          <cell r="B2238" t="str">
            <v>GPR-WC01S21008</v>
          </cell>
        </row>
        <row r="2238">
          <cell r="W2238">
            <v>0</v>
          </cell>
        </row>
        <row r="2239">
          <cell r="B2239" t="str">
            <v>VPR-OS04D01003</v>
          </cell>
        </row>
        <row r="2239">
          <cell r="W2239">
            <v>0</v>
          </cell>
        </row>
        <row r="2240">
          <cell r="B2240" t="str">
            <v>GPR-AP04C00001</v>
          </cell>
        </row>
        <row r="2240">
          <cell r="W2240">
            <v>0</v>
          </cell>
        </row>
        <row r="2241">
          <cell r="B2241" t="str">
            <v>GPR-HD19M02003</v>
          </cell>
        </row>
        <row r="2241">
          <cell r="W2241">
            <v>0</v>
          </cell>
        </row>
        <row r="2242">
          <cell r="B2242" t="str">
            <v>GPR-HD02M00002</v>
          </cell>
        </row>
        <row r="2242">
          <cell r="W2242">
            <v>0</v>
          </cell>
        </row>
        <row r="2243">
          <cell r="B2243" t="str">
            <v>GPR-PT03D01005</v>
          </cell>
        </row>
        <row r="2243">
          <cell r="W2243">
            <v>0</v>
          </cell>
        </row>
        <row r="2244">
          <cell r="B2244" t="str">
            <v>GPR-PT02M13015</v>
          </cell>
        </row>
        <row r="2244">
          <cell r="W2244">
            <v>0</v>
          </cell>
        </row>
        <row r="2245">
          <cell r="B2245" t="str">
            <v>GPR-AP08R15002</v>
          </cell>
        </row>
        <row r="2245">
          <cell r="W2245">
            <v>0</v>
          </cell>
        </row>
        <row r="2246">
          <cell r="B2246" t="str">
            <v>84818039900003</v>
          </cell>
        </row>
        <row r="2246">
          <cell r="W2246">
            <v>0</v>
          </cell>
        </row>
        <row r="2247">
          <cell r="B2247" t="str">
            <v>GPR-WC01S21010</v>
          </cell>
        </row>
        <row r="2247">
          <cell r="W2247">
            <v>0</v>
          </cell>
        </row>
        <row r="2248">
          <cell r="B2248" t="str">
            <v>GPR-HO10C01004</v>
          </cell>
        </row>
        <row r="2248">
          <cell r="W2248">
            <v>0</v>
          </cell>
        </row>
        <row r="2249">
          <cell r="B2249" t="str">
            <v>69000030103255</v>
          </cell>
        </row>
        <row r="2249">
          <cell r="W2249">
            <v>0</v>
          </cell>
        </row>
        <row r="2250">
          <cell r="B2250" t="str">
            <v>GPR-MB02L03005</v>
          </cell>
        </row>
        <row r="2250">
          <cell r="W2250">
            <v>0</v>
          </cell>
        </row>
        <row r="2251">
          <cell r="B2251" t="str">
            <v>GPR-PT03D12001</v>
          </cell>
        </row>
        <row r="2251">
          <cell r="W2251">
            <v>0</v>
          </cell>
        </row>
        <row r="2252">
          <cell r="B2252" t="str">
            <v>GPR-PT01M01003</v>
          </cell>
        </row>
        <row r="2252">
          <cell r="W2252">
            <v>0</v>
          </cell>
        </row>
        <row r="2253">
          <cell r="B2253" t="str">
            <v>830200410002</v>
          </cell>
        </row>
        <row r="2253">
          <cell r="W2253">
            <v>-11</v>
          </cell>
        </row>
        <row r="2254">
          <cell r="B2254" t="str">
            <v>GPR-MB19C03004</v>
          </cell>
        </row>
        <row r="2254">
          <cell r="W2254">
            <v>0</v>
          </cell>
        </row>
        <row r="2255">
          <cell r="B2255" t="str">
            <v>GPR-PT01M01001</v>
          </cell>
        </row>
        <row r="2255">
          <cell r="W2255">
            <v>0</v>
          </cell>
        </row>
        <row r="2256">
          <cell r="B2256" t="str">
            <v>GPR-EQ07C02004</v>
          </cell>
        </row>
        <row r="2256">
          <cell r="W2256">
            <v>0</v>
          </cell>
        </row>
        <row r="2257">
          <cell r="B2257" t="str">
            <v>83024100000010</v>
          </cell>
        </row>
        <row r="2257">
          <cell r="W2257">
            <v>0</v>
          </cell>
        </row>
        <row r="2258">
          <cell r="B2258" t="str">
            <v>69000030103163</v>
          </cell>
        </row>
        <row r="2258">
          <cell r="W2258">
            <v>0</v>
          </cell>
        </row>
        <row r="2259">
          <cell r="B2259" t="str">
            <v>GPR-AP08R15001</v>
          </cell>
        </row>
        <row r="2259">
          <cell r="W2259">
            <v>0</v>
          </cell>
        </row>
        <row r="2260">
          <cell r="B2260" t="str">
            <v>6900010080232</v>
          </cell>
        </row>
        <row r="2260">
          <cell r="W2260">
            <v>0</v>
          </cell>
        </row>
        <row r="2261">
          <cell r="B2261" t="str">
            <v>VPR-PN01O04001</v>
          </cell>
        </row>
        <row r="2261">
          <cell r="W2261">
            <v>0</v>
          </cell>
        </row>
        <row r="2262">
          <cell r="B2262" t="str">
            <v>102232</v>
          </cell>
        </row>
        <row r="2262">
          <cell r="W2262">
            <v>0</v>
          </cell>
        </row>
        <row r="2263">
          <cell r="B2263" t="str">
            <v>6401109000001</v>
          </cell>
        </row>
        <row r="2263">
          <cell r="W2263">
            <v>0</v>
          </cell>
        </row>
        <row r="2264">
          <cell r="B2264" t="str">
            <v>GPR-MB19C03005</v>
          </cell>
        </row>
        <row r="2264">
          <cell r="W2264">
            <v>0</v>
          </cell>
        </row>
        <row r="2265">
          <cell r="B2265" t="str">
            <v>39259000000010</v>
          </cell>
        </row>
        <row r="2265">
          <cell r="W2265">
            <v>0</v>
          </cell>
        </row>
        <row r="2266">
          <cell r="B2266" t="str">
            <v>GPR-SP29S21001</v>
          </cell>
        </row>
        <row r="2266">
          <cell r="W2266">
            <v>0</v>
          </cell>
        </row>
        <row r="2267">
          <cell r="B2267" t="str">
            <v>GPR-HA03M01001</v>
          </cell>
        </row>
        <row r="2267">
          <cell r="W2267">
            <v>0</v>
          </cell>
        </row>
        <row r="2268">
          <cell r="B2268" t="str">
            <v>GPR-PT02M14001</v>
          </cell>
        </row>
        <row r="2268">
          <cell r="W2268">
            <v>0</v>
          </cell>
        </row>
        <row r="2269">
          <cell r="B2269" t="str">
            <v>830200410005</v>
          </cell>
        </row>
        <row r="2269">
          <cell r="W2269">
            <v>-40</v>
          </cell>
        </row>
        <row r="2270">
          <cell r="B2270" t="str">
            <v>GPR-WC01S21015</v>
          </cell>
        </row>
        <row r="2270">
          <cell r="W2270">
            <v>0</v>
          </cell>
        </row>
        <row r="2271">
          <cell r="B2271" t="str">
            <v>B020004B01</v>
          </cell>
        </row>
        <row r="2271">
          <cell r="W2271">
            <v>1</v>
          </cell>
        </row>
        <row r="2272">
          <cell r="B2272" t="str">
            <v>GPR-ME05M21001</v>
          </cell>
        </row>
        <row r="2272">
          <cell r="W2272">
            <v>0</v>
          </cell>
        </row>
        <row r="2273">
          <cell r="B2273" t="str">
            <v>GPR-HD04M21007</v>
          </cell>
        </row>
        <row r="2273">
          <cell r="W2273">
            <v>0</v>
          </cell>
        </row>
        <row r="2274">
          <cell r="B2274" t="str">
            <v>GPR-PT02M14002</v>
          </cell>
        </row>
        <row r="2274">
          <cell r="W2274">
            <v>0</v>
          </cell>
        </row>
        <row r="2275">
          <cell r="B2275" t="str">
            <v>6401109000002</v>
          </cell>
        </row>
        <row r="2275">
          <cell r="W2275">
            <v>0</v>
          </cell>
        </row>
        <row r="2276">
          <cell r="B2276" t="str">
            <v>39259000000028</v>
          </cell>
        </row>
        <row r="2276">
          <cell r="W2276">
            <v>0</v>
          </cell>
        </row>
        <row r="2277">
          <cell r="B2277" t="str">
            <v>GPR-PT06L00002</v>
          </cell>
        </row>
        <row r="2277">
          <cell r="W2277">
            <v>0</v>
          </cell>
        </row>
        <row r="2278">
          <cell r="B2278" t="str">
            <v>830200410006</v>
          </cell>
        </row>
        <row r="2278">
          <cell r="W2278">
            <v>0</v>
          </cell>
        </row>
        <row r="2279">
          <cell r="B2279" t="str">
            <v>GPR-SP09M21025</v>
          </cell>
        </row>
        <row r="2279">
          <cell r="W2279">
            <v>0</v>
          </cell>
        </row>
        <row r="2280">
          <cell r="B2280" t="str">
            <v>830200410007</v>
          </cell>
        </row>
        <row r="2280">
          <cell r="W2280">
            <v>1</v>
          </cell>
        </row>
        <row r="2281">
          <cell r="B2281" t="str">
            <v>GPR-PT02M11001</v>
          </cell>
        </row>
        <row r="2281">
          <cell r="W2281">
            <v>0</v>
          </cell>
        </row>
        <row r="2282">
          <cell r="B2282" t="str">
            <v>GPR-HO03K00001</v>
          </cell>
        </row>
        <row r="2282">
          <cell r="W2282">
            <v>0</v>
          </cell>
        </row>
        <row r="2283">
          <cell r="B2283" t="str">
            <v>6900010080226</v>
          </cell>
        </row>
        <row r="2283">
          <cell r="W2283">
            <v>0</v>
          </cell>
        </row>
        <row r="2284">
          <cell r="B2284" t="str">
            <v>GPR-EL22C01004</v>
          </cell>
        </row>
        <row r="2284">
          <cell r="W2284">
            <v>0</v>
          </cell>
        </row>
        <row r="2285">
          <cell r="B2285" t="str">
            <v>GPR-HD22M21001</v>
          </cell>
        </row>
        <row r="2285">
          <cell r="W2285">
            <v>0</v>
          </cell>
        </row>
        <row r="2286">
          <cell r="B2286" t="str">
            <v>84818039900001</v>
          </cell>
        </row>
        <row r="2286">
          <cell r="W2286">
            <v>-2765</v>
          </cell>
        </row>
        <row r="2287">
          <cell r="B2287" t="str">
            <v>GPR-EL24C14001</v>
          </cell>
        </row>
        <row r="2287">
          <cell r="W2287">
            <v>0</v>
          </cell>
        </row>
        <row r="2288">
          <cell r="B2288" t="str">
            <v>GPR-PT02P11001</v>
          </cell>
        </row>
        <row r="2288">
          <cell r="W2288">
            <v>0</v>
          </cell>
        </row>
        <row r="2289">
          <cell r="B2289" t="str">
            <v>GPR-WD02M23001</v>
          </cell>
        </row>
        <row r="2289">
          <cell r="W2289">
            <v>0</v>
          </cell>
        </row>
        <row r="2290">
          <cell r="B2290" t="str">
            <v>6900008072726</v>
          </cell>
        </row>
        <row r="2290">
          <cell r="W2290">
            <v>0</v>
          </cell>
        </row>
        <row r="2291">
          <cell r="B2291" t="str">
            <v>GPR-HO04P01001</v>
          </cell>
        </row>
        <row r="2291">
          <cell r="W2291">
            <v>0</v>
          </cell>
        </row>
        <row r="2292">
          <cell r="B2292" t="str">
            <v>GPR-HO09O04002</v>
          </cell>
        </row>
        <row r="2292">
          <cell r="W2292">
            <v>0</v>
          </cell>
        </row>
        <row r="2293">
          <cell r="B2293" t="str">
            <v>GPR-PT02M13016</v>
          </cell>
        </row>
        <row r="2293">
          <cell r="W2293">
            <v>0</v>
          </cell>
        </row>
        <row r="2294">
          <cell r="B2294" t="str">
            <v>0117822000</v>
          </cell>
        </row>
        <row r="2294">
          <cell r="W2294">
            <v>0</v>
          </cell>
        </row>
        <row r="2295">
          <cell r="B2295" t="str">
            <v>VPR-HO03S21001</v>
          </cell>
        </row>
        <row r="2295">
          <cell r="W2295">
            <v>0</v>
          </cell>
        </row>
        <row r="2296">
          <cell r="B2296" t="str">
            <v>GPR-WD02M23002</v>
          </cell>
        </row>
        <row r="2296">
          <cell r="W2296">
            <v>0</v>
          </cell>
        </row>
        <row r="2297">
          <cell r="B2297" t="str">
            <v>GPR-EQ34S21001</v>
          </cell>
        </row>
        <row r="2297">
          <cell r="W2297">
            <v>0</v>
          </cell>
        </row>
        <row r="2298">
          <cell r="B2298" t="str">
            <v>GPR-HD01S21012</v>
          </cell>
        </row>
        <row r="2298">
          <cell r="W2298">
            <v>0</v>
          </cell>
        </row>
        <row r="2299">
          <cell r="B2299" t="str">
            <v>GPR-PT02P13001</v>
          </cell>
        </row>
        <row r="2299">
          <cell r="W2299">
            <v>0</v>
          </cell>
        </row>
        <row r="2300">
          <cell r="B2300" t="str">
            <v>GPR-PT02M15010</v>
          </cell>
        </row>
        <row r="2300">
          <cell r="W2300">
            <v>0</v>
          </cell>
        </row>
        <row r="2301">
          <cell r="B2301" t="str">
            <v>3926909090020</v>
          </cell>
        </row>
        <row r="2301">
          <cell r="W2301">
            <v>-4142</v>
          </cell>
        </row>
        <row r="2302">
          <cell r="B2302" t="str">
            <v>GPR-HD13M21001</v>
          </cell>
        </row>
        <row r="2302">
          <cell r="W2302">
            <v>0</v>
          </cell>
        </row>
        <row r="2303">
          <cell r="B2303" t="str">
            <v>GPR-HD01S21013</v>
          </cell>
        </row>
        <row r="2303">
          <cell r="W2303">
            <v>0</v>
          </cell>
        </row>
        <row r="2304">
          <cell r="B2304" t="str">
            <v>GPR-HD04M02008</v>
          </cell>
        </row>
        <row r="2304">
          <cell r="W2304">
            <v>0</v>
          </cell>
        </row>
        <row r="2305">
          <cell r="B2305" t="str">
            <v>GPR-EQ27A21002</v>
          </cell>
        </row>
        <row r="2305">
          <cell r="W2305">
            <v>0</v>
          </cell>
        </row>
        <row r="2306">
          <cell r="B2306" t="str">
            <v>6900005050613</v>
          </cell>
        </row>
        <row r="2306">
          <cell r="W2306">
            <v>0</v>
          </cell>
        </row>
        <row r="2307">
          <cell r="B2307" t="str">
            <v>GPR-HD13M21002</v>
          </cell>
        </row>
        <row r="2307">
          <cell r="W2307">
            <v>0</v>
          </cell>
        </row>
        <row r="2308">
          <cell r="B2308" t="str">
            <v>GPR-HD01M21014</v>
          </cell>
        </row>
        <row r="2308">
          <cell r="W2308">
            <v>0</v>
          </cell>
        </row>
        <row r="2309">
          <cell r="B2309" t="str">
            <v>6900005030236</v>
          </cell>
        </row>
        <row r="2309">
          <cell r="W2309">
            <v>0</v>
          </cell>
        </row>
        <row r="2310">
          <cell r="B2310" t="str">
            <v>1714839172100000001</v>
          </cell>
        </row>
        <row r="2310">
          <cell r="W2310">
            <v>-7</v>
          </cell>
        </row>
        <row r="2311">
          <cell r="B2311" t="str">
            <v>GPR-PT02P15001</v>
          </cell>
        </row>
        <row r="2311">
          <cell r="W2311">
            <v>0</v>
          </cell>
        </row>
        <row r="2312">
          <cell r="B2312" t="str">
            <v>GPR-EL24C14002</v>
          </cell>
        </row>
        <row r="2312">
          <cell r="W2312">
            <v>0</v>
          </cell>
        </row>
        <row r="2313">
          <cell r="B2313" t="str">
            <v>6900003011411</v>
          </cell>
        </row>
        <row r="2313">
          <cell r="W2313">
            <v>0</v>
          </cell>
        </row>
        <row r="2314">
          <cell r="B2314" t="str">
            <v>39172100000001</v>
          </cell>
        </row>
        <row r="2314">
          <cell r="W2314">
            <v>315</v>
          </cell>
        </row>
        <row r="2315">
          <cell r="B2315" t="str">
            <v>6900005030235</v>
          </cell>
        </row>
        <row r="2315">
          <cell r="W2315">
            <v>0</v>
          </cell>
        </row>
        <row r="2316">
          <cell r="B2316" t="str">
            <v>GPR-OS03M21003</v>
          </cell>
        </row>
        <row r="2316">
          <cell r="W2316">
            <v>0</v>
          </cell>
        </row>
        <row r="2317">
          <cell r="B2317" t="str">
            <v>GPR-EL22C01002</v>
          </cell>
        </row>
        <row r="2317">
          <cell r="W2317">
            <v>0</v>
          </cell>
        </row>
        <row r="2318">
          <cell r="B2318" t="str">
            <v>830100100005</v>
          </cell>
        </row>
        <row r="2318">
          <cell r="W2318">
            <v>40</v>
          </cell>
        </row>
        <row r="2319">
          <cell r="B2319" t="str">
            <v>830100600001</v>
          </cell>
        </row>
        <row r="2319">
          <cell r="W2319">
            <v>-31</v>
          </cell>
        </row>
        <row r="2320">
          <cell r="B2320" t="str">
            <v>GPR-HD08M02001</v>
          </cell>
        </row>
        <row r="2320">
          <cell r="W2320">
            <v>0</v>
          </cell>
        </row>
        <row r="2321">
          <cell r="B2321" t="str">
            <v>GPR-EL24C11001</v>
          </cell>
        </row>
        <row r="2321">
          <cell r="W2321">
            <v>0</v>
          </cell>
        </row>
        <row r="2322">
          <cell r="B2322" t="str">
            <v>GPR-HD08M02004</v>
          </cell>
        </row>
        <row r="2322">
          <cell r="W2322">
            <v>0</v>
          </cell>
        </row>
        <row r="2323">
          <cell r="B2323" t="str">
            <v>GPR-MB14M21006</v>
          </cell>
        </row>
        <row r="2323">
          <cell r="W2323">
            <v>0</v>
          </cell>
        </row>
        <row r="2324">
          <cell r="B2324" t="str">
            <v>6900010080271</v>
          </cell>
        </row>
        <row r="2324">
          <cell r="W2324">
            <v>10000</v>
          </cell>
        </row>
        <row r="2325">
          <cell r="B2325" t="str">
            <v>GPR-HS02R02002</v>
          </cell>
        </row>
        <row r="2325">
          <cell r="W2325">
            <v>0</v>
          </cell>
        </row>
        <row r="2326">
          <cell r="B2326" t="str">
            <v>3926909090021</v>
          </cell>
        </row>
        <row r="2326">
          <cell r="W2326">
            <v>-8148</v>
          </cell>
        </row>
        <row r="2327">
          <cell r="B2327" t="str">
            <v>GPR-LM03C01001</v>
          </cell>
        </row>
        <row r="2327">
          <cell r="W2327">
            <v>0</v>
          </cell>
        </row>
        <row r="2328">
          <cell r="B2328" t="str">
            <v>GPR-HD08M02009</v>
          </cell>
        </row>
        <row r="2328">
          <cell r="W2328">
            <v>0</v>
          </cell>
        </row>
        <row r="2329">
          <cell r="B2329" t="str">
            <v>GPR-SP29M21001</v>
          </cell>
        </row>
        <row r="2329">
          <cell r="W2329">
            <v>0</v>
          </cell>
        </row>
        <row r="2330">
          <cell r="B2330" t="str">
            <v>GPR-EL24C11002</v>
          </cell>
        </row>
        <row r="2330">
          <cell r="W2330">
            <v>0</v>
          </cell>
        </row>
        <row r="2331">
          <cell r="B2331" t="str">
            <v>830100100006</v>
          </cell>
        </row>
        <row r="2331">
          <cell r="W2331">
            <v>-726</v>
          </cell>
        </row>
        <row r="2332">
          <cell r="B2332" t="str">
            <v>GPR-EL23C02002</v>
          </cell>
        </row>
        <row r="2332">
          <cell r="W2332">
            <v>0</v>
          </cell>
        </row>
        <row r="2333">
          <cell r="B2333" t="str">
            <v>GPR-SP29M21002</v>
          </cell>
        </row>
        <row r="2333">
          <cell r="W2333">
            <v>0</v>
          </cell>
        </row>
        <row r="2334">
          <cell r="B2334" t="str">
            <v>GPR-IT01M02001</v>
          </cell>
        </row>
        <row r="2334">
          <cell r="W2334">
            <v>0</v>
          </cell>
        </row>
        <row r="2335">
          <cell r="B2335" t="str">
            <v>GPR-LM04M01001</v>
          </cell>
        </row>
        <row r="2335">
          <cell r="W2335">
            <v>0</v>
          </cell>
        </row>
        <row r="2336">
          <cell r="B2336" t="str">
            <v>GPR-WD01M02010</v>
          </cell>
        </row>
        <row r="2336">
          <cell r="W2336">
            <v>0</v>
          </cell>
        </row>
        <row r="2337">
          <cell r="B2337" t="str">
            <v>GPR-EQ07C00001</v>
          </cell>
        </row>
        <row r="2337">
          <cell r="W2337">
            <v>0</v>
          </cell>
        </row>
        <row r="2338">
          <cell r="B2338" t="str">
            <v>GPR-LM02G00002</v>
          </cell>
        </row>
        <row r="2338">
          <cell r="W2338">
            <v>0</v>
          </cell>
        </row>
        <row r="2339">
          <cell r="B2339" t="str">
            <v>69000030103216</v>
          </cell>
        </row>
        <row r="2339">
          <cell r="W2339">
            <v>1000</v>
          </cell>
        </row>
        <row r="2340">
          <cell r="B2340" t="str">
            <v>6900012091360</v>
          </cell>
        </row>
        <row r="2340">
          <cell r="W2340">
            <v>-30</v>
          </cell>
        </row>
        <row r="2341">
          <cell r="B2341" t="str">
            <v>GPR-HD08M21002</v>
          </cell>
        </row>
        <row r="2341">
          <cell r="W2341">
            <v>0</v>
          </cell>
        </row>
        <row r="2342">
          <cell r="B2342" t="str">
            <v>3923500000002</v>
          </cell>
        </row>
        <row r="2342">
          <cell r="W2342">
            <v>0</v>
          </cell>
        </row>
        <row r="2343">
          <cell r="B2343" t="str">
            <v>GPR-MB17M21004</v>
          </cell>
        </row>
        <row r="2343">
          <cell r="W2343">
            <v>0</v>
          </cell>
        </row>
        <row r="2344">
          <cell r="B2344" t="str">
            <v>GPR-LM02G00001</v>
          </cell>
        </row>
        <row r="2344">
          <cell r="W2344">
            <v>0</v>
          </cell>
        </row>
        <row r="2345">
          <cell r="B2345" t="str">
            <v>GPR-HD13M15002</v>
          </cell>
        </row>
        <row r="2345">
          <cell r="W2345">
            <v>0</v>
          </cell>
        </row>
        <row r="2346">
          <cell r="B2346" t="str">
            <v>6900009060312</v>
          </cell>
        </row>
        <row r="2346">
          <cell r="W2346">
            <v>0</v>
          </cell>
        </row>
        <row r="2347">
          <cell r="B2347" t="str">
            <v>6900005030112</v>
          </cell>
        </row>
        <row r="2347">
          <cell r="W2347">
            <v>0</v>
          </cell>
        </row>
        <row r="2348">
          <cell r="B2348" t="str">
            <v>GPR-MB23S21002</v>
          </cell>
        </row>
        <row r="2348">
          <cell r="W2348">
            <v>0</v>
          </cell>
        </row>
        <row r="2349">
          <cell r="B2349" t="str">
            <v>GPR-LM02G00004</v>
          </cell>
        </row>
        <row r="2349">
          <cell r="W2349">
            <v>0</v>
          </cell>
        </row>
        <row r="2350">
          <cell r="B2350" t="str">
            <v>69000030103242</v>
          </cell>
        </row>
        <row r="2350">
          <cell r="W2350">
            <v>0</v>
          </cell>
        </row>
        <row r="2351">
          <cell r="B2351" t="str">
            <v>GPR-LM02G00003</v>
          </cell>
        </row>
        <row r="2351">
          <cell r="W2351">
            <v>0</v>
          </cell>
        </row>
        <row r="2352">
          <cell r="B2352" t="str">
            <v>GPR-SP26S21001</v>
          </cell>
        </row>
        <row r="2352">
          <cell r="W2352">
            <v>0</v>
          </cell>
        </row>
        <row r="2353">
          <cell r="B2353" t="str">
            <v>830100100001</v>
          </cell>
        </row>
        <row r="2353">
          <cell r="W2353">
            <v>-25</v>
          </cell>
        </row>
        <row r="2354">
          <cell r="B2354" t="str">
            <v>0118324400</v>
          </cell>
        </row>
        <row r="2354">
          <cell r="W2354">
            <v>0</v>
          </cell>
        </row>
        <row r="2355">
          <cell r="B2355" t="str">
            <v>GPR-EL18C01001</v>
          </cell>
        </row>
        <row r="2355">
          <cell r="W2355">
            <v>0</v>
          </cell>
        </row>
        <row r="2356">
          <cell r="B2356" t="str">
            <v>830200100009</v>
          </cell>
        </row>
        <row r="2356">
          <cell r="W2356">
            <v>-105</v>
          </cell>
        </row>
        <row r="2357">
          <cell r="B2357" t="str">
            <v>69000030103267</v>
          </cell>
        </row>
        <row r="2357">
          <cell r="W2357">
            <v>0</v>
          </cell>
        </row>
        <row r="2358">
          <cell r="B2358" t="str">
            <v>GPR-HO04S21006</v>
          </cell>
        </row>
        <row r="2358">
          <cell r="W2358">
            <v>0</v>
          </cell>
        </row>
        <row r="2359">
          <cell r="B2359" t="str">
            <v>GPR-MB23S21004</v>
          </cell>
        </row>
        <row r="2359">
          <cell r="W2359">
            <v>0</v>
          </cell>
        </row>
        <row r="2360">
          <cell r="B2360" t="str">
            <v>GPR-PT10C01001</v>
          </cell>
        </row>
        <row r="2360">
          <cell r="W2360">
            <v>0</v>
          </cell>
        </row>
        <row r="2361">
          <cell r="B2361" t="str">
            <v>10050477717900</v>
          </cell>
        </row>
        <row r="2361">
          <cell r="W2361">
            <v>0</v>
          </cell>
        </row>
        <row r="2362">
          <cell r="B2362" t="str">
            <v>101509</v>
          </cell>
        </row>
        <row r="2362">
          <cell r="W2362">
            <v>0</v>
          </cell>
        </row>
        <row r="2363">
          <cell r="B2363" t="str">
            <v>GPR-MB23S21003</v>
          </cell>
        </row>
        <row r="2363">
          <cell r="W2363">
            <v>0</v>
          </cell>
        </row>
        <row r="2364">
          <cell r="B2364" t="str">
            <v>GPR-MB14M03001</v>
          </cell>
        </row>
        <row r="2364">
          <cell r="W2364">
            <v>0</v>
          </cell>
        </row>
        <row r="2365">
          <cell r="B2365" t="str">
            <v>GPR-HD04M21006</v>
          </cell>
        </row>
        <row r="2365">
          <cell r="W2365">
            <v>0</v>
          </cell>
        </row>
        <row r="2366">
          <cell r="B2366" t="str">
            <v>8302410000004</v>
          </cell>
        </row>
        <row r="2366">
          <cell r="W2366">
            <v>0</v>
          </cell>
        </row>
        <row r="2367">
          <cell r="B2367" t="str">
            <v>0112415300</v>
          </cell>
        </row>
        <row r="2367">
          <cell r="W2367">
            <v>0</v>
          </cell>
        </row>
        <row r="2368">
          <cell r="B2368" t="str">
            <v>GPR-SP26S21002</v>
          </cell>
        </row>
        <row r="2368">
          <cell r="W2368">
            <v>0</v>
          </cell>
        </row>
        <row r="2369">
          <cell r="B2369" t="str">
            <v>GPR-MB16L13001</v>
          </cell>
        </row>
        <row r="2369">
          <cell r="W2369">
            <v>0</v>
          </cell>
        </row>
        <row r="2370">
          <cell r="B2370" t="str">
            <v>GPR-MB14M15001</v>
          </cell>
        </row>
        <row r="2370">
          <cell r="W2370">
            <v>0</v>
          </cell>
        </row>
        <row r="2371">
          <cell r="B2371" t="str">
            <v>GPR-PL01R11001</v>
          </cell>
        </row>
        <row r="2371">
          <cell r="W2371">
            <v>0</v>
          </cell>
        </row>
        <row r="2372">
          <cell r="B2372" t="str">
            <v>GPR-HO04S21004</v>
          </cell>
        </row>
        <row r="2372">
          <cell r="W2372">
            <v>0</v>
          </cell>
        </row>
        <row r="2373">
          <cell r="B2373" t="str">
            <v>6900003010298</v>
          </cell>
        </row>
        <row r="2373">
          <cell r="W2373">
            <v>-4</v>
          </cell>
        </row>
        <row r="2374">
          <cell r="B2374" t="str">
            <v>GPR-HD01S21001</v>
          </cell>
        </row>
        <row r="2374">
          <cell r="W2374">
            <v>0</v>
          </cell>
        </row>
        <row r="2375">
          <cell r="B2375" t="str">
            <v>GPR-PL01R11002</v>
          </cell>
        </row>
        <row r="2375">
          <cell r="W2375">
            <v>0</v>
          </cell>
        </row>
        <row r="2376">
          <cell r="B2376" t="str">
            <v>GPR-HD01S21002</v>
          </cell>
        </row>
        <row r="2376">
          <cell r="W2376">
            <v>0</v>
          </cell>
        </row>
        <row r="2377">
          <cell r="B2377" t="str">
            <v>GPR-PT02M14004</v>
          </cell>
        </row>
        <row r="2377">
          <cell r="W2377">
            <v>0</v>
          </cell>
        </row>
        <row r="2378">
          <cell r="B2378" t="str">
            <v>69000030103155</v>
          </cell>
        </row>
        <row r="2378">
          <cell r="W2378">
            <v>0</v>
          </cell>
        </row>
        <row r="2379">
          <cell r="B2379" t="str">
            <v>69000030103156</v>
          </cell>
        </row>
        <row r="2379">
          <cell r="W2379">
            <v>0</v>
          </cell>
        </row>
        <row r="2380">
          <cell r="B2380" t="str">
            <v>6900001010213</v>
          </cell>
        </row>
        <row r="2380">
          <cell r="W2380">
            <v>0</v>
          </cell>
        </row>
        <row r="2381">
          <cell r="B2381" t="str">
            <v>69000030103172</v>
          </cell>
        </row>
        <row r="2381">
          <cell r="W2381">
            <v>0</v>
          </cell>
        </row>
        <row r="2382">
          <cell r="B2382" t="str">
            <v>GPR-SP16J02006</v>
          </cell>
        </row>
        <row r="2382">
          <cell r="W2382">
            <v>0</v>
          </cell>
        </row>
        <row r="2383">
          <cell r="B2383" t="str">
            <v>GPR-PL01R11003</v>
          </cell>
        </row>
        <row r="2383">
          <cell r="W2383">
            <v>0</v>
          </cell>
        </row>
        <row r="2384">
          <cell r="B2384" t="str">
            <v>GPR-SP16J02004</v>
          </cell>
        </row>
        <row r="2384">
          <cell r="W2384">
            <v>0</v>
          </cell>
        </row>
        <row r="2385">
          <cell r="B2385" t="str">
            <v>0112515700</v>
          </cell>
        </row>
        <row r="2385">
          <cell r="W2385">
            <v>0</v>
          </cell>
        </row>
        <row r="2386">
          <cell r="B2386" t="str">
            <v>VPR-HO03S21002</v>
          </cell>
        </row>
        <row r="2386">
          <cell r="W2386">
            <v>0</v>
          </cell>
        </row>
        <row r="2387">
          <cell r="B2387" t="str">
            <v>GPR-PT02M14005</v>
          </cell>
        </row>
        <row r="2387">
          <cell r="W2387">
            <v>0</v>
          </cell>
        </row>
        <row r="2388">
          <cell r="B2388" t="str">
            <v>102233</v>
          </cell>
        </row>
        <row r="2388">
          <cell r="W2388">
            <v>0</v>
          </cell>
        </row>
        <row r="2389">
          <cell r="B2389" t="str">
            <v>69000030103225</v>
          </cell>
        </row>
        <row r="2389">
          <cell r="W2389">
            <v>0</v>
          </cell>
        </row>
        <row r="2390">
          <cell r="B2390" t="str">
            <v>GPR-SP25M21015</v>
          </cell>
        </row>
        <row r="2390">
          <cell r="W2390">
            <v>0</v>
          </cell>
        </row>
        <row r="2391">
          <cell r="B2391" t="str">
            <v>GPR-WC01S21013</v>
          </cell>
        </row>
        <row r="2391">
          <cell r="W2391">
            <v>0</v>
          </cell>
        </row>
        <row r="2392">
          <cell r="B2392" t="str">
            <v>6900010080228</v>
          </cell>
        </row>
        <row r="2392">
          <cell r="W2392">
            <v>0</v>
          </cell>
        </row>
        <row r="2393">
          <cell r="B2393" t="str">
            <v>GPR-EQ33M21002</v>
          </cell>
        </row>
        <row r="2393">
          <cell r="W2393">
            <v>0</v>
          </cell>
        </row>
        <row r="2394">
          <cell r="B2394" t="str">
            <v>6900005051214</v>
          </cell>
        </row>
        <row r="2394">
          <cell r="W2394">
            <v>0</v>
          </cell>
        </row>
        <row r="2395">
          <cell r="B2395" t="str">
            <v>GPR-GS07A21003</v>
          </cell>
        </row>
        <row r="2395">
          <cell r="W2395">
            <v>0</v>
          </cell>
        </row>
        <row r="2396">
          <cell r="B2396" t="str">
            <v>69000030103209</v>
          </cell>
        </row>
        <row r="2396">
          <cell r="W2396">
            <v>700</v>
          </cell>
        </row>
        <row r="2397">
          <cell r="B2397" t="str">
            <v>102415</v>
          </cell>
        </row>
        <row r="2397">
          <cell r="W2397">
            <v>0</v>
          </cell>
        </row>
        <row r="2398">
          <cell r="B2398" t="str">
            <v>GPR-MB02L00001</v>
          </cell>
        </row>
        <row r="2398">
          <cell r="W2398">
            <v>0</v>
          </cell>
        </row>
        <row r="2399">
          <cell r="B2399" t="str">
            <v>GPR-WC01S21014</v>
          </cell>
        </row>
        <row r="2399">
          <cell r="W2399">
            <v>0</v>
          </cell>
        </row>
        <row r="2400">
          <cell r="B2400" t="str">
            <v>VPR-HO09N01001</v>
          </cell>
        </row>
        <row r="2400">
          <cell r="W2400">
            <v>0</v>
          </cell>
        </row>
        <row r="2401">
          <cell r="B2401" t="str">
            <v>GPR-SP00M21043</v>
          </cell>
        </row>
        <row r="2401">
          <cell r="W2401">
            <v>0</v>
          </cell>
        </row>
        <row r="2402">
          <cell r="B2402" t="str">
            <v>GPR-HO06Q01001</v>
          </cell>
        </row>
        <row r="2402">
          <cell r="W2402">
            <v>0</v>
          </cell>
        </row>
        <row r="2403">
          <cell r="B2403" t="str">
            <v>6900010080235</v>
          </cell>
        </row>
        <row r="2403">
          <cell r="W2403">
            <v>0</v>
          </cell>
        </row>
        <row r="2404">
          <cell r="B2404" t="str">
            <v>GPR-MB07M14001</v>
          </cell>
        </row>
        <row r="2404">
          <cell r="W2404">
            <v>0</v>
          </cell>
        </row>
        <row r="2405">
          <cell r="B2405" t="str">
            <v>0123837100</v>
          </cell>
        </row>
        <row r="2405">
          <cell r="W2405">
            <v>0</v>
          </cell>
        </row>
        <row r="2406">
          <cell r="B2406" t="str">
            <v>69000030103139</v>
          </cell>
        </row>
        <row r="2406">
          <cell r="W2406">
            <v>0</v>
          </cell>
        </row>
        <row r="2407">
          <cell r="B2407" t="str">
            <v>GPR-SP16J02005</v>
          </cell>
        </row>
        <row r="2407">
          <cell r="W2407">
            <v>0</v>
          </cell>
        </row>
        <row r="2408">
          <cell r="B2408" t="str">
            <v>GPR-PT02M13017</v>
          </cell>
        </row>
        <row r="2408">
          <cell r="W2408">
            <v>0</v>
          </cell>
        </row>
        <row r="2409">
          <cell r="B2409" t="str">
            <v>GPR-EQ18T01002</v>
          </cell>
        </row>
        <row r="2409">
          <cell r="W2409">
            <v>0</v>
          </cell>
        </row>
        <row r="2410">
          <cell r="B2410" t="str">
            <v>GPR-AP11C00001</v>
          </cell>
        </row>
        <row r="2410">
          <cell r="W2410">
            <v>0</v>
          </cell>
        </row>
        <row r="2411">
          <cell r="B2411" t="str">
            <v>0113416300</v>
          </cell>
        </row>
        <row r="2411">
          <cell r="W2411">
            <v>0</v>
          </cell>
        </row>
        <row r="2412">
          <cell r="B2412" t="str">
            <v>69000030103138</v>
          </cell>
        </row>
        <row r="2412">
          <cell r="W2412">
            <v>0</v>
          </cell>
        </row>
        <row r="2413">
          <cell r="B2413" t="str">
            <v>GPR-SP09M21028</v>
          </cell>
        </row>
        <row r="2413">
          <cell r="W2413">
            <v>0</v>
          </cell>
        </row>
        <row r="2414">
          <cell r="B2414" t="str">
            <v>392350000003</v>
          </cell>
        </row>
        <row r="2414">
          <cell r="W2414">
            <v>0</v>
          </cell>
        </row>
        <row r="2415">
          <cell r="B2415" t="str">
            <v>VPR-SP16M11004</v>
          </cell>
        </row>
        <row r="2415">
          <cell r="W2415">
            <v>0</v>
          </cell>
        </row>
        <row r="2416">
          <cell r="B2416" t="str">
            <v>GPR-EQ18C01001</v>
          </cell>
        </row>
        <row r="2416">
          <cell r="W2416">
            <v>0</v>
          </cell>
        </row>
        <row r="2417">
          <cell r="B2417" t="str">
            <v>GPR-PT11M13001</v>
          </cell>
        </row>
        <row r="2417">
          <cell r="W2417">
            <v>0</v>
          </cell>
        </row>
        <row r="2418">
          <cell r="B2418" t="str">
            <v>6900010106011</v>
          </cell>
        </row>
        <row r="2418">
          <cell r="W2418">
            <v>0</v>
          </cell>
        </row>
        <row r="2419">
          <cell r="B2419" t="str">
            <v>GPR-SP16J02002</v>
          </cell>
        </row>
        <row r="2419">
          <cell r="W2419">
            <v>0</v>
          </cell>
        </row>
        <row r="2420">
          <cell r="B2420" t="str">
            <v>39259000000023</v>
          </cell>
        </row>
        <row r="2420">
          <cell r="W2420">
            <v>-659</v>
          </cell>
        </row>
        <row r="2421">
          <cell r="B2421" t="str">
            <v>GPR-SP16B03002</v>
          </cell>
        </row>
        <row r="2421">
          <cell r="W2421">
            <v>0</v>
          </cell>
        </row>
        <row r="2422">
          <cell r="B2422" t="str">
            <v>GPR-MB06E01001</v>
          </cell>
        </row>
        <row r="2422">
          <cell r="W2422">
            <v>0</v>
          </cell>
        </row>
        <row r="2423">
          <cell r="B2423" t="str">
            <v>GPR-SP00M02018</v>
          </cell>
        </row>
        <row r="2423">
          <cell r="W2423">
            <v>0</v>
          </cell>
        </row>
        <row r="2424">
          <cell r="B2424" t="str">
            <v>GPR-SP22M21004</v>
          </cell>
        </row>
        <row r="2424">
          <cell r="W2424">
            <v>0</v>
          </cell>
        </row>
        <row r="2425">
          <cell r="B2425" t="str">
            <v>0123837900</v>
          </cell>
        </row>
        <row r="2425">
          <cell r="W2425">
            <v>0</v>
          </cell>
        </row>
        <row r="2426">
          <cell r="B2426" t="str">
            <v>69000030103137</v>
          </cell>
        </row>
        <row r="2426">
          <cell r="W2426">
            <v>0</v>
          </cell>
        </row>
        <row r="2427">
          <cell r="B2427" t="str">
            <v>6900005030216</v>
          </cell>
        </row>
        <row r="2427">
          <cell r="W2427">
            <v>0</v>
          </cell>
        </row>
        <row r="2428">
          <cell r="B2428" t="str">
            <v>GPR-SP32M21001</v>
          </cell>
        </row>
        <row r="2428">
          <cell r="W2428">
            <v>0</v>
          </cell>
        </row>
        <row r="2429">
          <cell r="B2429" t="str">
            <v>0123838000</v>
          </cell>
        </row>
        <row r="2429">
          <cell r="W2429">
            <v>0</v>
          </cell>
        </row>
        <row r="2430">
          <cell r="B2430" t="str">
            <v>GPR-LM01C02001</v>
          </cell>
        </row>
        <row r="2430">
          <cell r="W2430">
            <v>0</v>
          </cell>
        </row>
        <row r="2431">
          <cell r="B2431" t="str">
            <v>VPR-SE04C02002</v>
          </cell>
        </row>
        <row r="2431">
          <cell r="W2431">
            <v>0</v>
          </cell>
        </row>
        <row r="2432">
          <cell r="B2432" t="str">
            <v>GPR-EQ18T01003</v>
          </cell>
        </row>
        <row r="2432">
          <cell r="W2432">
            <v>0</v>
          </cell>
        </row>
        <row r="2433">
          <cell r="B2433" t="str">
            <v>GPR-MB08L00004</v>
          </cell>
        </row>
        <row r="2433">
          <cell r="W2433">
            <v>0</v>
          </cell>
        </row>
        <row r="2434">
          <cell r="B2434" t="str">
            <v>GPR-SP32M21003</v>
          </cell>
        </row>
        <row r="2434">
          <cell r="W2434">
            <v>0</v>
          </cell>
        </row>
        <row r="2435">
          <cell r="B2435" t="str">
            <v>GPR-OT02M02010</v>
          </cell>
        </row>
        <row r="2435">
          <cell r="W2435">
            <v>0</v>
          </cell>
        </row>
        <row r="2436">
          <cell r="B2436" t="str">
            <v>GPR-SP00M21040</v>
          </cell>
        </row>
        <row r="2436">
          <cell r="W2436">
            <v>0</v>
          </cell>
        </row>
        <row r="2437">
          <cell r="B2437" t="str">
            <v>0115318400</v>
          </cell>
        </row>
        <row r="2437">
          <cell r="W2437">
            <v>0</v>
          </cell>
        </row>
        <row r="2438">
          <cell r="B2438" t="str">
            <v>0123842800</v>
          </cell>
        </row>
        <row r="2438">
          <cell r="W2438">
            <v>0</v>
          </cell>
        </row>
        <row r="2439">
          <cell r="B2439" t="str">
            <v>0113816800</v>
          </cell>
        </row>
        <row r="2439">
          <cell r="W2439">
            <v>-50</v>
          </cell>
        </row>
        <row r="2440">
          <cell r="B2440" t="str">
            <v>6805200000005</v>
          </cell>
        </row>
        <row r="2440">
          <cell r="W2440">
            <v>0</v>
          </cell>
        </row>
        <row r="2441">
          <cell r="B2441" t="str">
            <v>0123838800</v>
          </cell>
        </row>
        <row r="2441">
          <cell r="W2441">
            <v>0</v>
          </cell>
        </row>
        <row r="2442">
          <cell r="B2442" t="str">
            <v>GPR-EQ07P02001</v>
          </cell>
        </row>
        <row r="2442">
          <cell r="W2442">
            <v>0</v>
          </cell>
        </row>
        <row r="2443">
          <cell r="B2443" t="str">
            <v>GPR-PT11M21005</v>
          </cell>
        </row>
        <row r="2443">
          <cell r="W2443">
            <v>0</v>
          </cell>
        </row>
        <row r="2444">
          <cell r="B2444" t="str">
            <v>0115618700</v>
          </cell>
        </row>
        <row r="2444">
          <cell r="W2444">
            <v>15</v>
          </cell>
        </row>
        <row r="2445">
          <cell r="B2445" t="str">
            <v>6401990000002</v>
          </cell>
        </row>
        <row r="2445">
          <cell r="W2445">
            <v>0</v>
          </cell>
        </row>
        <row r="2446">
          <cell r="B2446" t="str">
            <v>0123838900</v>
          </cell>
        </row>
        <row r="2446">
          <cell r="W2446">
            <v>0</v>
          </cell>
        </row>
        <row r="2447">
          <cell r="B2447" t="str">
            <v>GPR-WC01R02002</v>
          </cell>
        </row>
        <row r="2447">
          <cell r="W2447">
            <v>0</v>
          </cell>
        </row>
        <row r="2448">
          <cell r="B2448" t="str">
            <v>GPR-HD24M21001</v>
          </cell>
        </row>
        <row r="2448">
          <cell r="W2448">
            <v>0</v>
          </cell>
        </row>
        <row r="2449">
          <cell r="B2449" t="str">
            <v>GPR-MB14M21020</v>
          </cell>
        </row>
        <row r="2449">
          <cell r="W2449">
            <v>0</v>
          </cell>
        </row>
        <row r="2450">
          <cell r="B2450" t="str">
            <v>GPR-WC01R02003</v>
          </cell>
        </row>
        <row r="2450">
          <cell r="W2450">
            <v>0</v>
          </cell>
        </row>
        <row r="2451">
          <cell r="B2451" t="str">
            <v>GPR-SP00M02019</v>
          </cell>
        </row>
        <row r="2451">
          <cell r="W2451">
            <v>0</v>
          </cell>
        </row>
        <row r="2452">
          <cell r="B2452" t="str">
            <v>GPR-MB23I21001</v>
          </cell>
        </row>
        <row r="2452">
          <cell r="W2452">
            <v>0</v>
          </cell>
        </row>
        <row r="2453">
          <cell r="B2453" t="str">
            <v>GPR-SP20M21005</v>
          </cell>
        </row>
        <row r="2453">
          <cell r="W2453">
            <v>0</v>
          </cell>
        </row>
        <row r="2454">
          <cell r="B2454" t="str">
            <v>GPR-SP35M21001</v>
          </cell>
        </row>
        <row r="2454">
          <cell r="W2454">
            <v>0</v>
          </cell>
        </row>
        <row r="2455">
          <cell r="B2455" t="str">
            <v>6900008072728</v>
          </cell>
        </row>
        <row r="2455">
          <cell r="W2455">
            <v>0</v>
          </cell>
        </row>
        <row r="2456">
          <cell r="B2456" t="str">
            <v>8483500000018810904</v>
          </cell>
        </row>
        <row r="2456">
          <cell r="W2456">
            <v>0</v>
          </cell>
        </row>
        <row r="2457">
          <cell r="B2457" t="str">
            <v>GPR-EQ13O04001</v>
          </cell>
        </row>
        <row r="2457">
          <cell r="W2457">
            <v>0</v>
          </cell>
        </row>
        <row r="2458">
          <cell r="B2458" t="str">
            <v>GPR-MB23I21002</v>
          </cell>
        </row>
        <row r="2458">
          <cell r="W2458">
            <v>0</v>
          </cell>
        </row>
        <row r="2459">
          <cell r="B2459" t="str">
            <v>GPR-SP20M21004</v>
          </cell>
        </row>
        <row r="2459">
          <cell r="W2459">
            <v>0</v>
          </cell>
        </row>
        <row r="2460">
          <cell r="B2460" t="str">
            <v>102469</v>
          </cell>
        </row>
        <row r="2460">
          <cell r="W2460">
            <v>0</v>
          </cell>
        </row>
        <row r="2461">
          <cell r="B2461" t="str">
            <v>GPR-HD24M21004</v>
          </cell>
        </row>
        <row r="2461">
          <cell r="W2461">
            <v>0</v>
          </cell>
        </row>
        <row r="2462">
          <cell r="B2462" t="str">
            <v>GPR-TE03M02001</v>
          </cell>
        </row>
        <row r="2462">
          <cell r="W2462">
            <v>0</v>
          </cell>
        </row>
        <row r="2463">
          <cell r="B2463" t="str">
            <v>GPR-SP20M21003</v>
          </cell>
        </row>
        <row r="2463">
          <cell r="W2463">
            <v>0</v>
          </cell>
        </row>
        <row r="2464">
          <cell r="B2464" t="str">
            <v>6900012091328</v>
          </cell>
        </row>
        <row r="2464">
          <cell r="W2464">
            <v>0</v>
          </cell>
        </row>
        <row r="2465">
          <cell r="B2465" t="str">
            <v>6900010080140</v>
          </cell>
        </row>
        <row r="2465">
          <cell r="W2465">
            <v>1400</v>
          </cell>
        </row>
        <row r="2466">
          <cell r="B2466" t="str">
            <v>GPR-HD24M21007</v>
          </cell>
        </row>
        <row r="2466">
          <cell r="W2466">
            <v>0</v>
          </cell>
        </row>
        <row r="2467">
          <cell r="B2467" t="str">
            <v>69000030103143</v>
          </cell>
        </row>
        <row r="2467">
          <cell r="W2467">
            <v>0</v>
          </cell>
        </row>
        <row r="2468">
          <cell r="B2468" t="str">
            <v>GPR-MB23I21003</v>
          </cell>
        </row>
        <row r="2468">
          <cell r="W2468">
            <v>0</v>
          </cell>
        </row>
        <row r="2469">
          <cell r="B2469" t="str">
            <v>GPR-SP02M21005</v>
          </cell>
        </row>
        <row r="2469">
          <cell r="W2469">
            <v>0</v>
          </cell>
        </row>
        <row r="2470">
          <cell r="B2470" t="str">
            <v>GPR-EQ31C00015</v>
          </cell>
        </row>
        <row r="2470">
          <cell r="W2470">
            <v>0</v>
          </cell>
        </row>
        <row r="2471">
          <cell r="B2471" t="str">
            <v>6900010080236</v>
          </cell>
        </row>
        <row r="2471">
          <cell r="W2471">
            <v>0</v>
          </cell>
        </row>
        <row r="2472">
          <cell r="B2472" t="str">
            <v>GPR-PT11M21004</v>
          </cell>
        </row>
        <row r="2472">
          <cell r="W2472">
            <v>0</v>
          </cell>
        </row>
        <row r="2473">
          <cell r="B2473" t="str">
            <v>80253581</v>
          </cell>
        </row>
        <row r="2473">
          <cell r="W2473">
            <v>0</v>
          </cell>
        </row>
        <row r="2474">
          <cell r="B2474" t="str">
            <v>GPR-WC01A22002</v>
          </cell>
        </row>
        <row r="2474">
          <cell r="W2474">
            <v>0</v>
          </cell>
        </row>
        <row r="2475">
          <cell r="B2475" t="str">
            <v>6900003010230</v>
          </cell>
        </row>
        <row r="2475">
          <cell r="W2475">
            <v>100</v>
          </cell>
        </row>
        <row r="2476">
          <cell r="B2476" t="str">
            <v>GPR-SP20M21002</v>
          </cell>
        </row>
        <row r="2476">
          <cell r="W2476">
            <v>0</v>
          </cell>
        </row>
        <row r="2477">
          <cell r="B2477" t="str">
            <v>GPR-EQ31C00016</v>
          </cell>
        </row>
        <row r="2477">
          <cell r="W2477">
            <v>0</v>
          </cell>
        </row>
        <row r="2478">
          <cell r="B2478" t="str">
            <v>0116520300</v>
          </cell>
        </row>
        <row r="2478">
          <cell r="W2478">
            <v>0</v>
          </cell>
        </row>
        <row r="2479">
          <cell r="B2479" t="str">
            <v>6900010080267</v>
          </cell>
        </row>
        <row r="2479">
          <cell r="W2479">
            <v>16</v>
          </cell>
        </row>
        <row r="2480">
          <cell r="B2480" t="str">
            <v>GPR-EQ27A21001</v>
          </cell>
        </row>
        <row r="2480">
          <cell r="W2480">
            <v>0</v>
          </cell>
        </row>
        <row r="2481">
          <cell r="B2481" t="str">
            <v>83024100000011</v>
          </cell>
        </row>
        <row r="2481">
          <cell r="W2481">
            <v>0</v>
          </cell>
        </row>
        <row r="2482">
          <cell r="B2482" t="str">
            <v>GPR-MB27P02002</v>
          </cell>
        </row>
        <row r="2482">
          <cell r="W2482">
            <v>0</v>
          </cell>
        </row>
        <row r="2483">
          <cell r="B2483" t="str">
            <v>GPR-MB27P02001</v>
          </cell>
        </row>
        <row r="2483">
          <cell r="W2483">
            <v>0</v>
          </cell>
        </row>
        <row r="2484">
          <cell r="B2484" t="str">
            <v>GPR-HD24M21002</v>
          </cell>
        </row>
        <row r="2484">
          <cell r="W2484">
            <v>0</v>
          </cell>
        </row>
        <row r="2485">
          <cell r="B2485" t="str">
            <v>GPR-HD02M02002</v>
          </cell>
        </row>
        <row r="2485">
          <cell r="W2485">
            <v>0</v>
          </cell>
        </row>
        <row r="2486">
          <cell r="B2486" t="str">
            <v>GPR-HD04M02006</v>
          </cell>
        </row>
        <row r="2486">
          <cell r="W2486">
            <v>0</v>
          </cell>
        </row>
        <row r="2487">
          <cell r="B2487" t="str">
            <v>GPR-WC01A22001</v>
          </cell>
        </row>
        <row r="2487">
          <cell r="W2487">
            <v>0</v>
          </cell>
        </row>
        <row r="2488">
          <cell r="B2488" t="str">
            <v>GPR-SP20M21001</v>
          </cell>
        </row>
        <row r="2488">
          <cell r="W2488">
            <v>0</v>
          </cell>
        </row>
        <row r="2489">
          <cell r="B2489" t="str">
            <v>GPR-SP00M11001</v>
          </cell>
        </row>
        <row r="2489">
          <cell r="W2489">
            <v>0</v>
          </cell>
        </row>
        <row r="2490">
          <cell r="B2490" t="str">
            <v>10061677717500</v>
          </cell>
        </row>
        <row r="2490">
          <cell r="W2490">
            <v>15</v>
          </cell>
        </row>
        <row r="2491">
          <cell r="B2491" t="str">
            <v>GPR-MB14M21022</v>
          </cell>
        </row>
        <row r="2491">
          <cell r="W2491">
            <v>0</v>
          </cell>
        </row>
        <row r="2492">
          <cell r="B2492" t="str">
            <v>GPR-HD24M21005</v>
          </cell>
        </row>
        <row r="2492">
          <cell r="W2492">
            <v>0</v>
          </cell>
        </row>
        <row r="2493">
          <cell r="B2493" t="str">
            <v>100101</v>
          </cell>
        </row>
        <row r="2493">
          <cell r="W2493">
            <v>0</v>
          </cell>
        </row>
        <row r="2494">
          <cell r="B2494" t="str">
            <v>GPR-ME03C01004</v>
          </cell>
        </row>
        <row r="2494">
          <cell r="W2494">
            <v>0</v>
          </cell>
        </row>
        <row r="2495">
          <cell r="B2495" t="str">
            <v>GPR-EL12C01001</v>
          </cell>
        </row>
        <row r="2495">
          <cell r="W2495">
            <v>0</v>
          </cell>
        </row>
        <row r="2496">
          <cell r="B2496" t="str">
            <v>GPR-PT10M13002</v>
          </cell>
        </row>
        <row r="2496">
          <cell r="W2496">
            <v>0</v>
          </cell>
        </row>
        <row r="2497">
          <cell r="B2497" t="str">
            <v>GPR-HO11M01001</v>
          </cell>
        </row>
        <row r="2497">
          <cell r="W2497">
            <v>0</v>
          </cell>
        </row>
        <row r="2498">
          <cell r="B2498" t="str">
            <v>GPR-OT02M21030</v>
          </cell>
        </row>
        <row r="2498">
          <cell r="W2498">
            <v>0</v>
          </cell>
        </row>
        <row r="2499">
          <cell r="B2499" t="str">
            <v>GPR-EL03C15001</v>
          </cell>
        </row>
        <row r="2499">
          <cell r="W2499">
            <v>0</v>
          </cell>
        </row>
        <row r="2500">
          <cell r="B2500" t="str">
            <v>8010030478</v>
          </cell>
        </row>
        <row r="2500">
          <cell r="W2500">
            <v>0</v>
          </cell>
        </row>
        <row r="2501">
          <cell r="B2501" t="str">
            <v>GPR-WC01S21012</v>
          </cell>
        </row>
        <row r="2501">
          <cell r="W2501">
            <v>0</v>
          </cell>
        </row>
        <row r="2502">
          <cell r="B2502" t="str">
            <v>0123842300</v>
          </cell>
        </row>
        <row r="2502">
          <cell r="W2502">
            <v>0</v>
          </cell>
        </row>
        <row r="2503">
          <cell r="B2503" t="str">
            <v>GPR-MB02L14006</v>
          </cell>
        </row>
        <row r="2503">
          <cell r="W2503">
            <v>0</v>
          </cell>
        </row>
        <row r="2504">
          <cell r="B2504" t="str">
            <v>GPR-HO04S21002</v>
          </cell>
        </row>
        <row r="2504">
          <cell r="W2504">
            <v>0</v>
          </cell>
        </row>
        <row r="2505">
          <cell r="B2505" t="str">
            <v>GPR-HD24M21008</v>
          </cell>
        </row>
        <row r="2505">
          <cell r="W2505">
            <v>0</v>
          </cell>
        </row>
        <row r="2506">
          <cell r="B2506" t="str">
            <v>GPR-WC01S21011</v>
          </cell>
        </row>
        <row r="2506">
          <cell r="W2506">
            <v>0</v>
          </cell>
        </row>
        <row r="2507">
          <cell r="B2507" t="str">
            <v>102571</v>
          </cell>
        </row>
        <row r="2507">
          <cell r="W2507">
            <v>0</v>
          </cell>
        </row>
        <row r="2508">
          <cell r="B2508" t="str">
            <v>GPR-HA04M21001</v>
          </cell>
        </row>
        <row r="2508">
          <cell r="W2508">
            <v>0</v>
          </cell>
        </row>
        <row r="2509">
          <cell r="B2509" t="str">
            <v>VPR-EL03C01001</v>
          </cell>
        </row>
        <row r="2509">
          <cell r="W2509">
            <v>0</v>
          </cell>
        </row>
        <row r="2510">
          <cell r="B2510" t="str">
            <v>GPR-WC02C02003</v>
          </cell>
        </row>
        <row r="2510">
          <cell r="W2510">
            <v>0</v>
          </cell>
        </row>
        <row r="2511">
          <cell r="B2511" t="str">
            <v>102234</v>
          </cell>
        </row>
        <row r="2511">
          <cell r="W2511">
            <v>0</v>
          </cell>
        </row>
        <row r="2512">
          <cell r="B2512" t="str">
            <v>VPR-EL03C01003</v>
          </cell>
        </row>
        <row r="2512">
          <cell r="W2512">
            <v>0</v>
          </cell>
        </row>
        <row r="2513">
          <cell r="B2513" t="str">
            <v>GPR-AP05M11001</v>
          </cell>
        </row>
        <row r="2513">
          <cell r="W2513">
            <v>0</v>
          </cell>
        </row>
        <row r="2514">
          <cell r="B2514" t="str">
            <v>GPR-HD24M21006</v>
          </cell>
        </row>
        <row r="2514">
          <cell r="W2514">
            <v>0</v>
          </cell>
        </row>
        <row r="2515">
          <cell r="B2515" t="str">
            <v>GPR-MB02L03001</v>
          </cell>
        </row>
        <row r="2515">
          <cell r="W2515">
            <v>0</v>
          </cell>
        </row>
        <row r="2516">
          <cell r="B2516" t="str">
            <v>39259000000025</v>
          </cell>
        </row>
        <row r="2516">
          <cell r="W2516">
            <v>0</v>
          </cell>
        </row>
        <row r="2517">
          <cell r="B2517" t="str">
            <v>GPR-MB02L01014</v>
          </cell>
        </row>
        <row r="2517">
          <cell r="W2517">
            <v>0</v>
          </cell>
        </row>
        <row r="2518">
          <cell r="B2518" t="str">
            <v>GPR-PT01M21005</v>
          </cell>
        </row>
        <row r="2518">
          <cell r="W2518">
            <v>0</v>
          </cell>
        </row>
        <row r="2519">
          <cell r="B2519" t="str">
            <v>VPR-HO04O04001</v>
          </cell>
        </row>
        <row r="2519">
          <cell r="W2519">
            <v>0</v>
          </cell>
        </row>
        <row r="2520">
          <cell r="B2520" t="str">
            <v>GPR-HD24M21003</v>
          </cell>
        </row>
        <row r="2520">
          <cell r="W2520">
            <v>0</v>
          </cell>
        </row>
        <row r="2521">
          <cell r="B2521" t="str">
            <v>GPR-SP00M21046</v>
          </cell>
        </row>
        <row r="2521">
          <cell r="W2521">
            <v>0</v>
          </cell>
        </row>
        <row r="2522">
          <cell r="B2522" t="str">
            <v>GPR-AP06C02002</v>
          </cell>
        </row>
        <row r="2522">
          <cell r="W2522">
            <v>0</v>
          </cell>
        </row>
        <row r="2523">
          <cell r="B2523" t="str">
            <v>6805200000003</v>
          </cell>
        </row>
        <row r="2523">
          <cell r="W2523">
            <v>0</v>
          </cell>
        </row>
        <row r="2524">
          <cell r="B2524" t="str">
            <v>69000030103142</v>
          </cell>
        </row>
        <row r="2524">
          <cell r="W2524">
            <v>0</v>
          </cell>
        </row>
        <row r="2525">
          <cell r="B2525" t="str">
            <v>GPR-MB02L13004</v>
          </cell>
        </row>
        <row r="2525">
          <cell r="W2525">
            <v>0</v>
          </cell>
        </row>
        <row r="2526">
          <cell r="B2526" t="str">
            <v>GPR-EQ07C01001</v>
          </cell>
        </row>
        <row r="2526">
          <cell r="W2526">
            <v>0</v>
          </cell>
        </row>
        <row r="2527">
          <cell r="B2527" t="str">
            <v>GPR-SP32M21002</v>
          </cell>
        </row>
        <row r="2527">
          <cell r="W2527">
            <v>0</v>
          </cell>
        </row>
        <row r="2528">
          <cell r="B2528" t="str">
            <v>GPR-GS01M21004</v>
          </cell>
        </row>
        <row r="2528">
          <cell r="W2528">
            <v>0</v>
          </cell>
        </row>
        <row r="2529">
          <cell r="B2529" t="str">
            <v>GPR-MB02L11002</v>
          </cell>
        </row>
        <row r="2529">
          <cell r="W2529">
            <v>0</v>
          </cell>
        </row>
        <row r="2530">
          <cell r="B2530" t="str">
            <v>GPR-HD19M02004</v>
          </cell>
        </row>
        <row r="2530">
          <cell r="W2530">
            <v>0</v>
          </cell>
        </row>
        <row r="2531">
          <cell r="B2531" t="str">
            <v>GPR-OT02M21029</v>
          </cell>
        </row>
        <row r="2531">
          <cell r="W2531">
            <v>0</v>
          </cell>
        </row>
        <row r="2532">
          <cell r="B2532" t="str">
            <v>VPR-SE05M22001</v>
          </cell>
        </row>
        <row r="2532">
          <cell r="W2532">
            <v>0</v>
          </cell>
        </row>
        <row r="2533">
          <cell r="B2533" t="str">
            <v>GPR-AP06D01002</v>
          </cell>
        </row>
        <row r="2533">
          <cell r="W2533">
            <v>0</v>
          </cell>
        </row>
        <row r="2534">
          <cell r="B2534" t="str">
            <v>0117621700</v>
          </cell>
        </row>
        <row r="2534">
          <cell r="W2534">
            <v>0</v>
          </cell>
        </row>
        <row r="2535">
          <cell r="B2535" t="str">
            <v>GPR-MB02L01002</v>
          </cell>
        </row>
        <row r="2535">
          <cell r="W2535">
            <v>0</v>
          </cell>
        </row>
        <row r="2536">
          <cell r="B2536" t="str">
            <v>GPR-SP09M21011</v>
          </cell>
        </row>
        <row r="2536">
          <cell r="W2536">
            <v>0</v>
          </cell>
        </row>
        <row r="2537">
          <cell r="B2537" t="str">
            <v>GPR-MB14M02001</v>
          </cell>
        </row>
        <row r="2537">
          <cell r="W2537">
            <v>0</v>
          </cell>
        </row>
        <row r="2538">
          <cell r="B2538" t="str">
            <v>GPR-HD09M04001</v>
          </cell>
        </row>
        <row r="2538">
          <cell r="W2538">
            <v>0</v>
          </cell>
        </row>
        <row r="2539">
          <cell r="B2539" t="str">
            <v>GPR-HD03M02002</v>
          </cell>
        </row>
        <row r="2539">
          <cell r="W2539">
            <v>0</v>
          </cell>
        </row>
        <row r="2540">
          <cell r="B2540" t="str">
            <v>69000030103140</v>
          </cell>
        </row>
        <row r="2540">
          <cell r="W2540">
            <v>0</v>
          </cell>
        </row>
        <row r="2541">
          <cell r="B2541" t="str">
            <v>GPR-EQ29E01001</v>
          </cell>
        </row>
        <row r="2541">
          <cell r="W2541">
            <v>0</v>
          </cell>
        </row>
        <row r="2542">
          <cell r="B2542" t="str">
            <v>GPR-HD02M21003</v>
          </cell>
        </row>
        <row r="2542">
          <cell r="W2542">
            <v>0</v>
          </cell>
        </row>
        <row r="2543">
          <cell r="B2543" t="str">
            <v>GPR-SP32M21004</v>
          </cell>
        </row>
        <row r="2543">
          <cell r="W2543">
            <v>0</v>
          </cell>
        </row>
        <row r="2544">
          <cell r="B2544" t="str">
            <v>GPR-PT09M21023</v>
          </cell>
        </row>
        <row r="2544">
          <cell r="W2544">
            <v>0</v>
          </cell>
        </row>
        <row r="2545">
          <cell r="B2545" t="str">
            <v>GPR-ME03C01006</v>
          </cell>
        </row>
        <row r="2545">
          <cell r="W2545">
            <v>0</v>
          </cell>
        </row>
        <row r="2546">
          <cell r="B2546" t="str">
            <v>GPR-EQ18T01001</v>
          </cell>
        </row>
        <row r="2546">
          <cell r="W2546">
            <v>0</v>
          </cell>
        </row>
        <row r="2547">
          <cell r="B2547" t="str">
            <v>0117922300</v>
          </cell>
        </row>
        <row r="2547">
          <cell r="W2547">
            <v>0</v>
          </cell>
        </row>
        <row r="2548">
          <cell r="B2548" t="str">
            <v>6900003010236</v>
          </cell>
        </row>
        <row r="2548">
          <cell r="W2548">
            <v>0</v>
          </cell>
        </row>
        <row r="2549">
          <cell r="B2549" t="str">
            <v>GPR-SP32M21005</v>
          </cell>
        </row>
        <row r="2549">
          <cell r="W2549">
            <v>0</v>
          </cell>
        </row>
        <row r="2550">
          <cell r="B2550" t="str">
            <v>GPR-HD03M21004</v>
          </cell>
        </row>
        <row r="2550">
          <cell r="W2550">
            <v>0</v>
          </cell>
        </row>
        <row r="2551">
          <cell r="B2551" t="str">
            <v>GPR-LL04L00001</v>
          </cell>
        </row>
        <row r="2551">
          <cell r="W2551">
            <v>0</v>
          </cell>
        </row>
        <row r="2552">
          <cell r="B2552" t="str">
            <v>0119128200</v>
          </cell>
        </row>
        <row r="2552">
          <cell r="W2552">
            <v>0</v>
          </cell>
        </row>
        <row r="2553">
          <cell r="B2553" t="str">
            <v>6900003010238</v>
          </cell>
        </row>
        <row r="2553">
          <cell r="W2553">
            <v>0</v>
          </cell>
        </row>
        <row r="2554">
          <cell r="B2554" t="str">
            <v>GPR-MB14S21001</v>
          </cell>
        </row>
        <row r="2554">
          <cell r="W2554">
            <v>0</v>
          </cell>
        </row>
        <row r="2555">
          <cell r="B2555" t="str">
            <v>VPR-AP03U04001</v>
          </cell>
        </row>
        <row r="2555">
          <cell r="W2555">
            <v>0</v>
          </cell>
        </row>
        <row r="2556">
          <cell r="B2556" t="str">
            <v>GPR-SP32M21006</v>
          </cell>
        </row>
        <row r="2556">
          <cell r="W2556">
            <v>0</v>
          </cell>
        </row>
        <row r="2557">
          <cell r="B2557" t="str">
            <v>GPR-HD12M02004</v>
          </cell>
        </row>
        <row r="2557">
          <cell r="W2557">
            <v>0</v>
          </cell>
        </row>
        <row r="2558">
          <cell r="B2558" t="str">
            <v>GPR-PT02M01014</v>
          </cell>
        </row>
        <row r="2558">
          <cell r="W2558">
            <v>0</v>
          </cell>
        </row>
        <row r="2559">
          <cell r="B2559" t="str">
            <v>3926909090013</v>
          </cell>
        </row>
        <row r="2559">
          <cell r="W2559">
            <v>0</v>
          </cell>
        </row>
        <row r="2560">
          <cell r="B2560" t="str">
            <v>GPR-PT09M21006</v>
          </cell>
        </row>
        <row r="2560">
          <cell r="W2560">
            <v>0</v>
          </cell>
        </row>
        <row r="2561">
          <cell r="B2561" t="str">
            <v>0119128100</v>
          </cell>
        </row>
        <row r="2561">
          <cell r="W2561">
            <v>0</v>
          </cell>
        </row>
        <row r="2562">
          <cell r="B2562" t="str">
            <v>GPR-SP03R02002</v>
          </cell>
        </row>
        <row r="2562">
          <cell r="W2562">
            <v>0</v>
          </cell>
        </row>
        <row r="2563">
          <cell r="B2563" t="str">
            <v>6900003010237</v>
          </cell>
        </row>
        <row r="2563">
          <cell r="W2563">
            <v>0</v>
          </cell>
        </row>
        <row r="2564">
          <cell r="B2564" t="str">
            <v>GPR-SP32M21007</v>
          </cell>
        </row>
        <row r="2564">
          <cell r="W2564">
            <v>0</v>
          </cell>
        </row>
        <row r="2565">
          <cell r="B2565" t="str">
            <v>7317000000002</v>
          </cell>
        </row>
        <row r="2565">
          <cell r="W2565">
            <v>0</v>
          </cell>
        </row>
        <row r="2566">
          <cell r="B2566" t="str">
            <v>GPR-PT09M21004</v>
          </cell>
        </row>
        <row r="2566">
          <cell r="W2566">
            <v>0</v>
          </cell>
        </row>
        <row r="2567">
          <cell r="B2567" t="str">
            <v>VPR-SE04D33005</v>
          </cell>
        </row>
        <row r="2567">
          <cell r="W2567">
            <v>0</v>
          </cell>
        </row>
        <row r="2568">
          <cell r="B2568" t="str">
            <v>GPR-SP00M02007</v>
          </cell>
        </row>
        <row r="2568">
          <cell r="W2568">
            <v>0</v>
          </cell>
        </row>
        <row r="2569">
          <cell r="B2569" t="str">
            <v>6900003011412</v>
          </cell>
        </row>
        <row r="2569">
          <cell r="W2569">
            <v>0</v>
          </cell>
        </row>
        <row r="2570">
          <cell r="B2570" t="str">
            <v>69000030103169</v>
          </cell>
        </row>
        <row r="2570">
          <cell r="W2570">
            <v>0</v>
          </cell>
        </row>
        <row r="2571">
          <cell r="B2571" t="str">
            <v>6900010080234</v>
          </cell>
        </row>
        <row r="2571">
          <cell r="W2571">
            <v>0</v>
          </cell>
        </row>
        <row r="2572">
          <cell r="B2572" t="str">
            <v>GPR-SP30M21001</v>
          </cell>
        </row>
        <row r="2572">
          <cell r="W2572">
            <v>0</v>
          </cell>
        </row>
        <row r="2573">
          <cell r="B2573" t="str">
            <v>GPR-EQ20Q01001</v>
          </cell>
        </row>
        <row r="2573">
          <cell r="W2573">
            <v>0</v>
          </cell>
        </row>
        <row r="2574">
          <cell r="B2574" t="str">
            <v>0118325100</v>
          </cell>
        </row>
        <row r="2574">
          <cell r="W2574">
            <v>0</v>
          </cell>
        </row>
        <row r="2575">
          <cell r="B2575" t="str">
            <v>GPR-SP16M03001</v>
          </cell>
        </row>
        <row r="2575">
          <cell r="W2575">
            <v>0</v>
          </cell>
        </row>
        <row r="2576">
          <cell r="B2576" t="str">
            <v>GPR-PT02M01016</v>
          </cell>
        </row>
        <row r="2576">
          <cell r="W2576">
            <v>0</v>
          </cell>
        </row>
        <row r="2577">
          <cell r="B2577" t="str">
            <v>VPR-SE04D33003</v>
          </cell>
        </row>
        <row r="2577">
          <cell r="W2577">
            <v>0</v>
          </cell>
        </row>
        <row r="2578">
          <cell r="B2578" t="str">
            <v>GPR-HD03M21003</v>
          </cell>
        </row>
        <row r="2578">
          <cell r="W2578">
            <v>0</v>
          </cell>
        </row>
        <row r="2579">
          <cell r="B2579" t="str">
            <v>7326901900005</v>
          </cell>
        </row>
        <row r="2579">
          <cell r="W2579">
            <v>0</v>
          </cell>
        </row>
        <row r="2580">
          <cell r="B2580" t="str">
            <v>GPR-PT09M21001</v>
          </cell>
        </row>
        <row r="2580">
          <cell r="W2580">
            <v>0</v>
          </cell>
        </row>
        <row r="2581">
          <cell r="B2581" t="str">
            <v>39259000000011</v>
          </cell>
        </row>
        <row r="2581">
          <cell r="W2581">
            <v>0</v>
          </cell>
        </row>
        <row r="2582">
          <cell r="B2582" t="str">
            <v>GPR-PT02M01017</v>
          </cell>
        </row>
        <row r="2582">
          <cell r="W2582">
            <v>0</v>
          </cell>
        </row>
        <row r="2583">
          <cell r="B2583" t="str">
            <v>GPR-WC02R02003</v>
          </cell>
        </row>
        <row r="2583">
          <cell r="W2583">
            <v>0</v>
          </cell>
        </row>
        <row r="2584">
          <cell r="B2584" t="str">
            <v>GPR-PT09M21002</v>
          </cell>
        </row>
        <row r="2584">
          <cell r="W2584">
            <v>0</v>
          </cell>
        </row>
        <row r="2585">
          <cell r="B2585" t="str">
            <v>0123841600</v>
          </cell>
        </row>
        <row r="2585">
          <cell r="W2585">
            <v>0</v>
          </cell>
        </row>
        <row r="2586">
          <cell r="B2586" t="str">
            <v>GPR-HD13M02001</v>
          </cell>
        </row>
        <row r="2586">
          <cell r="W2586">
            <v>0</v>
          </cell>
        </row>
        <row r="2587">
          <cell r="B2587" t="str">
            <v>3926909090015</v>
          </cell>
        </row>
        <row r="2587">
          <cell r="W2587">
            <v>0</v>
          </cell>
        </row>
        <row r="2588">
          <cell r="B2588" t="str">
            <v>VPR-HD05M11003</v>
          </cell>
        </row>
        <row r="2588">
          <cell r="W2588">
            <v>0</v>
          </cell>
        </row>
        <row r="2589">
          <cell r="B2589" t="str">
            <v>GPR-SP19M21018</v>
          </cell>
        </row>
        <row r="2589">
          <cell r="W2589">
            <v>0</v>
          </cell>
        </row>
        <row r="2590">
          <cell r="B2590" t="str">
            <v>3926909090017</v>
          </cell>
        </row>
        <row r="2590">
          <cell r="W2590">
            <v>-2670</v>
          </cell>
        </row>
        <row r="2591">
          <cell r="B2591" t="str">
            <v>0118326500</v>
          </cell>
        </row>
        <row r="2591">
          <cell r="W2591">
            <v>0</v>
          </cell>
        </row>
        <row r="2592">
          <cell r="B2592" t="str">
            <v>GPR-SP25M21016</v>
          </cell>
        </row>
        <row r="2592">
          <cell r="W2592">
            <v>0</v>
          </cell>
        </row>
        <row r="2593">
          <cell r="B2593" t="str">
            <v>39259000000012</v>
          </cell>
        </row>
        <row r="2593">
          <cell r="W2593">
            <v>0</v>
          </cell>
        </row>
        <row r="2594">
          <cell r="B2594" t="str">
            <v>GPR-SP19M21011</v>
          </cell>
        </row>
        <row r="2594">
          <cell r="W2594">
            <v>0</v>
          </cell>
        </row>
        <row r="2595">
          <cell r="B2595" t="str">
            <v>GPR-BT01J02005</v>
          </cell>
        </row>
        <row r="2595">
          <cell r="W2595">
            <v>0</v>
          </cell>
        </row>
        <row r="2596">
          <cell r="B2596" t="str">
            <v>6900005030122</v>
          </cell>
        </row>
        <row r="2596">
          <cell r="W2596">
            <v>51</v>
          </cell>
        </row>
        <row r="2597">
          <cell r="B2597" t="str">
            <v>GPR-MB13M21007</v>
          </cell>
        </row>
        <row r="2597">
          <cell r="W2597">
            <v>0</v>
          </cell>
        </row>
        <row r="2598">
          <cell r="B2598" t="str">
            <v>GPR-OT02M21017</v>
          </cell>
        </row>
        <row r="2598">
          <cell r="W2598">
            <v>0</v>
          </cell>
        </row>
        <row r="2599">
          <cell r="B2599" t="str">
            <v>GPR-OT02M21045</v>
          </cell>
        </row>
        <row r="2599">
          <cell r="W2599">
            <v>0</v>
          </cell>
        </row>
        <row r="2600">
          <cell r="B2600" t="str">
            <v>GPR-OT02M21051</v>
          </cell>
        </row>
        <row r="2600">
          <cell r="W2600">
            <v>0</v>
          </cell>
        </row>
        <row r="2601">
          <cell r="B2601" t="str">
            <v>0118729100</v>
          </cell>
        </row>
        <row r="2601">
          <cell r="W2601">
            <v>0</v>
          </cell>
        </row>
        <row r="2602">
          <cell r="B2602" t="str">
            <v>GPR-PT10M13004</v>
          </cell>
        </row>
        <row r="2602">
          <cell r="W2602">
            <v>0</v>
          </cell>
        </row>
        <row r="2603">
          <cell r="B2603" t="str">
            <v>GPR-EL23M02001</v>
          </cell>
        </row>
        <row r="2603">
          <cell r="W2603">
            <v>0</v>
          </cell>
        </row>
        <row r="2604">
          <cell r="B2604" t="str">
            <v>0116119900</v>
          </cell>
        </row>
        <row r="2604">
          <cell r="W2604">
            <v>70</v>
          </cell>
        </row>
        <row r="2605">
          <cell r="B2605" t="str">
            <v>GPR-ME03C02001</v>
          </cell>
        </row>
        <row r="2605">
          <cell r="W2605">
            <v>0</v>
          </cell>
        </row>
        <row r="2606">
          <cell r="B2606" t="str">
            <v>102567</v>
          </cell>
        </row>
        <row r="2606">
          <cell r="W2606">
            <v>0</v>
          </cell>
        </row>
        <row r="2607">
          <cell r="B2607" t="str">
            <v>GPR-SP41M22001</v>
          </cell>
        </row>
        <row r="2607">
          <cell r="W2607">
            <v>0</v>
          </cell>
        </row>
        <row r="2608">
          <cell r="B2608" t="str">
            <v>GPR-SP00M21036</v>
          </cell>
        </row>
        <row r="2608">
          <cell r="W2608">
            <v>0</v>
          </cell>
        </row>
        <row r="2609">
          <cell r="B2609" t="str">
            <v>GPR-OT02M21021</v>
          </cell>
        </row>
        <row r="2609">
          <cell r="W2609">
            <v>0</v>
          </cell>
        </row>
        <row r="2610">
          <cell r="B2610" t="str">
            <v>GPR-PN06C33001</v>
          </cell>
        </row>
        <row r="2610">
          <cell r="W2610">
            <v>0</v>
          </cell>
        </row>
        <row r="2611">
          <cell r="B2611" t="str">
            <v>GPR-SP00M21006</v>
          </cell>
        </row>
        <row r="2611">
          <cell r="W2611">
            <v>0</v>
          </cell>
        </row>
        <row r="2612">
          <cell r="B2612" t="str">
            <v>GPR-AP06D01001</v>
          </cell>
        </row>
        <row r="2612">
          <cell r="W2612">
            <v>0</v>
          </cell>
        </row>
        <row r="2613">
          <cell r="B2613" t="str">
            <v>GPR-HD21M11001</v>
          </cell>
        </row>
        <row r="2613">
          <cell r="W2613">
            <v>0</v>
          </cell>
        </row>
        <row r="2614">
          <cell r="B2614" t="str">
            <v>GPR-HO03R01001</v>
          </cell>
        </row>
        <row r="2614">
          <cell r="W2614">
            <v>0</v>
          </cell>
        </row>
        <row r="2615">
          <cell r="B2615" t="str">
            <v>GPR-OT02M21028</v>
          </cell>
        </row>
        <row r="2615">
          <cell r="W2615">
            <v>0</v>
          </cell>
        </row>
        <row r="2616">
          <cell r="B2616" t="str">
            <v>6900005030128</v>
          </cell>
        </row>
        <row r="2616">
          <cell r="W2616">
            <v>0</v>
          </cell>
        </row>
        <row r="2617">
          <cell r="B2617" t="str">
            <v>GPR-PN06C33002</v>
          </cell>
        </row>
        <row r="2617">
          <cell r="W2617">
            <v>0</v>
          </cell>
        </row>
        <row r="2618">
          <cell r="B2618" t="str">
            <v>6900005030115</v>
          </cell>
        </row>
        <row r="2618">
          <cell r="W2618">
            <v>91</v>
          </cell>
        </row>
        <row r="2619">
          <cell r="B2619" t="str">
            <v>6900010080238</v>
          </cell>
        </row>
        <row r="2619">
          <cell r="W2619">
            <v>0</v>
          </cell>
        </row>
        <row r="2620">
          <cell r="B2620" t="str">
            <v>6900005030127</v>
          </cell>
        </row>
        <row r="2620">
          <cell r="W2620">
            <v>0</v>
          </cell>
        </row>
        <row r="2621">
          <cell r="B2621" t="str">
            <v>GPR-PN06C33003</v>
          </cell>
        </row>
        <row r="2621">
          <cell r="W2621">
            <v>0</v>
          </cell>
        </row>
        <row r="2622">
          <cell r="B2622" t="str">
            <v>GPR-OT02M02007</v>
          </cell>
        </row>
        <row r="2622">
          <cell r="W2622">
            <v>0</v>
          </cell>
        </row>
        <row r="2623">
          <cell r="B2623" t="str">
            <v>GPR-HD12M02003</v>
          </cell>
        </row>
        <row r="2623">
          <cell r="W2623">
            <v>0</v>
          </cell>
        </row>
        <row r="2624">
          <cell r="B2624" t="str">
            <v>GPR-HD08M02006</v>
          </cell>
        </row>
        <row r="2624">
          <cell r="W2624">
            <v>0</v>
          </cell>
        </row>
        <row r="2625">
          <cell r="B2625" t="str">
            <v>GPR-HD12M02001</v>
          </cell>
        </row>
        <row r="2625">
          <cell r="W2625">
            <v>0</v>
          </cell>
        </row>
        <row r="2626">
          <cell r="B2626" t="str">
            <v>101511</v>
          </cell>
        </row>
        <row r="2626">
          <cell r="W2626">
            <v>0</v>
          </cell>
        </row>
        <row r="2627">
          <cell r="B2627" t="str">
            <v>GPR-MB14M21019</v>
          </cell>
        </row>
        <row r="2627">
          <cell r="W2627">
            <v>0</v>
          </cell>
        </row>
        <row r="2628">
          <cell r="B2628" t="str">
            <v>GPR-EQ21L00001</v>
          </cell>
        </row>
        <row r="2628">
          <cell r="W2628">
            <v>0</v>
          </cell>
        </row>
        <row r="2629">
          <cell r="B2629" t="str">
            <v>GPR-SP00M02040</v>
          </cell>
        </row>
        <row r="2629">
          <cell r="W2629">
            <v>0</v>
          </cell>
        </row>
        <row r="2630">
          <cell r="B2630" t="str">
            <v>GPR-PT02M01024</v>
          </cell>
        </row>
        <row r="2630">
          <cell r="W2630">
            <v>0</v>
          </cell>
        </row>
        <row r="2631">
          <cell r="B2631" t="str">
            <v>39259000000022</v>
          </cell>
        </row>
        <row r="2631">
          <cell r="W2631">
            <v>0</v>
          </cell>
        </row>
        <row r="2632">
          <cell r="B2632" t="str">
            <v>GPR-MB07I23001</v>
          </cell>
        </row>
        <row r="2632">
          <cell r="W2632">
            <v>0</v>
          </cell>
        </row>
        <row r="2633">
          <cell r="B2633" t="str">
            <v>GPR-PN06C33004</v>
          </cell>
        </row>
        <row r="2633">
          <cell r="W2633">
            <v>0</v>
          </cell>
        </row>
        <row r="2634">
          <cell r="B2634" t="str">
            <v>69000030103204</v>
          </cell>
        </row>
        <row r="2634">
          <cell r="W2634">
            <v>0</v>
          </cell>
        </row>
        <row r="2635">
          <cell r="B2635" t="str">
            <v>GPR-OT02M21018</v>
          </cell>
        </row>
        <row r="2635">
          <cell r="W2635">
            <v>0</v>
          </cell>
        </row>
        <row r="2636">
          <cell r="B2636" t="str">
            <v>GPR-PN06C33005</v>
          </cell>
        </row>
        <row r="2636">
          <cell r="W2636">
            <v>0</v>
          </cell>
        </row>
        <row r="2637">
          <cell r="B2637" t="str">
            <v>GPR-PT01C15001</v>
          </cell>
        </row>
        <row r="2637">
          <cell r="W2637">
            <v>0</v>
          </cell>
        </row>
        <row r="2638">
          <cell r="B2638" t="str">
            <v>GPR-MB07I23002</v>
          </cell>
        </row>
        <row r="2638">
          <cell r="W2638">
            <v>0</v>
          </cell>
        </row>
        <row r="2639">
          <cell r="B2639" t="str">
            <v>6900010080266</v>
          </cell>
        </row>
        <row r="2639">
          <cell r="W2639">
            <v>0</v>
          </cell>
        </row>
        <row r="2640">
          <cell r="B2640" t="str">
            <v>6900010080239</v>
          </cell>
        </row>
        <row r="2640">
          <cell r="W2640">
            <v>0</v>
          </cell>
        </row>
        <row r="2641">
          <cell r="B2641" t="str">
            <v>GPR-MB23M15001</v>
          </cell>
        </row>
        <row r="2641">
          <cell r="W2641">
            <v>0</v>
          </cell>
        </row>
        <row r="2642">
          <cell r="B2642" t="str">
            <v>101504</v>
          </cell>
        </row>
        <row r="2642">
          <cell r="W2642">
            <v>0</v>
          </cell>
        </row>
        <row r="2643">
          <cell r="B2643" t="str">
            <v>GPR-SA01C00001</v>
          </cell>
        </row>
        <row r="2643">
          <cell r="W2643">
            <v>0</v>
          </cell>
        </row>
        <row r="2644">
          <cell r="B2644" t="str">
            <v>6900011045221</v>
          </cell>
        </row>
        <row r="2644">
          <cell r="W2644">
            <v>0</v>
          </cell>
        </row>
        <row r="2645">
          <cell r="B2645" t="str">
            <v>6900005030114</v>
          </cell>
        </row>
        <row r="2645">
          <cell r="W2645">
            <v>45</v>
          </cell>
        </row>
        <row r="2646">
          <cell r="B2646" t="str">
            <v>VPR-MB05C04001</v>
          </cell>
        </row>
        <row r="2646">
          <cell r="W2646">
            <v>0</v>
          </cell>
        </row>
        <row r="2647">
          <cell r="B2647" t="str">
            <v>GPR-SP00M21007</v>
          </cell>
        </row>
        <row r="2647">
          <cell r="W2647">
            <v>0</v>
          </cell>
        </row>
        <row r="2648">
          <cell r="B2648" t="str">
            <v>GPR-OT02M21043</v>
          </cell>
        </row>
        <row r="2648">
          <cell r="W2648">
            <v>0</v>
          </cell>
        </row>
        <row r="2649">
          <cell r="B2649" t="str">
            <v>GPR-PN06C33006</v>
          </cell>
        </row>
        <row r="2649">
          <cell r="W2649">
            <v>0</v>
          </cell>
        </row>
        <row r="2650">
          <cell r="B2650" t="str">
            <v>GPR-HD08M21004</v>
          </cell>
        </row>
        <row r="2650">
          <cell r="W2650">
            <v>0</v>
          </cell>
        </row>
        <row r="2651">
          <cell r="B2651" t="str">
            <v>GPR-MB07I23003</v>
          </cell>
        </row>
        <row r="2651">
          <cell r="W2651">
            <v>0</v>
          </cell>
        </row>
        <row r="2652">
          <cell r="B2652" t="str">
            <v>VPR-HO13D01001</v>
          </cell>
        </row>
        <row r="2652">
          <cell r="W2652">
            <v>0</v>
          </cell>
        </row>
        <row r="2653">
          <cell r="B2653" t="str">
            <v>6900001010212</v>
          </cell>
        </row>
        <row r="2653">
          <cell r="W2653">
            <v>0</v>
          </cell>
        </row>
        <row r="2654">
          <cell r="B2654" t="str">
            <v>6900005030238</v>
          </cell>
        </row>
        <row r="2654">
          <cell r="W2654">
            <v>0</v>
          </cell>
        </row>
        <row r="2655">
          <cell r="B2655" t="str">
            <v>GPR-PN06C33007</v>
          </cell>
        </row>
        <row r="2655">
          <cell r="W2655">
            <v>0</v>
          </cell>
        </row>
        <row r="2656">
          <cell r="B2656" t="str">
            <v>GPR-PT02M13005</v>
          </cell>
        </row>
        <row r="2656">
          <cell r="W2656">
            <v>0</v>
          </cell>
        </row>
        <row r="2657">
          <cell r="B2657" t="str">
            <v>GPR-OS08M01001</v>
          </cell>
        </row>
        <row r="2657">
          <cell r="W2657">
            <v>0</v>
          </cell>
        </row>
        <row r="2658">
          <cell r="B2658" t="str">
            <v>GPR-SP09M21014</v>
          </cell>
        </row>
        <row r="2658">
          <cell r="W2658">
            <v>0</v>
          </cell>
        </row>
        <row r="2659">
          <cell r="B2659" t="str">
            <v>GPR-HD21M21001</v>
          </cell>
        </row>
        <row r="2659">
          <cell r="W2659">
            <v>0</v>
          </cell>
        </row>
        <row r="2660">
          <cell r="B2660" t="str">
            <v>6900010080241</v>
          </cell>
        </row>
        <row r="2660">
          <cell r="W2660">
            <v>0</v>
          </cell>
        </row>
        <row r="2661">
          <cell r="B2661" t="str">
            <v>GPR-SP09M21026</v>
          </cell>
        </row>
        <row r="2661">
          <cell r="W2661">
            <v>0</v>
          </cell>
        </row>
        <row r="2662">
          <cell r="B2662" t="str">
            <v>GPR-PT10M21004</v>
          </cell>
        </row>
        <row r="2662">
          <cell r="W2662">
            <v>0</v>
          </cell>
        </row>
        <row r="2663">
          <cell r="B2663" t="str">
            <v>GPR-SP09M21027</v>
          </cell>
        </row>
        <row r="2663">
          <cell r="W2663">
            <v>0</v>
          </cell>
        </row>
        <row r="2664">
          <cell r="B2664" t="str">
            <v>GPR-PT02M01028</v>
          </cell>
        </row>
        <row r="2664">
          <cell r="W2664">
            <v>0</v>
          </cell>
        </row>
        <row r="2665">
          <cell r="B2665" t="str">
            <v>GPR-PT02M13007</v>
          </cell>
        </row>
        <row r="2665">
          <cell r="W2665">
            <v>0</v>
          </cell>
        </row>
        <row r="2666">
          <cell r="B2666" t="str">
            <v>GPR-PN06C33008</v>
          </cell>
        </row>
        <row r="2666">
          <cell r="W2666">
            <v>0</v>
          </cell>
        </row>
        <row r="2667">
          <cell r="B2667" t="str">
            <v>GPR-WC02R02004</v>
          </cell>
        </row>
        <row r="2667">
          <cell r="W2667">
            <v>0</v>
          </cell>
        </row>
        <row r="2668">
          <cell r="B2668" t="str">
            <v>102592</v>
          </cell>
        </row>
        <row r="2668">
          <cell r="W2668">
            <v>0</v>
          </cell>
        </row>
        <row r="2669">
          <cell r="B2669" t="str">
            <v>GPR-PT10M21005</v>
          </cell>
        </row>
        <row r="2669">
          <cell r="W2669">
            <v>0</v>
          </cell>
        </row>
        <row r="2670">
          <cell r="B2670" t="str">
            <v>GPR-MB13M21006</v>
          </cell>
        </row>
        <row r="2670">
          <cell r="W2670">
            <v>0</v>
          </cell>
        </row>
        <row r="2671">
          <cell r="B2671" t="str">
            <v>VPR-AP03D04001</v>
          </cell>
        </row>
        <row r="2671">
          <cell r="W2671">
            <v>0</v>
          </cell>
        </row>
        <row r="2672">
          <cell r="B2672" t="str">
            <v>GPR-EQ13S21001</v>
          </cell>
        </row>
        <row r="2672">
          <cell r="W2672">
            <v>0</v>
          </cell>
        </row>
        <row r="2673">
          <cell r="B2673" t="str">
            <v>GPR-SP09M21024</v>
          </cell>
        </row>
        <row r="2673">
          <cell r="W2673">
            <v>0</v>
          </cell>
        </row>
        <row r="2674">
          <cell r="B2674" t="str">
            <v>GPR-HO03C02001</v>
          </cell>
        </row>
        <row r="2674">
          <cell r="W2674">
            <v>0</v>
          </cell>
        </row>
        <row r="2675">
          <cell r="B2675" t="str">
            <v>8010040238</v>
          </cell>
        </row>
        <row r="2675">
          <cell r="W2675">
            <v>0</v>
          </cell>
        </row>
        <row r="2676">
          <cell r="B2676" t="str">
            <v>GPR-HD23M21001</v>
          </cell>
        </row>
        <row r="2676">
          <cell r="W2676">
            <v>0</v>
          </cell>
        </row>
        <row r="2677">
          <cell r="B2677" t="str">
            <v>6900005030120</v>
          </cell>
        </row>
        <row r="2677">
          <cell r="W2677">
            <v>46</v>
          </cell>
        </row>
        <row r="2678">
          <cell r="B2678" t="str">
            <v>GPR-HD05M21004</v>
          </cell>
        </row>
        <row r="2678">
          <cell r="W2678">
            <v>0</v>
          </cell>
        </row>
        <row r="2679">
          <cell r="B2679" t="str">
            <v>0119429400</v>
          </cell>
        </row>
        <row r="2679">
          <cell r="W2679">
            <v>0</v>
          </cell>
        </row>
        <row r="2680">
          <cell r="B2680" t="str">
            <v>GPR-SP09M21012</v>
          </cell>
        </row>
        <row r="2680">
          <cell r="W2680">
            <v>0</v>
          </cell>
        </row>
        <row r="2681">
          <cell r="B2681" t="str">
            <v>GPR-PT02M01030</v>
          </cell>
        </row>
        <row r="2681">
          <cell r="W2681">
            <v>0</v>
          </cell>
        </row>
        <row r="2682">
          <cell r="B2682" t="str">
            <v>GPR-PT09M21018</v>
          </cell>
        </row>
        <row r="2682">
          <cell r="W2682">
            <v>0</v>
          </cell>
        </row>
        <row r="2683">
          <cell r="B2683" t="str">
            <v>GPR-EQ09C00001</v>
          </cell>
        </row>
        <row r="2683">
          <cell r="W2683">
            <v>0</v>
          </cell>
        </row>
        <row r="2684">
          <cell r="B2684" t="str">
            <v>GPR-HD01M21009</v>
          </cell>
        </row>
        <row r="2684">
          <cell r="W2684">
            <v>0</v>
          </cell>
        </row>
        <row r="2685">
          <cell r="B2685" t="str">
            <v>GPR-HD01M21011</v>
          </cell>
        </row>
        <row r="2685">
          <cell r="W2685">
            <v>0</v>
          </cell>
        </row>
        <row r="2686">
          <cell r="B2686" t="str">
            <v>6900003010234</v>
          </cell>
        </row>
        <row r="2686">
          <cell r="W2686">
            <v>0</v>
          </cell>
        </row>
        <row r="2687">
          <cell r="B2687" t="str">
            <v>GPR-OT02C01001</v>
          </cell>
        </row>
        <row r="2687">
          <cell r="W2687">
            <v>0</v>
          </cell>
        </row>
        <row r="2688">
          <cell r="B2688" t="str">
            <v>GPR-SP09M21013</v>
          </cell>
        </row>
        <row r="2688">
          <cell r="W2688">
            <v>0</v>
          </cell>
        </row>
        <row r="2689">
          <cell r="B2689" t="str">
            <v>GPR-PL02C01001</v>
          </cell>
        </row>
        <row r="2689">
          <cell r="W2689">
            <v>0</v>
          </cell>
        </row>
        <row r="2690">
          <cell r="B2690" t="str">
            <v>8311300000018710804</v>
          </cell>
        </row>
        <row r="2690">
          <cell r="W2690">
            <v>0</v>
          </cell>
        </row>
        <row r="2691">
          <cell r="B2691" t="str">
            <v>0119730100</v>
          </cell>
        </row>
        <row r="2691">
          <cell r="W2691">
            <v>-100</v>
          </cell>
        </row>
        <row r="2692">
          <cell r="B2692" t="str">
            <v>GPR-HD01M21012</v>
          </cell>
        </row>
        <row r="2692">
          <cell r="W2692">
            <v>0</v>
          </cell>
        </row>
        <row r="2693">
          <cell r="B2693" t="str">
            <v>39259000000018</v>
          </cell>
        </row>
        <row r="2693">
          <cell r="W2693">
            <v>0</v>
          </cell>
        </row>
        <row r="2694">
          <cell r="B2694" t="str">
            <v>GPR-WC01R02001</v>
          </cell>
        </row>
        <row r="2694">
          <cell r="W2694">
            <v>0</v>
          </cell>
        </row>
        <row r="2695">
          <cell r="B2695" t="str">
            <v>GPR-OT02M02008</v>
          </cell>
        </row>
        <row r="2695">
          <cell r="W2695">
            <v>0</v>
          </cell>
        </row>
        <row r="2696">
          <cell r="B2696" t="str">
            <v>6900012091326</v>
          </cell>
        </row>
        <row r="2696">
          <cell r="W2696">
            <v>0</v>
          </cell>
        </row>
        <row r="2697">
          <cell r="B2697" t="str">
            <v>6900011043032</v>
          </cell>
        </row>
        <row r="2697">
          <cell r="W2697">
            <v>0</v>
          </cell>
        </row>
        <row r="2698">
          <cell r="B2698" t="str">
            <v>GPR-PT10M21002</v>
          </cell>
        </row>
        <row r="2698">
          <cell r="W2698">
            <v>0</v>
          </cell>
        </row>
        <row r="2699">
          <cell r="B2699" t="str">
            <v>69000030103244</v>
          </cell>
        </row>
        <row r="2699">
          <cell r="W2699">
            <v>0</v>
          </cell>
        </row>
        <row r="2700">
          <cell r="B2700" t="str">
            <v>GPR-HD01M11002</v>
          </cell>
        </row>
        <row r="2700">
          <cell r="W2700">
            <v>0</v>
          </cell>
        </row>
        <row r="2701">
          <cell r="B2701" t="str">
            <v>GPR-SP17A21001</v>
          </cell>
        </row>
        <row r="2701">
          <cell r="W2701">
            <v>0</v>
          </cell>
        </row>
        <row r="2702">
          <cell r="B2702" t="str">
            <v>6900003010815</v>
          </cell>
        </row>
        <row r="2702">
          <cell r="W2702">
            <v>0</v>
          </cell>
        </row>
        <row r="2703">
          <cell r="B2703" t="str">
            <v>GPR-HD01M21013</v>
          </cell>
        </row>
        <row r="2703">
          <cell r="W2703">
            <v>0</v>
          </cell>
        </row>
        <row r="2704">
          <cell r="B2704" t="str">
            <v>GPR-MB34C33001</v>
          </cell>
        </row>
        <row r="2704">
          <cell r="W2704">
            <v>0</v>
          </cell>
        </row>
        <row r="2705">
          <cell r="B2705" t="str">
            <v>GPR-HS08R02001</v>
          </cell>
        </row>
        <row r="2705">
          <cell r="W2705">
            <v>0</v>
          </cell>
        </row>
        <row r="2706">
          <cell r="B2706" t="str">
            <v>6900005030113</v>
          </cell>
        </row>
        <row r="2706">
          <cell r="W2706">
            <v>0</v>
          </cell>
        </row>
        <row r="2707">
          <cell r="B2707" t="str">
            <v>VPR-PT03C14001</v>
          </cell>
        </row>
        <row r="2707">
          <cell r="W2707">
            <v>0</v>
          </cell>
        </row>
        <row r="2708">
          <cell r="B2708" t="str">
            <v>GPR-WD05M22002</v>
          </cell>
        </row>
        <row r="2708">
          <cell r="W2708">
            <v>0</v>
          </cell>
        </row>
        <row r="2709">
          <cell r="B2709" t="str">
            <v>10028777717300</v>
          </cell>
        </row>
        <row r="2709">
          <cell r="W2709">
            <v>-14</v>
          </cell>
        </row>
        <row r="2710">
          <cell r="B2710" t="str">
            <v>GPR-PT02M13008</v>
          </cell>
        </row>
        <row r="2710">
          <cell r="W2710">
            <v>0</v>
          </cell>
        </row>
        <row r="2711">
          <cell r="B2711" t="str">
            <v>6900010080121</v>
          </cell>
        </row>
        <row r="2711">
          <cell r="W2711">
            <v>0</v>
          </cell>
        </row>
        <row r="2712">
          <cell r="B2712" t="str">
            <v>6900003010235</v>
          </cell>
        </row>
        <row r="2712">
          <cell r="W2712">
            <v>0</v>
          </cell>
        </row>
        <row r="2713">
          <cell r="B2713" t="str">
            <v>3926909090016</v>
          </cell>
        </row>
        <row r="2713">
          <cell r="W2713">
            <v>-15300</v>
          </cell>
        </row>
        <row r="2714">
          <cell r="B2714" t="str">
            <v>GPR-SP09M21010</v>
          </cell>
        </row>
        <row r="2714">
          <cell r="W2714">
            <v>0</v>
          </cell>
        </row>
        <row r="2715">
          <cell r="B2715" t="str">
            <v>69000030103243</v>
          </cell>
        </row>
        <row r="2715">
          <cell r="W2715">
            <v>0</v>
          </cell>
        </row>
        <row r="2716">
          <cell r="B2716" t="str">
            <v>6900005030214</v>
          </cell>
        </row>
        <row r="2716">
          <cell r="W2716">
            <v>0</v>
          </cell>
        </row>
        <row r="2717">
          <cell r="B2717" t="str">
            <v>GPR-PT10M21003</v>
          </cell>
        </row>
        <row r="2717">
          <cell r="W2717">
            <v>0</v>
          </cell>
        </row>
        <row r="2718">
          <cell r="B2718" t="str">
            <v>GPR-HD01M21010</v>
          </cell>
        </row>
        <row r="2718">
          <cell r="W2718">
            <v>0</v>
          </cell>
        </row>
        <row r="2719">
          <cell r="B2719" t="str">
            <v>GPR-EL14M21002</v>
          </cell>
        </row>
        <row r="2719">
          <cell r="W2719">
            <v>0</v>
          </cell>
        </row>
        <row r="2720">
          <cell r="B2720" t="str">
            <v>6900005030215</v>
          </cell>
        </row>
        <row r="2720">
          <cell r="W2720">
            <v>0</v>
          </cell>
        </row>
        <row r="2721">
          <cell r="B2721" t="str">
            <v>GPR-GS04M21001</v>
          </cell>
        </row>
        <row r="2721">
          <cell r="W2721">
            <v>0</v>
          </cell>
        </row>
        <row r="2722">
          <cell r="B2722" t="str">
            <v>76109000000111214200</v>
          </cell>
        </row>
        <row r="2722">
          <cell r="W2722">
            <v>0</v>
          </cell>
        </row>
        <row r="2723">
          <cell r="B2723" t="str">
            <v>101510</v>
          </cell>
        </row>
        <row r="2723">
          <cell r="W2723">
            <v>0</v>
          </cell>
        </row>
        <row r="2724">
          <cell r="B2724" t="str">
            <v>69000030103245</v>
          </cell>
        </row>
        <row r="2724">
          <cell r="W2724">
            <v>0</v>
          </cell>
        </row>
        <row r="2725">
          <cell r="B2725" t="str">
            <v>GPR-PT10M13001</v>
          </cell>
        </row>
        <row r="2725">
          <cell r="W2725">
            <v>0</v>
          </cell>
        </row>
        <row r="2726">
          <cell r="B2726" t="str">
            <v>GPR-HD01M21008</v>
          </cell>
        </row>
        <row r="2726">
          <cell r="W2726">
            <v>0</v>
          </cell>
        </row>
        <row r="2727">
          <cell r="B2727" t="str">
            <v>GPR-EQ18M21001</v>
          </cell>
        </row>
        <row r="2727">
          <cell r="W2727">
            <v>0</v>
          </cell>
        </row>
        <row r="2728">
          <cell r="B2728" t="str">
            <v>GPR-MB07M13001</v>
          </cell>
        </row>
        <row r="2728">
          <cell r="W2728">
            <v>0</v>
          </cell>
        </row>
        <row r="2729">
          <cell r="B2729" t="str">
            <v>GPR-HD08M02008</v>
          </cell>
        </row>
        <row r="2729">
          <cell r="W2729">
            <v>0</v>
          </cell>
        </row>
        <row r="2730">
          <cell r="B2730" t="str">
            <v>6900010080242</v>
          </cell>
        </row>
        <row r="2730">
          <cell r="W2730">
            <v>0</v>
          </cell>
        </row>
        <row r="2731">
          <cell r="B2731" t="str">
            <v>GPR-MB38A03001</v>
          </cell>
        </row>
        <row r="2731">
          <cell r="W2731">
            <v>0</v>
          </cell>
        </row>
        <row r="2732">
          <cell r="B2732" t="str">
            <v>VPR-EQ19C01001</v>
          </cell>
        </row>
        <row r="2732">
          <cell r="W2732">
            <v>0</v>
          </cell>
        </row>
        <row r="2733">
          <cell r="B2733" t="str">
            <v>6805200000006</v>
          </cell>
        </row>
        <row r="2733">
          <cell r="W2733">
            <v>0</v>
          </cell>
        </row>
        <row r="2734">
          <cell r="B2734" t="str">
            <v>GPR-HD08M02010</v>
          </cell>
        </row>
        <row r="2734">
          <cell r="W2734">
            <v>0</v>
          </cell>
        </row>
        <row r="2735">
          <cell r="B2735" t="str">
            <v>GPR-SP09M02001</v>
          </cell>
        </row>
        <row r="2735">
          <cell r="W2735">
            <v>0</v>
          </cell>
        </row>
        <row r="2736">
          <cell r="B2736" t="str">
            <v>GPR-SP33R02006</v>
          </cell>
        </row>
        <row r="2736">
          <cell r="W2736">
            <v>0</v>
          </cell>
        </row>
        <row r="2737">
          <cell r="B2737" t="str">
            <v>69000030103273</v>
          </cell>
        </row>
        <row r="2737">
          <cell r="W2737">
            <v>0</v>
          </cell>
        </row>
        <row r="2738">
          <cell r="B2738" t="str">
            <v>GPR-HD01M11003</v>
          </cell>
        </row>
        <row r="2738">
          <cell r="W2738">
            <v>0</v>
          </cell>
        </row>
        <row r="2739">
          <cell r="B2739" t="str">
            <v>69000030103272</v>
          </cell>
        </row>
        <row r="2739">
          <cell r="W2739">
            <v>0</v>
          </cell>
        </row>
        <row r="2740">
          <cell r="B2740" t="str">
            <v>GPR-PT10M11001</v>
          </cell>
        </row>
        <row r="2740">
          <cell r="W2740">
            <v>0</v>
          </cell>
        </row>
        <row r="2741">
          <cell r="B2741" t="str">
            <v>0122334301</v>
          </cell>
        </row>
        <row r="2741">
          <cell r="W2741">
            <v>0</v>
          </cell>
        </row>
        <row r="2742">
          <cell r="B2742" t="str">
            <v>GPR-HD01M21007</v>
          </cell>
        </row>
        <row r="2742">
          <cell r="W2742">
            <v>0</v>
          </cell>
        </row>
        <row r="2743">
          <cell r="B2743" t="str">
            <v>GPR-PT10M11002</v>
          </cell>
        </row>
        <row r="2743">
          <cell r="W2743">
            <v>0</v>
          </cell>
        </row>
        <row r="2744">
          <cell r="B2744" t="str">
            <v>GPR-PN04A21001</v>
          </cell>
        </row>
        <row r="2744">
          <cell r="W2744">
            <v>0</v>
          </cell>
        </row>
        <row r="2745">
          <cell r="B2745" t="str">
            <v>6900003011318</v>
          </cell>
        </row>
        <row r="2745">
          <cell r="W2745">
            <v>0</v>
          </cell>
        </row>
        <row r="2746">
          <cell r="B2746" t="str">
            <v>820340000001859006</v>
          </cell>
        </row>
        <row r="2746">
          <cell r="W2746">
            <v>0</v>
          </cell>
        </row>
        <row r="2747">
          <cell r="B2747" t="str">
            <v>GPR-HD04M21004</v>
          </cell>
        </row>
        <row r="2747">
          <cell r="W2747">
            <v>0</v>
          </cell>
        </row>
        <row r="2748">
          <cell r="B2748" t="str">
            <v>83071000000002</v>
          </cell>
        </row>
        <row r="2748">
          <cell r="W2748">
            <v>-738</v>
          </cell>
        </row>
        <row r="2749">
          <cell r="B2749" t="str">
            <v>GPR-SP09M02003</v>
          </cell>
        </row>
        <row r="2749">
          <cell r="W2749">
            <v>0</v>
          </cell>
        </row>
        <row r="2750">
          <cell r="B2750" t="str">
            <v>A070043O00</v>
          </cell>
        </row>
        <row r="2750">
          <cell r="W2750">
            <v>0</v>
          </cell>
        </row>
        <row r="2751">
          <cell r="B2751" t="str">
            <v>GPR-AP08R02001</v>
          </cell>
        </row>
        <row r="2751">
          <cell r="W2751">
            <v>0</v>
          </cell>
        </row>
        <row r="2752">
          <cell r="B2752" t="str">
            <v>GPR-HD04M21011</v>
          </cell>
        </row>
        <row r="2752">
          <cell r="W2752">
            <v>0</v>
          </cell>
        </row>
        <row r="2753">
          <cell r="B2753" t="str">
            <v>GPR-SP09M02002</v>
          </cell>
        </row>
        <row r="2753">
          <cell r="W2753">
            <v>0</v>
          </cell>
        </row>
        <row r="2754">
          <cell r="B2754" t="str">
            <v>GPR-SP02S33001</v>
          </cell>
        </row>
        <row r="2754">
          <cell r="W2754">
            <v>0</v>
          </cell>
        </row>
        <row r="2755">
          <cell r="B2755" t="str">
            <v>GPR-HD04M02009</v>
          </cell>
        </row>
        <row r="2755">
          <cell r="W2755">
            <v>0</v>
          </cell>
        </row>
        <row r="2756">
          <cell r="B2756" t="str">
            <v>GPR-MB02L14004</v>
          </cell>
        </row>
        <row r="2756">
          <cell r="W2756">
            <v>0</v>
          </cell>
        </row>
        <row r="2757">
          <cell r="B2757" t="str">
            <v>1714883071000000003</v>
          </cell>
        </row>
        <row r="2757">
          <cell r="W2757">
            <v>-12</v>
          </cell>
        </row>
        <row r="2758">
          <cell r="B2758" t="str">
            <v>83071000000003</v>
          </cell>
        </row>
        <row r="2758">
          <cell r="W2758">
            <v>-158</v>
          </cell>
        </row>
        <row r="2759">
          <cell r="B2759" t="str">
            <v>GPR-PT09M21003</v>
          </cell>
        </row>
        <row r="2759">
          <cell r="W2759">
            <v>0</v>
          </cell>
        </row>
        <row r="2760">
          <cell r="B2760" t="str">
            <v>GPR-OS01G00001</v>
          </cell>
        </row>
        <row r="2760">
          <cell r="W2760">
            <v>0</v>
          </cell>
        </row>
        <row r="2761">
          <cell r="B2761" t="str">
            <v>69000030103175</v>
          </cell>
        </row>
        <row r="2761">
          <cell r="W2761">
            <v>0</v>
          </cell>
        </row>
        <row r="2762">
          <cell r="B2762" t="str">
            <v>GPR-MB25M21001</v>
          </cell>
        </row>
        <row r="2762">
          <cell r="W2762">
            <v>0</v>
          </cell>
        </row>
        <row r="2763">
          <cell r="B2763" t="str">
            <v>GPR-HS01R13001</v>
          </cell>
        </row>
        <row r="2763">
          <cell r="W2763">
            <v>0</v>
          </cell>
        </row>
        <row r="2764">
          <cell r="B2764" t="str">
            <v>69000030103112</v>
          </cell>
        </row>
        <row r="2764">
          <cell r="W2764">
            <v>0</v>
          </cell>
        </row>
        <row r="2765">
          <cell r="B2765" t="str">
            <v>10061277717400</v>
          </cell>
        </row>
        <row r="2765">
          <cell r="W2765">
            <v>50</v>
          </cell>
        </row>
        <row r="2766">
          <cell r="B2766" t="str">
            <v>84242000000003</v>
          </cell>
        </row>
        <row r="2766">
          <cell r="W2766">
            <v>1323</v>
          </cell>
        </row>
        <row r="2767">
          <cell r="B2767" t="str">
            <v>GPR-OT02M02015</v>
          </cell>
        </row>
        <row r="2767">
          <cell r="W2767">
            <v>0</v>
          </cell>
        </row>
        <row r="2768">
          <cell r="B2768" t="str">
            <v>VPR-MB08L04001</v>
          </cell>
        </row>
        <row r="2768">
          <cell r="W2768">
            <v>0</v>
          </cell>
        </row>
        <row r="2769">
          <cell r="B2769" t="str">
            <v>69000030103194</v>
          </cell>
        </row>
        <row r="2769">
          <cell r="W2769">
            <v>0</v>
          </cell>
        </row>
        <row r="2770">
          <cell r="B2770" t="str">
            <v>VPR-AP06T12001</v>
          </cell>
        </row>
        <row r="2770">
          <cell r="W2770">
            <v>0</v>
          </cell>
        </row>
        <row r="2771">
          <cell r="B2771" t="str">
            <v>GPR-MB02L03004</v>
          </cell>
        </row>
        <row r="2771">
          <cell r="W2771">
            <v>0</v>
          </cell>
        </row>
        <row r="2772">
          <cell r="B2772" t="str">
            <v>GPR-PT09M21005</v>
          </cell>
        </row>
        <row r="2772">
          <cell r="W2772">
            <v>0</v>
          </cell>
        </row>
        <row r="2773">
          <cell r="B2773" t="str">
            <v>6900010080133</v>
          </cell>
        </row>
        <row r="2773">
          <cell r="W2773">
            <v>0</v>
          </cell>
        </row>
        <row r="2774">
          <cell r="B2774" t="str">
            <v>0123839400</v>
          </cell>
        </row>
        <row r="2774">
          <cell r="W2774">
            <v>0</v>
          </cell>
        </row>
        <row r="2775">
          <cell r="B2775" t="str">
            <v>69000030103195</v>
          </cell>
        </row>
        <row r="2775">
          <cell r="W2775">
            <v>0</v>
          </cell>
        </row>
        <row r="2776">
          <cell r="B2776" t="str">
            <v>GPR-MB38A21001</v>
          </cell>
        </row>
        <row r="2776">
          <cell r="W2776">
            <v>0</v>
          </cell>
        </row>
        <row r="2777">
          <cell r="B2777" t="str">
            <v>0116820700</v>
          </cell>
        </row>
        <row r="2777">
          <cell r="W2777">
            <v>0</v>
          </cell>
        </row>
        <row r="2778">
          <cell r="B2778" t="str">
            <v>GPR-MB02L21005</v>
          </cell>
        </row>
        <row r="2778">
          <cell r="W2778">
            <v>0</v>
          </cell>
        </row>
        <row r="2779">
          <cell r="B2779" t="str">
            <v>GPR-SE02D02002</v>
          </cell>
        </row>
        <row r="2779">
          <cell r="W2779">
            <v>0</v>
          </cell>
        </row>
        <row r="2780">
          <cell r="B2780" t="str">
            <v>102572</v>
          </cell>
        </row>
        <row r="2780">
          <cell r="W2780">
            <v>0</v>
          </cell>
        </row>
        <row r="2781">
          <cell r="B2781" t="str">
            <v>101491</v>
          </cell>
        </row>
        <row r="2781">
          <cell r="W2781">
            <v>0</v>
          </cell>
        </row>
        <row r="2782">
          <cell r="B2782" t="str">
            <v>0123839800</v>
          </cell>
        </row>
        <row r="2782">
          <cell r="W2782">
            <v>0</v>
          </cell>
        </row>
        <row r="2783">
          <cell r="B2783" t="str">
            <v>10057377717500</v>
          </cell>
        </row>
        <row r="2783">
          <cell r="W2783">
            <v>10</v>
          </cell>
        </row>
        <row r="2784">
          <cell r="B2784" t="str">
            <v>GPR-EL07M02001</v>
          </cell>
        </row>
        <row r="2784">
          <cell r="W2784">
            <v>0</v>
          </cell>
        </row>
        <row r="2785">
          <cell r="B2785" t="str">
            <v>GPR-HD01S21003</v>
          </cell>
        </row>
        <row r="2785">
          <cell r="W2785">
            <v>0</v>
          </cell>
        </row>
        <row r="2786">
          <cell r="B2786" t="str">
            <v>69000030103134</v>
          </cell>
        </row>
        <row r="2786">
          <cell r="W2786">
            <v>0</v>
          </cell>
        </row>
        <row r="2787">
          <cell r="B2787" t="str">
            <v>101493</v>
          </cell>
        </row>
        <row r="2787">
          <cell r="W2787">
            <v>0</v>
          </cell>
        </row>
        <row r="2788">
          <cell r="B2788" t="str">
            <v>GPR-HD01M21006</v>
          </cell>
        </row>
        <row r="2788">
          <cell r="W2788">
            <v>0</v>
          </cell>
        </row>
        <row r="2789">
          <cell r="B2789" t="str">
            <v>6900010080136</v>
          </cell>
        </row>
        <row r="2789">
          <cell r="W2789">
            <v>0</v>
          </cell>
        </row>
        <row r="2790">
          <cell r="B2790" t="str">
            <v>392350000004</v>
          </cell>
        </row>
        <row r="2790">
          <cell r="W2790">
            <v>0</v>
          </cell>
        </row>
        <row r="2791">
          <cell r="B2791" t="str">
            <v>0116220000</v>
          </cell>
        </row>
        <row r="2791">
          <cell r="W2791">
            <v>0</v>
          </cell>
        </row>
        <row r="2792">
          <cell r="B2792" t="str">
            <v>GPR-WD04C01001</v>
          </cell>
        </row>
        <row r="2792">
          <cell r="W2792">
            <v>0</v>
          </cell>
        </row>
        <row r="2793">
          <cell r="B2793" t="str">
            <v>GPR-MB02L14007</v>
          </cell>
        </row>
        <row r="2793">
          <cell r="W2793">
            <v>0</v>
          </cell>
        </row>
        <row r="2794">
          <cell r="B2794" t="str">
            <v>GPR-LM02G01001</v>
          </cell>
        </row>
        <row r="2794">
          <cell r="W2794">
            <v>0</v>
          </cell>
        </row>
        <row r="2795">
          <cell r="B2795" t="str">
            <v>3925900000004</v>
          </cell>
        </row>
        <row r="2795">
          <cell r="W2795">
            <v>0</v>
          </cell>
        </row>
        <row r="2796">
          <cell r="B2796" t="str">
            <v>101520</v>
          </cell>
        </row>
        <row r="2796">
          <cell r="W2796">
            <v>0</v>
          </cell>
        </row>
        <row r="2797">
          <cell r="B2797" t="str">
            <v>GPR-SP25M21007</v>
          </cell>
        </row>
        <row r="2797">
          <cell r="W2797">
            <v>0</v>
          </cell>
        </row>
        <row r="2798">
          <cell r="B2798" t="str">
            <v>101519</v>
          </cell>
        </row>
        <row r="2798">
          <cell r="W2798">
            <v>0</v>
          </cell>
        </row>
        <row r="2799">
          <cell r="B2799" t="str">
            <v>392350000002</v>
          </cell>
        </row>
        <row r="2799">
          <cell r="W2799">
            <v>0</v>
          </cell>
        </row>
        <row r="2800">
          <cell r="B2800" t="str">
            <v>3816000000003</v>
          </cell>
        </row>
        <row r="2800">
          <cell r="W2800">
            <v>0</v>
          </cell>
        </row>
        <row r="2801">
          <cell r="B2801" t="str">
            <v>GPR-SP25M21004</v>
          </cell>
        </row>
        <row r="2801">
          <cell r="W2801">
            <v>0</v>
          </cell>
        </row>
        <row r="2802">
          <cell r="B2802" t="str">
            <v>VPR-PL02V01001</v>
          </cell>
        </row>
        <row r="2802">
          <cell r="W2802">
            <v>-0.4</v>
          </cell>
        </row>
        <row r="2803">
          <cell r="B2803" t="str">
            <v>3925900000005</v>
          </cell>
        </row>
        <row r="2803">
          <cell r="W2803">
            <v>0</v>
          </cell>
        </row>
        <row r="2804">
          <cell r="B2804" t="str">
            <v>6900010080137</v>
          </cell>
        </row>
        <row r="2804">
          <cell r="W2804">
            <v>0</v>
          </cell>
        </row>
        <row r="2805">
          <cell r="B2805" t="str">
            <v>6900010080243</v>
          </cell>
        </row>
        <row r="2805">
          <cell r="W2805">
            <v>0</v>
          </cell>
        </row>
        <row r="2806">
          <cell r="B2806" t="str">
            <v>GPR-HD08M02003</v>
          </cell>
        </row>
        <row r="2806">
          <cell r="W2806">
            <v>0</v>
          </cell>
        </row>
        <row r="2807">
          <cell r="B2807" t="str">
            <v>GPR-MB01G00002</v>
          </cell>
        </row>
        <row r="2807">
          <cell r="W2807">
            <v>0</v>
          </cell>
        </row>
        <row r="2808">
          <cell r="B2808" t="str">
            <v>GPR-SA04K01001</v>
          </cell>
        </row>
        <row r="2808">
          <cell r="W2808">
            <v>0</v>
          </cell>
        </row>
        <row r="2809">
          <cell r="B2809" t="str">
            <v>GPR-HD01M21005</v>
          </cell>
        </row>
        <row r="2809">
          <cell r="W2809">
            <v>0</v>
          </cell>
        </row>
        <row r="2810">
          <cell r="B2810" t="str">
            <v>0118225700</v>
          </cell>
        </row>
        <row r="2810">
          <cell r="W2810">
            <v>-200</v>
          </cell>
        </row>
        <row r="2811">
          <cell r="B2811" t="str">
            <v>GPR-MB01G00003</v>
          </cell>
        </row>
        <row r="2811">
          <cell r="W2811">
            <v>0</v>
          </cell>
        </row>
        <row r="2812">
          <cell r="B2812" t="str">
            <v>GPR-MB02L01022</v>
          </cell>
        </row>
        <row r="2812">
          <cell r="W2812">
            <v>0</v>
          </cell>
        </row>
        <row r="2813">
          <cell r="B2813" t="str">
            <v>VPR-MB26B01001</v>
          </cell>
        </row>
        <row r="2813">
          <cell r="W2813">
            <v>0</v>
          </cell>
        </row>
        <row r="2814">
          <cell r="B2814" t="str">
            <v>6900010101414</v>
          </cell>
        </row>
        <row r="2814">
          <cell r="W2814">
            <v>0</v>
          </cell>
        </row>
        <row r="2815">
          <cell r="B2815" t="str">
            <v>GPR-EQ33S21003</v>
          </cell>
        </row>
        <row r="2815">
          <cell r="W2815">
            <v>0</v>
          </cell>
        </row>
        <row r="2816">
          <cell r="B2816" t="str">
            <v>73239300000002</v>
          </cell>
        </row>
        <row r="2816">
          <cell r="W2816">
            <v>0</v>
          </cell>
        </row>
        <row r="2817">
          <cell r="B2817" t="str">
            <v>VPR-SE04C02001</v>
          </cell>
        </row>
        <row r="2817">
          <cell r="W2817">
            <v>0</v>
          </cell>
        </row>
        <row r="2818">
          <cell r="B2818" t="str">
            <v>GPR-PT03M21003</v>
          </cell>
        </row>
        <row r="2818">
          <cell r="W2818">
            <v>0</v>
          </cell>
        </row>
        <row r="2819">
          <cell r="B2819" t="str">
            <v>GPR-OT02M02019</v>
          </cell>
        </row>
        <row r="2819">
          <cell r="W2819">
            <v>0</v>
          </cell>
        </row>
        <row r="2820">
          <cell r="B2820" t="str">
            <v>8467210000019511610</v>
          </cell>
        </row>
        <row r="2820">
          <cell r="W2820">
            <v>0</v>
          </cell>
        </row>
        <row r="2821">
          <cell r="B2821" t="str">
            <v>GPR-OT02M02020</v>
          </cell>
        </row>
        <row r="2821">
          <cell r="W2821">
            <v>0</v>
          </cell>
        </row>
        <row r="2822">
          <cell r="B2822" t="str">
            <v>VPR-SE04C11002</v>
          </cell>
        </row>
        <row r="2822">
          <cell r="W2822">
            <v>0</v>
          </cell>
        </row>
        <row r="2823">
          <cell r="B2823" t="str">
            <v>6900010080141</v>
          </cell>
        </row>
        <row r="2823">
          <cell r="W2823">
            <v>0</v>
          </cell>
        </row>
        <row r="2824">
          <cell r="B2824" t="str">
            <v>GPR-PT03M21004</v>
          </cell>
        </row>
        <row r="2824">
          <cell r="W2824">
            <v>0</v>
          </cell>
        </row>
        <row r="2825">
          <cell r="B2825" t="str">
            <v>GPR-BT01J02003</v>
          </cell>
        </row>
        <row r="2825">
          <cell r="W2825">
            <v>0</v>
          </cell>
        </row>
        <row r="2826">
          <cell r="B2826" t="str">
            <v>GPR-HD10C02002</v>
          </cell>
        </row>
        <row r="2826">
          <cell r="W2826">
            <v>0</v>
          </cell>
        </row>
        <row r="2827">
          <cell r="B2827" t="str">
            <v>6802101000019211102</v>
          </cell>
        </row>
        <row r="2827">
          <cell r="W2827">
            <v>0</v>
          </cell>
        </row>
        <row r="2828">
          <cell r="B2828" t="str">
            <v>GPR-EQ33S21002</v>
          </cell>
        </row>
        <row r="2828">
          <cell r="W2828">
            <v>0</v>
          </cell>
        </row>
        <row r="2829">
          <cell r="B2829" t="str">
            <v>GPR-PT01M03004</v>
          </cell>
        </row>
        <row r="2829">
          <cell r="W2829">
            <v>0</v>
          </cell>
        </row>
        <row r="2830">
          <cell r="B2830" t="str">
            <v>102593</v>
          </cell>
        </row>
        <row r="2830">
          <cell r="W2830">
            <v>0</v>
          </cell>
        </row>
        <row r="2831">
          <cell r="B2831" t="str">
            <v>GPR-MB13M21005</v>
          </cell>
        </row>
        <row r="2831">
          <cell r="W2831">
            <v>0</v>
          </cell>
        </row>
        <row r="2832">
          <cell r="B2832" t="str">
            <v>011280000</v>
          </cell>
        </row>
        <row r="2832">
          <cell r="W2832">
            <v>0</v>
          </cell>
        </row>
        <row r="2833">
          <cell r="B2833" t="str">
            <v>GPR-WC02A21002</v>
          </cell>
        </row>
        <row r="2833">
          <cell r="W2833">
            <v>0</v>
          </cell>
        </row>
        <row r="2834">
          <cell r="B2834" t="str">
            <v>6900003010232</v>
          </cell>
        </row>
        <row r="2834">
          <cell r="W2834">
            <v>0</v>
          </cell>
        </row>
        <row r="2835">
          <cell r="B2835" t="str">
            <v>GPR-MB06P04001</v>
          </cell>
        </row>
        <row r="2835">
          <cell r="W2835">
            <v>0</v>
          </cell>
        </row>
        <row r="2836">
          <cell r="B2836" t="str">
            <v>3925900000009</v>
          </cell>
        </row>
        <row r="2836">
          <cell r="W2836">
            <v>0</v>
          </cell>
        </row>
        <row r="2837">
          <cell r="B2837" t="str">
            <v>GPR-OT02M02022</v>
          </cell>
        </row>
        <row r="2837">
          <cell r="W2837">
            <v>0</v>
          </cell>
        </row>
        <row r="2838">
          <cell r="B2838" t="str">
            <v>GPR-PT02M15003</v>
          </cell>
        </row>
        <row r="2838">
          <cell r="W2838">
            <v>0</v>
          </cell>
        </row>
        <row r="2839">
          <cell r="B2839" t="str">
            <v>GPR-OS03C00001</v>
          </cell>
        </row>
        <row r="2839">
          <cell r="W2839">
            <v>0</v>
          </cell>
        </row>
        <row r="2840">
          <cell r="B2840" t="str">
            <v>GPR-OT02M21036</v>
          </cell>
        </row>
        <row r="2840">
          <cell r="W2840">
            <v>0</v>
          </cell>
        </row>
        <row r="2841">
          <cell r="B2841" t="str">
            <v>830200410008</v>
          </cell>
        </row>
        <row r="2841">
          <cell r="W2841">
            <v>-215</v>
          </cell>
        </row>
        <row r="2842">
          <cell r="B2842" t="str">
            <v>GPR-EQ09C15007</v>
          </cell>
        </row>
        <row r="2842">
          <cell r="W2842">
            <v>0</v>
          </cell>
        </row>
        <row r="2843">
          <cell r="B2843" t="str">
            <v>GPR-HS07C01001</v>
          </cell>
        </row>
        <row r="2843">
          <cell r="W2843">
            <v>0</v>
          </cell>
        </row>
        <row r="2844">
          <cell r="B2844" t="str">
            <v>69000030103171</v>
          </cell>
        </row>
        <row r="2844">
          <cell r="W2844">
            <v>0</v>
          </cell>
        </row>
        <row r="2845">
          <cell r="B2845" t="str">
            <v>GPR-OT02M21023</v>
          </cell>
        </row>
        <row r="2845">
          <cell r="W2845">
            <v>0</v>
          </cell>
        </row>
        <row r="2846">
          <cell r="B2846" t="str">
            <v>6900012091361</v>
          </cell>
        </row>
        <row r="2846">
          <cell r="W2846">
            <v>0</v>
          </cell>
        </row>
        <row r="2847">
          <cell r="B2847" t="str">
            <v>GPR-SP03R02001</v>
          </cell>
        </row>
        <row r="2847">
          <cell r="W2847">
            <v>0</v>
          </cell>
        </row>
        <row r="2848">
          <cell r="B2848" t="str">
            <v>830200410009</v>
          </cell>
        </row>
        <row r="2848">
          <cell r="W2848">
            <v>148</v>
          </cell>
        </row>
        <row r="2849">
          <cell r="B2849" t="str">
            <v>VPR-AP01D11001</v>
          </cell>
        </row>
        <row r="2849">
          <cell r="W2849">
            <v>0</v>
          </cell>
        </row>
        <row r="2850">
          <cell r="B2850" t="str">
            <v>VPR-AP06D15001</v>
          </cell>
        </row>
        <row r="2850">
          <cell r="W2850">
            <v>0</v>
          </cell>
        </row>
        <row r="2851">
          <cell r="B2851" t="str">
            <v>6900010080148</v>
          </cell>
        </row>
        <row r="2851">
          <cell r="W2851">
            <v>0</v>
          </cell>
        </row>
        <row r="2852">
          <cell r="B2852" t="str">
            <v>6900003010256</v>
          </cell>
        </row>
        <row r="2852">
          <cell r="W2852">
            <v>0</v>
          </cell>
        </row>
        <row r="2853">
          <cell r="B2853" t="str">
            <v>GPR-PT04M13001</v>
          </cell>
        </row>
        <row r="2853">
          <cell r="W2853">
            <v>0</v>
          </cell>
        </row>
        <row r="2854">
          <cell r="B2854" t="str">
            <v>GPR-AP03C13004</v>
          </cell>
        </row>
        <row r="2854">
          <cell r="W2854">
            <v>0</v>
          </cell>
        </row>
        <row r="2855">
          <cell r="B2855" t="str">
            <v>6900003011315</v>
          </cell>
        </row>
        <row r="2855">
          <cell r="W2855">
            <v>0</v>
          </cell>
        </row>
        <row r="2856">
          <cell r="B2856" t="str">
            <v>GPR-OT02M21026</v>
          </cell>
        </row>
        <row r="2856">
          <cell r="W2856">
            <v>0</v>
          </cell>
        </row>
        <row r="2857">
          <cell r="B2857" t="str">
            <v>69000030103174</v>
          </cell>
        </row>
        <row r="2857">
          <cell r="W2857">
            <v>0</v>
          </cell>
        </row>
        <row r="2858">
          <cell r="B2858" t="str">
            <v>GPR-MB25S21001</v>
          </cell>
        </row>
        <row r="2858">
          <cell r="W2858">
            <v>0</v>
          </cell>
        </row>
        <row r="2859">
          <cell r="B2859" t="str">
            <v>102573</v>
          </cell>
        </row>
        <row r="2859">
          <cell r="W2859">
            <v>0</v>
          </cell>
        </row>
        <row r="2860">
          <cell r="B2860" t="str">
            <v>6900005030212</v>
          </cell>
        </row>
        <row r="2860">
          <cell r="W2860">
            <v>0</v>
          </cell>
        </row>
        <row r="2861">
          <cell r="B2861" t="str">
            <v>GPR-BT01J02004</v>
          </cell>
        </row>
        <row r="2861">
          <cell r="W2861">
            <v>0</v>
          </cell>
        </row>
        <row r="2862">
          <cell r="B2862" t="str">
            <v>GPR-EL05M11001</v>
          </cell>
        </row>
        <row r="2862">
          <cell r="W2862">
            <v>0</v>
          </cell>
        </row>
        <row r="2863">
          <cell r="B2863" t="str">
            <v>GPR-OT02M21034</v>
          </cell>
        </row>
        <row r="2863">
          <cell r="W2863">
            <v>0</v>
          </cell>
        </row>
        <row r="2864">
          <cell r="B2864" t="str">
            <v>GPR-EQ23C02001</v>
          </cell>
        </row>
        <row r="2864">
          <cell r="W2864">
            <v>0</v>
          </cell>
        </row>
        <row r="2865">
          <cell r="B2865" t="str">
            <v>69000030103105</v>
          </cell>
        </row>
        <row r="2865">
          <cell r="W2865">
            <v>0</v>
          </cell>
        </row>
        <row r="2866">
          <cell r="B2866" t="str">
            <v>VPR-HA02M21001</v>
          </cell>
        </row>
        <row r="2866">
          <cell r="W2866">
            <v>0</v>
          </cell>
        </row>
        <row r="2867">
          <cell r="B2867" t="str">
            <v>GPR-AP01D04001</v>
          </cell>
        </row>
        <row r="2867">
          <cell r="W2867">
            <v>0</v>
          </cell>
        </row>
        <row r="2868">
          <cell r="B2868" t="str">
            <v>8302004100010</v>
          </cell>
        </row>
        <row r="2868">
          <cell r="W2868">
            <v>-213</v>
          </cell>
        </row>
        <row r="2869">
          <cell r="B2869" t="str">
            <v>6900010080154</v>
          </cell>
        </row>
        <row r="2869">
          <cell r="W2869">
            <v>0</v>
          </cell>
        </row>
        <row r="2870">
          <cell r="B2870" t="str">
            <v>102396</v>
          </cell>
        </row>
        <row r="2870">
          <cell r="W2870">
            <v>0</v>
          </cell>
        </row>
        <row r="2871">
          <cell r="B2871" t="str">
            <v>GPR-HO06L01004</v>
          </cell>
        </row>
        <row r="2871">
          <cell r="W2871">
            <v>0</v>
          </cell>
        </row>
        <row r="2872">
          <cell r="B2872" t="str">
            <v>0123837400</v>
          </cell>
        </row>
        <row r="2872">
          <cell r="W2872">
            <v>0</v>
          </cell>
        </row>
        <row r="2873">
          <cell r="B2873" t="str">
            <v>GPR-AP03D04001</v>
          </cell>
        </row>
        <row r="2873">
          <cell r="W2873">
            <v>0</v>
          </cell>
        </row>
        <row r="2874">
          <cell r="B2874" t="str">
            <v>GPR-OT02M21031</v>
          </cell>
        </row>
        <row r="2874">
          <cell r="W2874">
            <v>0</v>
          </cell>
        </row>
        <row r="2875">
          <cell r="B2875" t="str">
            <v>GPR-PT01C02001</v>
          </cell>
        </row>
        <row r="2875">
          <cell r="W2875">
            <v>0</v>
          </cell>
        </row>
        <row r="2876">
          <cell r="B2876" t="str">
            <v>GPR-WD01M02001</v>
          </cell>
        </row>
        <row r="2876">
          <cell r="W2876">
            <v>0</v>
          </cell>
        </row>
        <row r="2877">
          <cell r="B2877" t="str">
            <v>GPR-PL02C01009</v>
          </cell>
        </row>
        <row r="2877">
          <cell r="W2877">
            <v>0</v>
          </cell>
        </row>
        <row r="2878">
          <cell r="B2878" t="str">
            <v>6900010106815</v>
          </cell>
        </row>
        <row r="2878">
          <cell r="W2878">
            <v>0</v>
          </cell>
        </row>
        <row r="2879">
          <cell r="B2879" t="str">
            <v>VPR-LM01G01001</v>
          </cell>
        </row>
        <row r="2879">
          <cell r="W2879">
            <v>0</v>
          </cell>
        </row>
        <row r="2880">
          <cell r="B2880" t="str">
            <v>GPR-MB25S21004</v>
          </cell>
        </row>
        <row r="2880">
          <cell r="W2880">
            <v>0</v>
          </cell>
        </row>
        <row r="2881">
          <cell r="B2881" t="str">
            <v>0123837500</v>
          </cell>
        </row>
        <row r="2881">
          <cell r="W2881">
            <v>0</v>
          </cell>
        </row>
        <row r="2882">
          <cell r="B2882" t="str">
            <v>0112014800</v>
          </cell>
        </row>
        <row r="2882">
          <cell r="W2882">
            <v>0</v>
          </cell>
        </row>
        <row r="2883">
          <cell r="B2883" t="str">
            <v>69000030103151</v>
          </cell>
        </row>
        <row r="2883">
          <cell r="W2883">
            <v>0</v>
          </cell>
        </row>
        <row r="2884">
          <cell r="B2884" t="str">
            <v>0123837600</v>
          </cell>
        </row>
        <row r="2884">
          <cell r="W2884">
            <v>0</v>
          </cell>
        </row>
        <row r="2885">
          <cell r="B2885" t="str">
            <v>6900003010212</v>
          </cell>
        </row>
        <row r="2885">
          <cell r="W2885">
            <v>0</v>
          </cell>
        </row>
        <row r="2886">
          <cell r="B2886" t="str">
            <v>GPR-EQ09C15009</v>
          </cell>
        </row>
        <row r="2886">
          <cell r="W2886">
            <v>0</v>
          </cell>
        </row>
        <row r="2887">
          <cell r="B2887" t="str">
            <v>6900008072722</v>
          </cell>
        </row>
        <row r="2887">
          <cell r="W2887">
            <v>0</v>
          </cell>
        </row>
        <row r="2888">
          <cell r="B2888" t="str">
            <v>GPR-SP26T01003</v>
          </cell>
        </row>
        <row r="2888">
          <cell r="W2888">
            <v>0</v>
          </cell>
        </row>
        <row r="2889">
          <cell r="B2889" t="str">
            <v>GPR-LL05L01001</v>
          </cell>
        </row>
        <row r="2889">
          <cell r="W2889">
            <v>0</v>
          </cell>
        </row>
        <row r="2890">
          <cell r="B2890" t="str">
            <v>69000030103136</v>
          </cell>
        </row>
        <row r="2890">
          <cell r="W2890">
            <v>0</v>
          </cell>
        </row>
        <row r="2891">
          <cell r="B2891" t="str">
            <v>6900010106816</v>
          </cell>
        </row>
        <row r="2891">
          <cell r="W2891">
            <v>0</v>
          </cell>
        </row>
        <row r="2892">
          <cell r="B2892" t="str">
            <v>0123837800</v>
          </cell>
        </row>
        <row r="2892">
          <cell r="W2892">
            <v>0</v>
          </cell>
        </row>
        <row r="2893">
          <cell r="B2893" t="str">
            <v>GPR-MB25S21005</v>
          </cell>
        </row>
        <row r="2893">
          <cell r="W2893">
            <v>0</v>
          </cell>
        </row>
        <row r="2894">
          <cell r="B2894" t="str">
            <v>0115018100</v>
          </cell>
        </row>
        <row r="2894">
          <cell r="W2894">
            <v>0</v>
          </cell>
        </row>
        <row r="2895">
          <cell r="B2895" t="str">
            <v>GPR-PT10M12001</v>
          </cell>
        </row>
        <row r="2895">
          <cell r="W2895">
            <v>0</v>
          </cell>
        </row>
        <row r="2896">
          <cell r="B2896" t="str">
            <v>6900008072723</v>
          </cell>
        </row>
        <row r="2896">
          <cell r="W2896">
            <v>0</v>
          </cell>
        </row>
        <row r="2897">
          <cell r="B2897" t="str">
            <v>GPR-SP27M21002</v>
          </cell>
        </row>
        <row r="2897">
          <cell r="W2897">
            <v>0</v>
          </cell>
        </row>
        <row r="2898">
          <cell r="B2898" t="str">
            <v>GPR-LL05L01002</v>
          </cell>
        </row>
        <row r="2898">
          <cell r="W2898">
            <v>0</v>
          </cell>
        </row>
        <row r="2899">
          <cell r="B2899" t="str">
            <v>GPR-EQ09C15008</v>
          </cell>
        </row>
        <row r="2899">
          <cell r="W2899">
            <v>0</v>
          </cell>
        </row>
        <row r="2900">
          <cell r="B2900" t="str">
            <v>GPR-OT02M02003</v>
          </cell>
        </row>
        <row r="2900">
          <cell r="W2900">
            <v>0</v>
          </cell>
        </row>
        <row r="2901">
          <cell r="B2901" t="str">
            <v>GPR-EQ09C15006</v>
          </cell>
        </row>
        <row r="2901">
          <cell r="W2901">
            <v>0</v>
          </cell>
        </row>
        <row r="2902">
          <cell r="B2902" t="str">
            <v>6900008071217</v>
          </cell>
        </row>
        <row r="2902">
          <cell r="W2902">
            <v>0</v>
          </cell>
        </row>
        <row r="2903">
          <cell r="B2903" t="str">
            <v>6900008072721</v>
          </cell>
        </row>
        <row r="2903">
          <cell r="W2903">
            <v>0</v>
          </cell>
        </row>
        <row r="2904">
          <cell r="B2904" t="str">
            <v>6900010106817</v>
          </cell>
        </row>
        <row r="2904">
          <cell r="W2904">
            <v>0</v>
          </cell>
        </row>
        <row r="2905">
          <cell r="B2905" t="str">
            <v>0123838100</v>
          </cell>
        </row>
        <row r="2905">
          <cell r="W2905">
            <v>0</v>
          </cell>
        </row>
        <row r="2906">
          <cell r="B2906" t="str">
            <v>6900010080237</v>
          </cell>
        </row>
        <row r="2906">
          <cell r="W2906">
            <v>0</v>
          </cell>
        </row>
        <row r="2907">
          <cell r="B2907" t="str">
            <v>GPR-PT01M15002</v>
          </cell>
        </row>
        <row r="2907">
          <cell r="W2907">
            <v>0</v>
          </cell>
        </row>
        <row r="2908">
          <cell r="B2908" t="str">
            <v>GPR-EL05C01001</v>
          </cell>
        </row>
        <row r="2908">
          <cell r="W2908">
            <v>0</v>
          </cell>
        </row>
        <row r="2909">
          <cell r="B2909" t="str">
            <v>GPR-EQ09C15005</v>
          </cell>
        </row>
        <row r="2909">
          <cell r="W2909">
            <v>0</v>
          </cell>
        </row>
        <row r="2910">
          <cell r="B2910" t="str">
            <v>VPR-LL04L01002</v>
          </cell>
        </row>
        <row r="2910">
          <cell r="W2910">
            <v>0</v>
          </cell>
        </row>
        <row r="2911">
          <cell r="B2911" t="str">
            <v>GPR-EL13M21001</v>
          </cell>
        </row>
        <row r="2911">
          <cell r="W2911">
            <v>0</v>
          </cell>
        </row>
        <row r="2912">
          <cell r="B2912" t="str">
            <v>0123838200</v>
          </cell>
        </row>
        <row r="2912">
          <cell r="W2912">
            <v>0</v>
          </cell>
        </row>
        <row r="2913">
          <cell r="B2913" t="str">
            <v>6900003011314</v>
          </cell>
        </row>
        <row r="2913">
          <cell r="W2913">
            <v>0</v>
          </cell>
        </row>
        <row r="2914">
          <cell r="B2914" t="str">
            <v>6900010106811</v>
          </cell>
        </row>
        <row r="2914">
          <cell r="W2914">
            <v>0</v>
          </cell>
        </row>
        <row r="2915">
          <cell r="B2915" t="str">
            <v>GPR-EQ09C15004</v>
          </cell>
        </row>
        <row r="2915">
          <cell r="W2915">
            <v>0</v>
          </cell>
        </row>
        <row r="2916">
          <cell r="B2916" t="str">
            <v>0123838600</v>
          </cell>
        </row>
        <row r="2916">
          <cell r="W2916">
            <v>0</v>
          </cell>
        </row>
        <row r="2917">
          <cell r="B2917" t="str">
            <v>GPR-PT01M02001</v>
          </cell>
        </row>
        <row r="2917">
          <cell r="W2917">
            <v>0</v>
          </cell>
        </row>
        <row r="2918">
          <cell r="B2918" t="str">
            <v>GPR-MB27P11001</v>
          </cell>
        </row>
        <row r="2918">
          <cell r="W2918">
            <v>0</v>
          </cell>
        </row>
        <row r="2919">
          <cell r="B2919" t="str">
            <v>GPR-EQ09C15003</v>
          </cell>
        </row>
        <row r="2919">
          <cell r="W2919">
            <v>0</v>
          </cell>
        </row>
        <row r="2920">
          <cell r="B2920" t="str">
            <v>VPR-AP03D02001</v>
          </cell>
        </row>
        <row r="2920">
          <cell r="W2920">
            <v>0</v>
          </cell>
        </row>
        <row r="2921">
          <cell r="B2921" t="str">
            <v>GPR-WD04S21002</v>
          </cell>
        </row>
        <row r="2921">
          <cell r="W2921">
            <v>0</v>
          </cell>
        </row>
        <row r="2922">
          <cell r="B2922" t="str">
            <v>GPR-SP16J04004</v>
          </cell>
        </row>
        <row r="2922">
          <cell r="W2922">
            <v>0</v>
          </cell>
        </row>
        <row r="2923">
          <cell r="B2923" t="str">
            <v>6900001010112</v>
          </cell>
        </row>
        <row r="2923">
          <cell r="W2923">
            <v>0</v>
          </cell>
        </row>
        <row r="2924">
          <cell r="B2924" t="str">
            <v>GPR-PT09M21007</v>
          </cell>
        </row>
        <row r="2924">
          <cell r="W2924">
            <v>0</v>
          </cell>
        </row>
        <row r="2925">
          <cell r="B2925" t="str">
            <v>GPR-PT09M21020</v>
          </cell>
        </row>
        <row r="2925">
          <cell r="W2925">
            <v>0</v>
          </cell>
        </row>
        <row r="2926">
          <cell r="B2926" t="str">
            <v>B050064K13</v>
          </cell>
        </row>
        <row r="2926">
          <cell r="W2926">
            <v>0</v>
          </cell>
        </row>
        <row r="2927">
          <cell r="B2927" t="str">
            <v>GPR-MB00N04001</v>
          </cell>
        </row>
        <row r="2927">
          <cell r="W2927">
            <v>0</v>
          </cell>
        </row>
        <row r="2928">
          <cell r="B2928" t="str">
            <v>0123839000</v>
          </cell>
        </row>
        <row r="2928">
          <cell r="W2928">
            <v>0</v>
          </cell>
        </row>
        <row r="2929">
          <cell r="B2929" t="str">
            <v>VPR-AP03U04002</v>
          </cell>
        </row>
        <row r="2929">
          <cell r="W2929">
            <v>0</v>
          </cell>
        </row>
        <row r="2930">
          <cell r="B2930" t="str">
            <v>0123839200</v>
          </cell>
        </row>
        <row r="2930">
          <cell r="W2930">
            <v>0</v>
          </cell>
        </row>
        <row r="2931">
          <cell r="B2931" t="str">
            <v>8468900000019611811</v>
          </cell>
        </row>
        <row r="2931">
          <cell r="W2931">
            <v>0</v>
          </cell>
        </row>
        <row r="2932">
          <cell r="B2932" t="str">
            <v>830100100009</v>
          </cell>
        </row>
        <row r="2932">
          <cell r="W2932">
            <v>0</v>
          </cell>
        </row>
        <row r="2933">
          <cell r="B2933" t="str">
            <v>GPR-WD02I22001</v>
          </cell>
        </row>
        <row r="2933">
          <cell r="W2933">
            <v>0</v>
          </cell>
        </row>
        <row r="2934">
          <cell r="B2934" t="str">
            <v>6900001010132</v>
          </cell>
        </row>
        <row r="2934">
          <cell r="W2934">
            <v>0</v>
          </cell>
        </row>
        <row r="2935">
          <cell r="B2935" t="str">
            <v>6900010080244</v>
          </cell>
        </row>
        <row r="2935">
          <cell r="W2935">
            <v>0</v>
          </cell>
        </row>
        <row r="2936">
          <cell r="B2936" t="str">
            <v>GPR-OT02M02006</v>
          </cell>
        </row>
        <row r="2936">
          <cell r="W2936">
            <v>0</v>
          </cell>
        </row>
        <row r="2937">
          <cell r="B2937" t="str">
            <v>6900010089011</v>
          </cell>
        </row>
        <row r="2937">
          <cell r="W2937">
            <v>0</v>
          </cell>
        </row>
        <row r="2938">
          <cell r="B2938" t="str">
            <v>GPR-EQ09C15002</v>
          </cell>
        </row>
        <row r="2938">
          <cell r="W2938">
            <v>0</v>
          </cell>
        </row>
        <row r="2939">
          <cell r="B2939" t="str">
            <v>0123836900</v>
          </cell>
        </row>
        <row r="2939">
          <cell r="W2939">
            <v>0</v>
          </cell>
        </row>
        <row r="2940">
          <cell r="B2940" t="str">
            <v>GPR-ME03D01001</v>
          </cell>
        </row>
        <row r="2940">
          <cell r="W2940">
            <v>0</v>
          </cell>
        </row>
        <row r="2941">
          <cell r="B2941" t="str">
            <v>GPR-EL24M11001</v>
          </cell>
        </row>
        <row r="2941">
          <cell r="W2941">
            <v>0</v>
          </cell>
        </row>
        <row r="2942">
          <cell r="B2942" t="str">
            <v>GPR-EQ00S02001</v>
          </cell>
        </row>
        <row r="2942">
          <cell r="W2942">
            <v>0</v>
          </cell>
        </row>
        <row r="2943">
          <cell r="B2943" t="str">
            <v>6900001010114</v>
          </cell>
        </row>
        <row r="2943">
          <cell r="W2943">
            <v>0</v>
          </cell>
        </row>
        <row r="2944">
          <cell r="B2944" t="str">
            <v>GPR-PN05M21002</v>
          </cell>
        </row>
        <row r="2944">
          <cell r="W2944">
            <v>0</v>
          </cell>
        </row>
        <row r="2945">
          <cell r="B2945" t="str">
            <v>GPR-EQ00C15001</v>
          </cell>
        </row>
        <row r="2945">
          <cell r="W2945">
            <v>0</v>
          </cell>
        </row>
        <row r="2946">
          <cell r="B2946" t="str">
            <v>GPR-HO06L01003</v>
          </cell>
        </row>
        <row r="2946">
          <cell r="W2946">
            <v>0</v>
          </cell>
        </row>
        <row r="2947">
          <cell r="B2947" t="str">
            <v>GPR-ME03D01002</v>
          </cell>
        </row>
        <row r="2947">
          <cell r="W2947">
            <v>0</v>
          </cell>
        </row>
        <row r="2948">
          <cell r="B2948" t="str">
            <v>0123839500</v>
          </cell>
        </row>
        <row r="2948">
          <cell r="W2948">
            <v>0</v>
          </cell>
        </row>
        <row r="2949">
          <cell r="B2949" t="str">
            <v>6900008072725</v>
          </cell>
        </row>
        <row r="2949">
          <cell r="W2949">
            <v>0</v>
          </cell>
        </row>
        <row r="2950">
          <cell r="B2950" t="str">
            <v>VPR-AP01D12001</v>
          </cell>
        </row>
        <row r="2950">
          <cell r="W2950">
            <v>0</v>
          </cell>
        </row>
        <row r="2951">
          <cell r="B2951" t="str">
            <v>GPR-EL05M01001</v>
          </cell>
        </row>
        <row r="2951">
          <cell r="W2951">
            <v>0</v>
          </cell>
        </row>
        <row r="2952">
          <cell r="B2952" t="str">
            <v>GPR-MB02L13005</v>
          </cell>
        </row>
        <row r="2952">
          <cell r="W2952">
            <v>0</v>
          </cell>
        </row>
        <row r="2953">
          <cell r="B2953" t="str">
            <v>GPR-EL24C11003</v>
          </cell>
        </row>
        <row r="2953">
          <cell r="W2953">
            <v>0</v>
          </cell>
        </row>
        <row r="2954">
          <cell r="B2954" t="str">
            <v>GPR-OS03P01001</v>
          </cell>
        </row>
        <row r="2954">
          <cell r="W2954">
            <v>0</v>
          </cell>
        </row>
        <row r="2955">
          <cell r="B2955" t="str">
            <v>GPR-HO09C01001</v>
          </cell>
        </row>
        <row r="2955">
          <cell r="W2955">
            <v>0</v>
          </cell>
        </row>
        <row r="2956">
          <cell r="B2956" t="str">
            <v>0123839600</v>
          </cell>
        </row>
        <row r="2956">
          <cell r="W2956">
            <v>0</v>
          </cell>
        </row>
        <row r="2957">
          <cell r="B2957" t="str">
            <v>GPR-EL05M21002</v>
          </cell>
        </row>
        <row r="2957">
          <cell r="W2957">
            <v>0</v>
          </cell>
        </row>
        <row r="2958">
          <cell r="B2958" t="str">
            <v>GPR-EL03C02002</v>
          </cell>
        </row>
        <row r="2958">
          <cell r="W2958">
            <v>0</v>
          </cell>
        </row>
        <row r="2959">
          <cell r="B2959" t="str">
            <v>GPR-ME05A01003</v>
          </cell>
        </row>
        <row r="2959">
          <cell r="W2959">
            <v>0</v>
          </cell>
        </row>
        <row r="2960">
          <cell r="B2960" t="str">
            <v>GPR-ME03S21001</v>
          </cell>
        </row>
        <row r="2960">
          <cell r="W2960">
            <v>0</v>
          </cell>
        </row>
        <row r="2961">
          <cell r="B2961" t="str">
            <v>0123839700</v>
          </cell>
        </row>
        <row r="2961">
          <cell r="W2961">
            <v>0</v>
          </cell>
        </row>
        <row r="2962">
          <cell r="B2962" t="str">
            <v>6900008072720</v>
          </cell>
        </row>
        <row r="2962">
          <cell r="W2962">
            <v>0</v>
          </cell>
        </row>
        <row r="2963">
          <cell r="B2963" t="str">
            <v>GPR-WC02C02002</v>
          </cell>
        </row>
        <row r="2963">
          <cell r="W2963">
            <v>0</v>
          </cell>
        </row>
        <row r="2964">
          <cell r="B2964" t="str">
            <v>GPR-EQ09C15011</v>
          </cell>
        </row>
        <row r="2964">
          <cell r="W2964">
            <v>0</v>
          </cell>
        </row>
        <row r="2965">
          <cell r="B2965" t="str">
            <v>GPR-ME05A01005</v>
          </cell>
        </row>
        <row r="2965">
          <cell r="W2965">
            <v>0</v>
          </cell>
        </row>
        <row r="2966">
          <cell r="B2966" t="str">
            <v>GPR-PL01E02002</v>
          </cell>
        </row>
        <row r="2966">
          <cell r="W2966">
            <v>0</v>
          </cell>
        </row>
        <row r="2967">
          <cell r="B2967" t="str">
            <v>3925900000006</v>
          </cell>
        </row>
        <row r="2967">
          <cell r="W2967">
            <v>0</v>
          </cell>
        </row>
        <row r="2968">
          <cell r="B2968" t="str">
            <v>39259000000020</v>
          </cell>
        </row>
        <row r="2968">
          <cell r="W2968">
            <v>0</v>
          </cell>
        </row>
        <row r="2969">
          <cell r="B2969" t="str">
            <v>6900012090314</v>
          </cell>
        </row>
        <row r="2969">
          <cell r="W2969">
            <v>0</v>
          </cell>
        </row>
        <row r="2970">
          <cell r="B2970" t="str">
            <v>GPR-PT02A21002</v>
          </cell>
        </row>
        <row r="2970">
          <cell r="W2970">
            <v>0</v>
          </cell>
        </row>
        <row r="2971">
          <cell r="B2971" t="str">
            <v>830200100003</v>
          </cell>
        </row>
        <row r="2971">
          <cell r="W2971">
            <v>-41</v>
          </cell>
        </row>
        <row r="2972">
          <cell r="B2972" t="str">
            <v>GPR-ME05A01008</v>
          </cell>
        </row>
        <row r="2972">
          <cell r="W2972">
            <v>0</v>
          </cell>
        </row>
        <row r="2973">
          <cell r="B2973" t="str">
            <v>GPR-PT11C02001</v>
          </cell>
        </row>
        <row r="2973">
          <cell r="W2973">
            <v>0</v>
          </cell>
        </row>
        <row r="2974">
          <cell r="B2974" t="str">
            <v>6900001010113</v>
          </cell>
        </row>
        <row r="2974">
          <cell r="W2974">
            <v>0</v>
          </cell>
        </row>
        <row r="2975">
          <cell r="B2975" t="str">
            <v>0123840000</v>
          </cell>
        </row>
        <row r="2975">
          <cell r="W2975">
            <v>0</v>
          </cell>
        </row>
        <row r="2976">
          <cell r="B2976" t="str">
            <v>GPR-EQ09C15010</v>
          </cell>
        </row>
        <row r="2976">
          <cell r="W2976">
            <v>0</v>
          </cell>
        </row>
        <row r="2977">
          <cell r="B2977" t="str">
            <v>830200100004</v>
          </cell>
        </row>
        <row r="2977">
          <cell r="W2977">
            <v>-142</v>
          </cell>
        </row>
        <row r="2978">
          <cell r="B2978" t="str">
            <v>0123840100</v>
          </cell>
        </row>
        <row r="2978">
          <cell r="W2978">
            <v>0</v>
          </cell>
        </row>
        <row r="2979">
          <cell r="B2979" t="str">
            <v>A070042Q04</v>
          </cell>
        </row>
        <row r="2979">
          <cell r="W2979">
            <v>0</v>
          </cell>
        </row>
        <row r="2980">
          <cell r="B2980" t="str">
            <v>69000030103263</v>
          </cell>
        </row>
        <row r="2980">
          <cell r="W2980">
            <v>0</v>
          </cell>
        </row>
        <row r="2981">
          <cell r="B2981" t="str">
            <v>GPR-PL01E02001</v>
          </cell>
        </row>
        <row r="2981">
          <cell r="W2981">
            <v>0</v>
          </cell>
        </row>
        <row r="2982">
          <cell r="B2982" t="str">
            <v>39259000000026</v>
          </cell>
        </row>
        <row r="2982">
          <cell r="W2982">
            <v>0</v>
          </cell>
        </row>
        <row r="2983">
          <cell r="B2983" t="str">
            <v>6900012090315</v>
          </cell>
        </row>
        <row r="2983">
          <cell r="W2983">
            <v>0</v>
          </cell>
        </row>
        <row r="2984">
          <cell r="B2984" t="str">
            <v>GPR-MB10S21003</v>
          </cell>
        </row>
        <row r="2984">
          <cell r="W2984">
            <v>0</v>
          </cell>
        </row>
        <row r="2985">
          <cell r="B2985" t="str">
            <v>0123840200</v>
          </cell>
        </row>
        <row r="2985">
          <cell r="W2985">
            <v>0</v>
          </cell>
        </row>
        <row r="2986">
          <cell r="B2986" t="str">
            <v>GPR-HO03P01003</v>
          </cell>
        </row>
        <row r="2986">
          <cell r="W2986">
            <v>0</v>
          </cell>
        </row>
        <row r="2987">
          <cell r="B2987" t="str">
            <v>6900010080246</v>
          </cell>
        </row>
        <row r="2987">
          <cell r="W2987">
            <v>0</v>
          </cell>
        </row>
        <row r="2988">
          <cell r="B2988" t="str">
            <v>GPR-OT02M02011</v>
          </cell>
        </row>
        <row r="2988">
          <cell r="W2988">
            <v>0</v>
          </cell>
        </row>
        <row r="2989">
          <cell r="B2989" t="str">
            <v>6900010080274</v>
          </cell>
        </row>
        <row r="2989">
          <cell r="W2989">
            <v>0</v>
          </cell>
        </row>
        <row r="2990">
          <cell r="B2990" t="str">
            <v>0123840300</v>
          </cell>
        </row>
        <row r="2990">
          <cell r="W2990">
            <v>0</v>
          </cell>
        </row>
        <row r="2991">
          <cell r="B2991" t="str">
            <v>GPR-EL21M02001</v>
          </cell>
        </row>
        <row r="2991">
          <cell r="W2991">
            <v>0</v>
          </cell>
        </row>
        <row r="2992">
          <cell r="B2992" t="str">
            <v>8302001000022</v>
          </cell>
        </row>
        <row r="2992">
          <cell r="W2992">
            <v>0</v>
          </cell>
        </row>
        <row r="2993">
          <cell r="B2993" t="str">
            <v>VPR-HO07O04002</v>
          </cell>
        </row>
        <row r="2993">
          <cell r="W2993">
            <v>0</v>
          </cell>
        </row>
        <row r="2994">
          <cell r="B2994" t="str">
            <v>39259000000019</v>
          </cell>
        </row>
        <row r="2994">
          <cell r="W2994">
            <v>0</v>
          </cell>
        </row>
        <row r="2995">
          <cell r="B2995" t="str">
            <v>GPR-WD01M02003</v>
          </cell>
        </row>
        <row r="2995">
          <cell r="W2995">
            <v>0</v>
          </cell>
        </row>
        <row r="2996">
          <cell r="B2996" t="str">
            <v>8204110000015514100</v>
          </cell>
        </row>
        <row r="2996">
          <cell r="W2996">
            <v>0</v>
          </cell>
        </row>
        <row r="2997">
          <cell r="B2997" t="str">
            <v>GPR-ME05A01011</v>
          </cell>
        </row>
        <row r="2997">
          <cell r="W2997">
            <v>0</v>
          </cell>
        </row>
        <row r="2998">
          <cell r="B2998" t="str">
            <v>GPR-MB34C33002</v>
          </cell>
        </row>
        <row r="2998">
          <cell r="W2998">
            <v>0</v>
          </cell>
        </row>
        <row r="2999">
          <cell r="B2999" t="str">
            <v>3925900000003</v>
          </cell>
        </row>
        <row r="2999">
          <cell r="W2999">
            <v>26664</v>
          </cell>
        </row>
        <row r="3000">
          <cell r="B3000" t="str">
            <v>6900010080277</v>
          </cell>
        </row>
        <row r="3000">
          <cell r="W3000">
            <v>0</v>
          </cell>
        </row>
        <row r="3001">
          <cell r="B3001" t="str">
            <v>0123841000</v>
          </cell>
        </row>
        <row r="3001">
          <cell r="W3001">
            <v>0</v>
          </cell>
        </row>
        <row r="3002">
          <cell r="B3002" t="str">
            <v>VPR-EQ05C15002</v>
          </cell>
        </row>
        <row r="3002">
          <cell r="W3002">
            <v>0</v>
          </cell>
        </row>
        <row r="3003">
          <cell r="B3003" t="str">
            <v>6900003010231</v>
          </cell>
        </row>
        <row r="3003">
          <cell r="W3003">
            <v>150</v>
          </cell>
        </row>
        <row r="3004">
          <cell r="B3004" t="str">
            <v>VPR-HD13M14002</v>
          </cell>
        </row>
        <row r="3004">
          <cell r="W3004">
            <v>0</v>
          </cell>
        </row>
        <row r="3005">
          <cell r="B3005" t="str">
            <v>GPR-OT02M02014</v>
          </cell>
        </row>
        <row r="3005">
          <cell r="W3005">
            <v>0</v>
          </cell>
        </row>
        <row r="3006">
          <cell r="B3006" t="str">
            <v>VPR-HA02M21002</v>
          </cell>
        </row>
        <row r="3006">
          <cell r="W3006">
            <v>0</v>
          </cell>
        </row>
        <row r="3007">
          <cell r="B3007" t="str">
            <v>GPR-PL02E01077</v>
          </cell>
        </row>
        <row r="3007">
          <cell r="W3007">
            <v>0</v>
          </cell>
        </row>
        <row r="3008">
          <cell r="B3008" t="str">
            <v>GPR-SP16J11001</v>
          </cell>
        </row>
        <row r="3008">
          <cell r="W3008">
            <v>0</v>
          </cell>
        </row>
        <row r="3009">
          <cell r="B3009" t="str">
            <v>GPR-ME05A01012</v>
          </cell>
        </row>
        <row r="3009">
          <cell r="W3009">
            <v>0</v>
          </cell>
        </row>
        <row r="3010">
          <cell r="B3010" t="str">
            <v>VPR-HO07O04003</v>
          </cell>
        </row>
        <row r="3010">
          <cell r="W3010">
            <v>0</v>
          </cell>
        </row>
        <row r="3011">
          <cell r="B3011" t="str">
            <v>GPR-SP21M21001</v>
          </cell>
        </row>
        <row r="3011">
          <cell r="W3011">
            <v>0</v>
          </cell>
        </row>
        <row r="3012">
          <cell r="B3012" t="str">
            <v>8482800000017710104</v>
          </cell>
        </row>
        <row r="3012">
          <cell r="W3012">
            <v>1500</v>
          </cell>
        </row>
        <row r="3013">
          <cell r="B3013" t="str">
            <v>6900003010219</v>
          </cell>
        </row>
        <row r="3013">
          <cell r="W3013">
            <v>0</v>
          </cell>
        </row>
        <row r="3014">
          <cell r="B3014" t="str">
            <v>6900001010126</v>
          </cell>
        </row>
        <row r="3014">
          <cell r="W3014">
            <v>0</v>
          </cell>
        </row>
        <row r="3015">
          <cell r="B3015" t="str">
            <v>0123841300</v>
          </cell>
        </row>
        <row r="3015">
          <cell r="W3015">
            <v>0</v>
          </cell>
        </row>
        <row r="3016">
          <cell r="B3016" t="str">
            <v>6900003011313</v>
          </cell>
        </row>
        <row r="3016">
          <cell r="W3016">
            <v>0</v>
          </cell>
        </row>
        <row r="3017">
          <cell r="B3017" t="str">
            <v>GPR-EQ31C00013</v>
          </cell>
        </row>
        <row r="3017">
          <cell r="W3017">
            <v>0</v>
          </cell>
        </row>
        <row r="3018">
          <cell r="B3018" t="str">
            <v>GPR-MB02L13002</v>
          </cell>
        </row>
        <row r="3018">
          <cell r="W3018">
            <v>0</v>
          </cell>
        </row>
        <row r="3019">
          <cell r="B3019" t="str">
            <v>017728900</v>
          </cell>
        </row>
        <row r="3019">
          <cell r="W3019">
            <v>-2</v>
          </cell>
        </row>
        <row r="3020">
          <cell r="B3020" t="str">
            <v>GPR-PL02E01076</v>
          </cell>
        </row>
        <row r="3020">
          <cell r="W3020">
            <v>0</v>
          </cell>
        </row>
        <row r="3021">
          <cell r="B3021" t="str">
            <v>GPR-WD01M02006</v>
          </cell>
        </row>
        <row r="3021">
          <cell r="W3021">
            <v>0</v>
          </cell>
        </row>
        <row r="3022">
          <cell r="B3022" t="str">
            <v>GPR-SP25M21010</v>
          </cell>
        </row>
        <row r="3022">
          <cell r="W3022">
            <v>0</v>
          </cell>
        </row>
        <row r="3023">
          <cell r="B3023" t="str">
            <v>GPR-WD01M02008</v>
          </cell>
        </row>
        <row r="3023">
          <cell r="W3023">
            <v>0</v>
          </cell>
        </row>
        <row r="3024">
          <cell r="B3024" t="str">
            <v>GPR-SP00M21035</v>
          </cell>
        </row>
        <row r="3024">
          <cell r="W3024">
            <v>0</v>
          </cell>
        </row>
        <row r="3025">
          <cell r="B3025" t="str">
            <v>6900003011312</v>
          </cell>
        </row>
        <row r="3025">
          <cell r="W3025">
            <v>0</v>
          </cell>
        </row>
        <row r="3026">
          <cell r="B3026" t="str">
            <v>GPR-HD19M02001</v>
          </cell>
        </row>
        <row r="3026">
          <cell r="W3026">
            <v>0</v>
          </cell>
        </row>
        <row r="3027">
          <cell r="B3027" t="str">
            <v>GPR-MB02L01006</v>
          </cell>
        </row>
        <row r="3027">
          <cell r="W3027">
            <v>0</v>
          </cell>
        </row>
        <row r="3028">
          <cell r="B3028" t="str">
            <v>GPR-EQ31C00012</v>
          </cell>
        </row>
        <row r="3028">
          <cell r="W3028">
            <v>0</v>
          </cell>
        </row>
        <row r="3029">
          <cell r="B3029" t="str">
            <v>GPR-ME05A01014</v>
          </cell>
        </row>
        <row r="3029">
          <cell r="W3029">
            <v>0</v>
          </cell>
        </row>
        <row r="3030">
          <cell r="B3030" t="str">
            <v>6900010080146</v>
          </cell>
        </row>
        <row r="3030">
          <cell r="W3030">
            <v>0</v>
          </cell>
        </row>
        <row r="3031">
          <cell r="B3031" t="str">
            <v>GPR-SP16S21001</v>
          </cell>
        </row>
        <row r="3031">
          <cell r="W3031">
            <v>0</v>
          </cell>
        </row>
        <row r="3032">
          <cell r="B3032" t="str">
            <v>GPR-EQ31C00017</v>
          </cell>
        </row>
        <row r="3032">
          <cell r="W3032">
            <v>0</v>
          </cell>
        </row>
        <row r="3033">
          <cell r="B3033" t="str">
            <v>GPR-MB02L13003</v>
          </cell>
        </row>
        <row r="3033">
          <cell r="W3033">
            <v>0</v>
          </cell>
        </row>
        <row r="3034">
          <cell r="B3034" t="str">
            <v>GPR-PT02M01001</v>
          </cell>
        </row>
        <row r="3034">
          <cell r="W3034">
            <v>0</v>
          </cell>
        </row>
        <row r="3035">
          <cell r="B3035" t="str">
            <v>GPR-HD19M02016</v>
          </cell>
        </row>
        <row r="3035">
          <cell r="W3035">
            <v>0</v>
          </cell>
        </row>
        <row r="3036">
          <cell r="B3036" t="str">
            <v>VPR-PT01M02001</v>
          </cell>
        </row>
        <row r="3036">
          <cell r="W3036">
            <v>0</v>
          </cell>
        </row>
        <row r="3037">
          <cell r="B3037" t="str">
            <v>GPR-SP16M21004</v>
          </cell>
        </row>
        <row r="3037">
          <cell r="W3037">
            <v>0</v>
          </cell>
        </row>
        <row r="3038">
          <cell r="B3038" t="str">
            <v>69000030103102</v>
          </cell>
        </row>
        <row r="3038">
          <cell r="W3038">
            <v>0</v>
          </cell>
        </row>
        <row r="3039">
          <cell r="B3039" t="str">
            <v>6900010080245</v>
          </cell>
        </row>
        <row r="3039">
          <cell r="W3039">
            <v>1200</v>
          </cell>
        </row>
        <row r="3040">
          <cell r="B3040" t="str">
            <v>GPR-MB02L01012</v>
          </cell>
        </row>
        <row r="3040">
          <cell r="W3040">
            <v>0</v>
          </cell>
        </row>
        <row r="3041">
          <cell r="B3041" t="str">
            <v>6900003011111</v>
          </cell>
        </row>
        <row r="3041">
          <cell r="W3041">
            <v>0</v>
          </cell>
        </row>
        <row r="3042">
          <cell r="B3042" t="str">
            <v>GPR-HD19M02017</v>
          </cell>
        </row>
        <row r="3042">
          <cell r="W3042">
            <v>0</v>
          </cell>
        </row>
        <row r="3043">
          <cell r="B3043" t="str">
            <v>6900003010279</v>
          </cell>
        </row>
        <row r="3043">
          <cell r="W3043">
            <v>0</v>
          </cell>
        </row>
        <row r="3044">
          <cell r="B3044" t="str">
            <v>6900010080247</v>
          </cell>
        </row>
        <row r="3044">
          <cell r="W3044">
            <v>100</v>
          </cell>
        </row>
        <row r="3045">
          <cell r="B3045" t="str">
            <v>GPR-MB02L02003</v>
          </cell>
        </row>
        <row r="3045">
          <cell r="W3045">
            <v>0</v>
          </cell>
        </row>
        <row r="3046">
          <cell r="B3046" t="str">
            <v>GPR-ME05M01001</v>
          </cell>
        </row>
        <row r="3046">
          <cell r="W3046">
            <v>0</v>
          </cell>
        </row>
        <row r="3047">
          <cell r="B3047" t="str">
            <v>GPR-EQ30C11001</v>
          </cell>
        </row>
        <row r="3047">
          <cell r="W3047">
            <v>0</v>
          </cell>
        </row>
        <row r="3048">
          <cell r="B3048" t="str">
            <v>GPR-HD19M02018</v>
          </cell>
        </row>
        <row r="3048">
          <cell r="W3048">
            <v>0</v>
          </cell>
        </row>
        <row r="3049">
          <cell r="B3049" t="str">
            <v>GPR-SP16M21003</v>
          </cell>
        </row>
        <row r="3049">
          <cell r="W3049">
            <v>0</v>
          </cell>
        </row>
        <row r="3050">
          <cell r="B3050" t="str">
            <v>0123842200</v>
          </cell>
        </row>
        <row r="3050">
          <cell r="W3050">
            <v>0</v>
          </cell>
        </row>
        <row r="3051">
          <cell r="B3051" t="str">
            <v>GPR-PT02M01003</v>
          </cell>
        </row>
        <row r="3051">
          <cell r="W3051">
            <v>0</v>
          </cell>
        </row>
        <row r="3052">
          <cell r="B3052" t="str">
            <v>GPR-HD19M02019</v>
          </cell>
        </row>
        <row r="3052">
          <cell r="W3052">
            <v>0</v>
          </cell>
        </row>
        <row r="3053">
          <cell r="B3053" t="str">
            <v>GPR-MB02L14002</v>
          </cell>
        </row>
        <row r="3053">
          <cell r="W3053">
            <v>0</v>
          </cell>
        </row>
        <row r="3054">
          <cell r="B3054" t="str">
            <v>GPR-SP16B03001</v>
          </cell>
        </row>
        <row r="3054">
          <cell r="W3054">
            <v>0</v>
          </cell>
        </row>
        <row r="3055">
          <cell r="B3055" t="str">
            <v>8010033239</v>
          </cell>
        </row>
        <row r="3055">
          <cell r="W3055">
            <v>0</v>
          </cell>
        </row>
        <row r="3056">
          <cell r="B3056" t="str">
            <v>GPR-ME05A01015</v>
          </cell>
        </row>
        <row r="3056">
          <cell r="W3056">
            <v>0</v>
          </cell>
        </row>
        <row r="3057">
          <cell r="B3057" t="str">
            <v>6900005030418</v>
          </cell>
        </row>
        <row r="3057">
          <cell r="W3057">
            <v>-195</v>
          </cell>
        </row>
        <row r="3058">
          <cell r="B3058" t="str">
            <v>VPR-HD13M14003</v>
          </cell>
        </row>
        <row r="3058">
          <cell r="W3058">
            <v>0</v>
          </cell>
        </row>
        <row r="3059">
          <cell r="B3059" t="str">
            <v>GPR-PT02M01002</v>
          </cell>
        </row>
        <row r="3059">
          <cell r="W3059">
            <v>0</v>
          </cell>
        </row>
        <row r="3060">
          <cell r="B3060" t="str">
            <v>GPR-SP16M21005</v>
          </cell>
        </row>
        <row r="3060">
          <cell r="W3060">
            <v>0</v>
          </cell>
        </row>
        <row r="3061">
          <cell r="B3061" t="str">
            <v>GPR-MB02L03002</v>
          </cell>
        </row>
        <row r="3061">
          <cell r="W3061">
            <v>0</v>
          </cell>
        </row>
        <row r="3062">
          <cell r="B3062" t="str">
            <v>0123842400</v>
          </cell>
        </row>
        <row r="3062">
          <cell r="W3062">
            <v>0</v>
          </cell>
        </row>
        <row r="3063">
          <cell r="B3063" t="str">
            <v>GPR-EL05M13002</v>
          </cell>
        </row>
        <row r="3063">
          <cell r="W3063">
            <v>0</v>
          </cell>
        </row>
        <row r="3064">
          <cell r="B3064" t="str">
            <v>GPR-EQ42R02002</v>
          </cell>
        </row>
        <row r="3064">
          <cell r="W3064">
            <v>0</v>
          </cell>
        </row>
        <row r="3065">
          <cell r="B3065" t="str">
            <v>VPR-SP10M11003</v>
          </cell>
        </row>
        <row r="3065">
          <cell r="W3065">
            <v>0</v>
          </cell>
        </row>
        <row r="3066">
          <cell r="B3066" t="str">
            <v>6900003010233</v>
          </cell>
        </row>
        <row r="3066">
          <cell r="W3066">
            <v>10</v>
          </cell>
        </row>
        <row r="3067">
          <cell r="B3067" t="str">
            <v>GPR-MB02L13006</v>
          </cell>
        </row>
        <row r="3067">
          <cell r="W3067">
            <v>0</v>
          </cell>
        </row>
        <row r="3068">
          <cell r="B3068" t="str">
            <v>VPR-PT03C15001</v>
          </cell>
        </row>
        <row r="3068">
          <cell r="W3068">
            <v>0</v>
          </cell>
        </row>
        <row r="3069">
          <cell r="B3069" t="str">
            <v>0123842700</v>
          </cell>
        </row>
        <row r="3069">
          <cell r="W3069">
            <v>0</v>
          </cell>
        </row>
        <row r="3070">
          <cell r="B3070" t="str">
            <v>GPR-SP16M21001</v>
          </cell>
        </row>
        <row r="3070">
          <cell r="W3070">
            <v>0</v>
          </cell>
        </row>
        <row r="3071">
          <cell r="B3071" t="str">
            <v>GPR-PT11M21011</v>
          </cell>
        </row>
        <row r="3071">
          <cell r="W3071">
            <v>0</v>
          </cell>
        </row>
        <row r="3072">
          <cell r="B3072" t="str">
            <v>GPR-ME05A01017</v>
          </cell>
        </row>
        <row r="3072">
          <cell r="W3072">
            <v>0</v>
          </cell>
        </row>
        <row r="3073">
          <cell r="B3073" t="str">
            <v>VPR-PL03C01002</v>
          </cell>
        </row>
        <row r="3073">
          <cell r="W3073">
            <v>0</v>
          </cell>
        </row>
        <row r="3074">
          <cell r="B3074" t="str">
            <v>GPR-MB02L13007</v>
          </cell>
        </row>
        <row r="3074">
          <cell r="W3074">
            <v>0</v>
          </cell>
        </row>
        <row r="3075">
          <cell r="B3075" t="str">
            <v>GPR-SP26M03005</v>
          </cell>
        </row>
        <row r="3075">
          <cell r="W3075">
            <v>0</v>
          </cell>
        </row>
        <row r="3076">
          <cell r="B3076" t="str">
            <v>GPR-WD07J05001</v>
          </cell>
        </row>
        <row r="3076">
          <cell r="W3076">
            <v>0</v>
          </cell>
        </row>
        <row r="3077">
          <cell r="B3077" t="str">
            <v>GPR-ME05A01018</v>
          </cell>
        </row>
        <row r="3077">
          <cell r="W3077">
            <v>0</v>
          </cell>
        </row>
        <row r="3078">
          <cell r="B3078" t="str">
            <v>0121617900</v>
          </cell>
        </row>
        <row r="3078">
          <cell r="W3078">
            <v>-6320</v>
          </cell>
        </row>
        <row r="3079">
          <cell r="B3079" t="str">
            <v>GPR-SP16M21002</v>
          </cell>
        </row>
        <row r="3079">
          <cell r="W3079">
            <v>0</v>
          </cell>
        </row>
        <row r="3080">
          <cell r="B3080" t="str">
            <v>GPR-PT08C15001</v>
          </cell>
        </row>
        <row r="3080">
          <cell r="W3080">
            <v>0</v>
          </cell>
        </row>
        <row r="3081">
          <cell r="B3081" t="str">
            <v>GPR-HD19M02014</v>
          </cell>
        </row>
        <row r="3081">
          <cell r="W3081">
            <v>0</v>
          </cell>
        </row>
        <row r="3082">
          <cell r="B3082" t="str">
            <v>GPR-EQ42R02003</v>
          </cell>
        </row>
        <row r="3082">
          <cell r="W3082">
            <v>0</v>
          </cell>
        </row>
        <row r="3083">
          <cell r="B3083" t="str">
            <v>0118228000</v>
          </cell>
        </row>
        <row r="3083">
          <cell r="W3083">
            <v>-50</v>
          </cell>
        </row>
        <row r="3084">
          <cell r="B3084" t="str">
            <v>GPR-MB10S21002</v>
          </cell>
        </row>
        <row r="3084">
          <cell r="W3084">
            <v>0</v>
          </cell>
        </row>
        <row r="3085">
          <cell r="B3085" t="str">
            <v>VPR-HD08M11003</v>
          </cell>
        </row>
        <row r="3085">
          <cell r="W3085">
            <v>0</v>
          </cell>
        </row>
        <row r="3086">
          <cell r="B3086" t="str">
            <v>GPR-SP26M03003</v>
          </cell>
        </row>
        <row r="3086">
          <cell r="W3086">
            <v>0</v>
          </cell>
        </row>
        <row r="3087">
          <cell r="B3087" t="str">
            <v>GPR-WD07J05002</v>
          </cell>
        </row>
        <row r="3087">
          <cell r="W3087">
            <v>0</v>
          </cell>
        </row>
        <row r="3088">
          <cell r="B3088" t="str">
            <v>VPR-HD13M14004</v>
          </cell>
        </row>
        <row r="3088">
          <cell r="W3088">
            <v>0</v>
          </cell>
        </row>
        <row r="3089">
          <cell r="B3089" t="str">
            <v>69000030103197</v>
          </cell>
        </row>
        <row r="3089">
          <cell r="W3089">
            <v>0</v>
          </cell>
        </row>
        <row r="3090">
          <cell r="B3090" t="str">
            <v>GPR-OS03M21004</v>
          </cell>
        </row>
        <row r="3090">
          <cell r="W3090">
            <v>0</v>
          </cell>
        </row>
        <row r="3091">
          <cell r="B3091" t="str">
            <v>GPR-ME05A01019</v>
          </cell>
        </row>
        <row r="3091">
          <cell r="W3091">
            <v>0</v>
          </cell>
        </row>
        <row r="3092">
          <cell r="B3092" t="str">
            <v>GPR-SP26M03004</v>
          </cell>
        </row>
        <row r="3092">
          <cell r="W3092">
            <v>0</v>
          </cell>
        </row>
        <row r="3093">
          <cell r="B3093" t="str">
            <v>GPR-ME05A01041</v>
          </cell>
        </row>
        <row r="3093">
          <cell r="W3093">
            <v>0</v>
          </cell>
        </row>
        <row r="3094">
          <cell r="B3094" t="str">
            <v>GPR-SP26M03002</v>
          </cell>
        </row>
        <row r="3094">
          <cell r="W3094">
            <v>0</v>
          </cell>
        </row>
        <row r="3095">
          <cell r="B3095" t="str">
            <v>GPR-HD13M02002</v>
          </cell>
        </row>
        <row r="3095">
          <cell r="W3095">
            <v>0</v>
          </cell>
        </row>
        <row r="3096">
          <cell r="B3096" t="str">
            <v>GPR-HD19M02015</v>
          </cell>
        </row>
        <row r="3096">
          <cell r="W3096">
            <v>0</v>
          </cell>
        </row>
        <row r="3097">
          <cell r="B3097" t="str">
            <v>6900010080268</v>
          </cell>
        </row>
        <row r="3097">
          <cell r="W3097">
            <v>16</v>
          </cell>
        </row>
        <row r="3098">
          <cell r="B3098" t="str">
            <v>GPR-SP26M03001</v>
          </cell>
        </row>
        <row r="3098">
          <cell r="W3098">
            <v>0</v>
          </cell>
        </row>
        <row r="3099">
          <cell r="B3099" t="str">
            <v>GPR-MB02L01011</v>
          </cell>
        </row>
        <row r="3099">
          <cell r="W3099">
            <v>0</v>
          </cell>
        </row>
        <row r="3100">
          <cell r="B3100" t="str">
            <v>6900005030213</v>
          </cell>
        </row>
        <row r="3100">
          <cell r="W3100">
            <v>0</v>
          </cell>
        </row>
        <row r="3101">
          <cell r="B3101" t="str">
            <v>GPR-ME05A01023</v>
          </cell>
        </row>
        <row r="3101">
          <cell r="W3101">
            <v>0</v>
          </cell>
        </row>
        <row r="3102">
          <cell r="B3102" t="str">
            <v>GPR-HO01C01001</v>
          </cell>
        </row>
        <row r="3102">
          <cell r="W3102">
            <v>0</v>
          </cell>
        </row>
        <row r="3103">
          <cell r="B3103" t="str">
            <v>0119730800</v>
          </cell>
        </row>
        <row r="3103">
          <cell r="W3103">
            <v>-100</v>
          </cell>
        </row>
        <row r="3104">
          <cell r="B3104" t="str">
            <v>GPR-EQ28R02016</v>
          </cell>
        </row>
        <row r="3104">
          <cell r="W3104">
            <v>0</v>
          </cell>
        </row>
        <row r="3105">
          <cell r="B3105" t="str">
            <v>GPR-PT06C01001</v>
          </cell>
        </row>
        <row r="3105">
          <cell r="W3105">
            <v>0</v>
          </cell>
        </row>
        <row r="3106">
          <cell r="B3106" t="str">
            <v>GPR-MB02L00003</v>
          </cell>
        </row>
        <row r="3106">
          <cell r="W3106">
            <v>0</v>
          </cell>
        </row>
        <row r="3107">
          <cell r="B3107" t="str">
            <v>6900010080263</v>
          </cell>
        </row>
        <row r="3107">
          <cell r="W3107">
            <v>60</v>
          </cell>
        </row>
        <row r="3108">
          <cell r="B3108" t="str">
            <v>GPR-ME05A01024</v>
          </cell>
        </row>
        <row r="3108">
          <cell r="W3108">
            <v>0</v>
          </cell>
        </row>
        <row r="3109">
          <cell r="B3109" t="str">
            <v>VPR-HD13M11010</v>
          </cell>
        </row>
        <row r="3109">
          <cell r="W3109">
            <v>0</v>
          </cell>
        </row>
        <row r="3110">
          <cell r="B3110" t="str">
            <v>GPR-ME05A01027</v>
          </cell>
        </row>
        <row r="3110">
          <cell r="W3110">
            <v>0</v>
          </cell>
        </row>
        <row r="3111">
          <cell r="B3111" t="str">
            <v>GPR-PT02M01015</v>
          </cell>
        </row>
        <row r="3111">
          <cell r="W3111">
            <v>0</v>
          </cell>
        </row>
        <row r="3112">
          <cell r="B3112" t="str">
            <v>6900010088712</v>
          </cell>
        </row>
        <row r="3112">
          <cell r="W3112">
            <v>0</v>
          </cell>
        </row>
        <row r="3113">
          <cell r="B3113" t="str">
            <v>GPR-EQ31C00003</v>
          </cell>
        </row>
        <row r="3113">
          <cell r="W3113">
            <v>0</v>
          </cell>
        </row>
        <row r="3114">
          <cell r="B3114" t="str">
            <v>3925900000008</v>
          </cell>
        </row>
        <row r="3114">
          <cell r="W3114">
            <v>0</v>
          </cell>
        </row>
        <row r="3115">
          <cell r="B3115" t="str">
            <v>8424300000018210402</v>
          </cell>
        </row>
        <row r="3115">
          <cell r="W3115">
            <v>2</v>
          </cell>
        </row>
        <row r="3116">
          <cell r="B3116" t="str">
            <v>VPR-HD12M14002</v>
          </cell>
        </row>
        <row r="3116">
          <cell r="W3116">
            <v>0</v>
          </cell>
        </row>
        <row r="3117">
          <cell r="B3117" t="str">
            <v>GPR-ME05A01031</v>
          </cell>
        </row>
        <row r="3117">
          <cell r="W3117">
            <v>0</v>
          </cell>
        </row>
        <row r="3118">
          <cell r="B3118" t="str">
            <v>GPR-EQ28R02013</v>
          </cell>
        </row>
        <row r="3118">
          <cell r="W3118">
            <v>0</v>
          </cell>
        </row>
        <row r="3119">
          <cell r="B3119" t="str">
            <v>GPR-EQ07E01001</v>
          </cell>
        </row>
        <row r="3119">
          <cell r="W3119">
            <v>0</v>
          </cell>
        </row>
        <row r="3120">
          <cell r="B3120" t="str">
            <v>GPR-EQ31C00009</v>
          </cell>
        </row>
        <row r="3120">
          <cell r="W3120">
            <v>0</v>
          </cell>
        </row>
        <row r="3121">
          <cell r="B3121" t="str">
            <v>GPR-EQ42R02001</v>
          </cell>
        </row>
        <row r="3121">
          <cell r="W3121">
            <v>0</v>
          </cell>
        </row>
        <row r="3122">
          <cell r="B3122" t="str">
            <v>GPR-MB02L02001</v>
          </cell>
        </row>
        <row r="3122">
          <cell r="W3122">
            <v>0</v>
          </cell>
        </row>
        <row r="3123">
          <cell r="B3123" t="str">
            <v>GPR-ME05A01036</v>
          </cell>
        </row>
        <row r="3123">
          <cell r="W3123">
            <v>0</v>
          </cell>
        </row>
        <row r="3124">
          <cell r="B3124" t="str">
            <v>GPR-SP00M02010</v>
          </cell>
        </row>
        <row r="3124">
          <cell r="W3124">
            <v>0</v>
          </cell>
        </row>
        <row r="3125">
          <cell r="B3125" t="str">
            <v>GPR-EQ31C00005</v>
          </cell>
        </row>
        <row r="3125">
          <cell r="W3125">
            <v>0</v>
          </cell>
        </row>
        <row r="3126">
          <cell r="B3126" t="str">
            <v>6900012093012</v>
          </cell>
        </row>
        <row r="3126">
          <cell r="W3126">
            <v>-124</v>
          </cell>
        </row>
        <row r="3127">
          <cell r="B3127" t="str">
            <v>GPR-MB02L15001</v>
          </cell>
        </row>
        <row r="3127">
          <cell r="W3127">
            <v>0</v>
          </cell>
        </row>
        <row r="3128">
          <cell r="B3128" t="str">
            <v>GPR-OS03M02001</v>
          </cell>
        </row>
        <row r="3128">
          <cell r="W3128">
            <v>0</v>
          </cell>
        </row>
        <row r="3129">
          <cell r="B3129" t="str">
            <v>GPR-ME05A01044</v>
          </cell>
        </row>
        <row r="3129">
          <cell r="W3129">
            <v>0</v>
          </cell>
        </row>
        <row r="3130">
          <cell r="B3130" t="str">
            <v>GPR-PT02M01004</v>
          </cell>
        </row>
        <row r="3130">
          <cell r="W3130">
            <v>0</v>
          </cell>
        </row>
        <row r="3131">
          <cell r="B3131" t="str">
            <v>GPR-PT02M01018</v>
          </cell>
        </row>
        <row r="3131">
          <cell r="W3131">
            <v>0</v>
          </cell>
        </row>
        <row r="3132">
          <cell r="B3132" t="str">
            <v>830200100008</v>
          </cell>
        </row>
        <row r="3132">
          <cell r="W3132">
            <v>-35</v>
          </cell>
        </row>
        <row r="3133">
          <cell r="B3133" t="str">
            <v>GPR-EQ31C00002</v>
          </cell>
        </row>
        <row r="3133">
          <cell r="W3133">
            <v>0</v>
          </cell>
        </row>
        <row r="3134">
          <cell r="B3134" t="str">
            <v>GPR-ME05A01045</v>
          </cell>
        </row>
        <row r="3134">
          <cell r="W3134">
            <v>0</v>
          </cell>
        </row>
        <row r="3135">
          <cell r="B3135" t="str">
            <v>GPR-ME05A01055</v>
          </cell>
        </row>
        <row r="3135">
          <cell r="W3135">
            <v>0</v>
          </cell>
        </row>
        <row r="3136">
          <cell r="B3136" t="str">
            <v>GPR-EQ28R02019</v>
          </cell>
        </row>
        <row r="3136">
          <cell r="W3136">
            <v>0</v>
          </cell>
        </row>
        <row r="3137">
          <cell r="B3137" t="str">
            <v>011702100</v>
          </cell>
        </row>
        <row r="3137">
          <cell r="W3137">
            <v>20</v>
          </cell>
        </row>
        <row r="3138">
          <cell r="B3138" t="str">
            <v>GPR-EQ31C00010</v>
          </cell>
        </row>
        <row r="3138">
          <cell r="W3138">
            <v>0</v>
          </cell>
        </row>
        <row r="3139">
          <cell r="B3139" t="str">
            <v>0119328600</v>
          </cell>
        </row>
        <row r="3139">
          <cell r="W3139">
            <v>0</v>
          </cell>
        </row>
        <row r="3140">
          <cell r="B3140" t="str">
            <v>VPR-SP16J02001</v>
          </cell>
        </row>
        <row r="3140">
          <cell r="W3140">
            <v>0</v>
          </cell>
        </row>
        <row r="3141">
          <cell r="B3141" t="str">
            <v>GPR-MB02L14005</v>
          </cell>
        </row>
        <row r="3141">
          <cell r="W3141">
            <v>0</v>
          </cell>
        </row>
        <row r="3142">
          <cell r="B3142" t="str">
            <v>VPR-HD05M11002</v>
          </cell>
        </row>
        <row r="3142">
          <cell r="W3142">
            <v>0</v>
          </cell>
        </row>
        <row r="3143">
          <cell r="B3143" t="str">
            <v>GPR-PT02M01019</v>
          </cell>
        </row>
        <row r="3143">
          <cell r="W3143">
            <v>0</v>
          </cell>
        </row>
        <row r="3144">
          <cell r="B3144" t="str">
            <v>GPR-EL18M01004</v>
          </cell>
        </row>
        <row r="3144">
          <cell r="W3144">
            <v>0</v>
          </cell>
        </row>
        <row r="3145">
          <cell r="B3145" t="str">
            <v>40169310000110313105</v>
          </cell>
        </row>
        <row r="3145">
          <cell r="W3145">
            <v>0</v>
          </cell>
        </row>
        <row r="3146">
          <cell r="B3146" t="str">
            <v>VPR-SP16M11003</v>
          </cell>
        </row>
        <row r="3146">
          <cell r="W3146">
            <v>0</v>
          </cell>
        </row>
        <row r="3147">
          <cell r="B3147" t="str">
            <v>0113916800</v>
          </cell>
        </row>
        <row r="3147">
          <cell r="W3147">
            <v>-1</v>
          </cell>
        </row>
        <row r="3148">
          <cell r="B3148" t="str">
            <v>GPR-WD02M22001</v>
          </cell>
        </row>
        <row r="3148">
          <cell r="W3148">
            <v>0</v>
          </cell>
        </row>
        <row r="3149">
          <cell r="B3149" t="str">
            <v>GPR-PT02M01020</v>
          </cell>
        </row>
        <row r="3149">
          <cell r="W3149">
            <v>0</v>
          </cell>
        </row>
        <row r="3150">
          <cell r="B3150" t="str">
            <v>GPR-ME05A01050</v>
          </cell>
        </row>
        <row r="3150">
          <cell r="W3150">
            <v>0</v>
          </cell>
        </row>
        <row r="3151">
          <cell r="B3151" t="str">
            <v>0123837200</v>
          </cell>
        </row>
        <row r="3151">
          <cell r="W3151">
            <v>0</v>
          </cell>
        </row>
        <row r="3152">
          <cell r="B3152" t="str">
            <v>69000030103241</v>
          </cell>
        </row>
        <row r="3152">
          <cell r="W3152">
            <v>0</v>
          </cell>
        </row>
        <row r="3153">
          <cell r="B3153" t="str">
            <v>GPR-EQ31C00011</v>
          </cell>
        </row>
        <row r="3153">
          <cell r="W3153">
            <v>0</v>
          </cell>
        </row>
        <row r="3154">
          <cell r="B3154" t="str">
            <v>GPR-PT02M01022</v>
          </cell>
        </row>
        <row r="3154">
          <cell r="W3154">
            <v>0</v>
          </cell>
        </row>
        <row r="3155">
          <cell r="B3155" t="str">
            <v>GPR-EL03M02001</v>
          </cell>
        </row>
        <row r="3155">
          <cell r="W3155">
            <v>0</v>
          </cell>
        </row>
        <row r="3156">
          <cell r="B3156" t="str">
            <v>0123837000</v>
          </cell>
        </row>
        <row r="3156">
          <cell r="W3156">
            <v>0</v>
          </cell>
        </row>
        <row r="3157">
          <cell r="B3157" t="str">
            <v>GPR-OT02M02013</v>
          </cell>
        </row>
        <row r="3157">
          <cell r="W3157">
            <v>0</v>
          </cell>
        </row>
        <row r="3158">
          <cell r="B3158" t="str">
            <v>VPR-SP16M11002</v>
          </cell>
        </row>
        <row r="3158">
          <cell r="W3158">
            <v>0</v>
          </cell>
        </row>
        <row r="3159">
          <cell r="B3159" t="str">
            <v>GPR-ME05A01052</v>
          </cell>
        </row>
        <row r="3159">
          <cell r="W3159">
            <v>0</v>
          </cell>
        </row>
        <row r="3160">
          <cell r="B3160" t="str">
            <v>GPR-MB02L14001</v>
          </cell>
        </row>
        <row r="3160">
          <cell r="W3160">
            <v>0</v>
          </cell>
        </row>
        <row r="3161">
          <cell r="B3161" t="str">
            <v>GPR-EQ28M21003</v>
          </cell>
        </row>
        <row r="3161">
          <cell r="W3161">
            <v>0</v>
          </cell>
        </row>
        <row r="3162">
          <cell r="B3162" t="str">
            <v>GPR-PT02M01021</v>
          </cell>
        </row>
        <row r="3162">
          <cell r="W3162">
            <v>0</v>
          </cell>
        </row>
        <row r="3163">
          <cell r="B3163" t="str">
            <v>GPR-EQ31C00006</v>
          </cell>
        </row>
        <row r="3163">
          <cell r="W3163">
            <v>0</v>
          </cell>
        </row>
        <row r="3164">
          <cell r="B3164" t="str">
            <v>102470</v>
          </cell>
        </row>
        <row r="3164">
          <cell r="W3164">
            <v>0</v>
          </cell>
        </row>
        <row r="3165">
          <cell r="B3165" t="str">
            <v>GPR-PT11M21001</v>
          </cell>
        </row>
        <row r="3165">
          <cell r="W3165">
            <v>0</v>
          </cell>
        </row>
        <row r="3166">
          <cell r="B3166" t="str">
            <v>GPR-MB02L11001</v>
          </cell>
        </row>
        <row r="3166">
          <cell r="W3166">
            <v>0</v>
          </cell>
        </row>
        <row r="3167">
          <cell r="B3167" t="str">
            <v>0123837300</v>
          </cell>
        </row>
        <row r="3167">
          <cell r="W3167">
            <v>0</v>
          </cell>
        </row>
        <row r="3168">
          <cell r="B3168" t="str">
            <v>VPR-EL05M11001</v>
          </cell>
        </row>
        <row r="3168">
          <cell r="W3168">
            <v>0</v>
          </cell>
        </row>
        <row r="3169">
          <cell r="B3169" t="str">
            <v>GPR-EQ31C00008</v>
          </cell>
        </row>
        <row r="3169">
          <cell r="W3169">
            <v>0</v>
          </cell>
        </row>
        <row r="3170">
          <cell r="B3170" t="str">
            <v>GPR-PT02M01005</v>
          </cell>
        </row>
        <row r="3170">
          <cell r="W3170">
            <v>0</v>
          </cell>
        </row>
        <row r="3171">
          <cell r="B3171" t="str">
            <v>GPR-ME05A01053</v>
          </cell>
        </row>
        <row r="3171">
          <cell r="W3171">
            <v>0</v>
          </cell>
        </row>
        <row r="3172">
          <cell r="B3172" t="str">
            <v>GPR-PL02E01073</v>
          </cell>
        </row>
        <row r="3172">
          <cell r="W3172">
            <v>0</v>
          </cell>
        </row>
        <row r="3173">
          <cell r="B3173" t="str">
            <v>GPR-EQ28M21004</v>
          </cell>
        </row>
        <row r="3173">
          <cell r="W3173">
            <v>0</v>
          </cell>
        </row>
        <row r="3174">
          <cell r="B3174" t="str">
            <v>GPR-MB02L15004</v>
          </cell>
        </row>
        <row r="3174">
          <cell r="W3174">
            <v>0</v>
          </cell>
        </row>
        <row r="3175">
          <cell r="B3175" t="str">
            <v>GPR-PT02M01023</v>
          </cell>
        </row>
        <row r="3175">
          <cell r="W3175">
            <v>0</v>
          </cell>
        </row>
        <row r="3176">
          <cell r="B3176" t="str">
            <v>GPR-PL02E01002</v>
          </cell>
        </row>
        <row r="3176">
          <cell r="W3176">
            <v>-0.0036</v>
          </cell>
        </row>
        <row r="3177">
          <cell r="B3177" t="str">
            <v>0123837700</v>
          </cell>
        </row>
        <row r="3177">
          <cell r="W3177">
            <v>0</v>
          </cell>
        </row>
        <row r="3178">
          <cell r="B3178" t="str">
            <v>GPR-SP16J02003</v>
          </cell>
        </row>
        <row r="3178">
          <cell r="W3178">
            <v>0</v>
          </cell>
        </row>
        <row r="3179">
          <cell r="B3179" t="str">
            <v>8011021823</v>
          </cell>
        </row>
        <row r="3179">
          <cell r="W3179">
            <v>0</v>
          </cell>
        </row>
        <row r="3180">
          <cell r="B3180" t="str">
            <v>GPR-ME05A01056</v>
          </cell>
        </row>
        <row r="3180">
          <cell r="W3180">
            <v>0</v>
          </cell>
        </row>
        <row r="3181">
          <cell r="B3181" t="str">
            <v>GPR-EQ31C00004</v>
          </cell>
        </row>
        <row r="3181">
          <cell r="W3181">
            <v>0</v>
          </cell>
        </row>
        <row r="3182">
          <cell r="B3182" t="str">
            <v>0123840400</v>
          </cell>
        </row>
        <row r="3182">
          <cell r="W3182">
            <v>0</v>
          </cell>
        </row>
        <row r="3183">
          <cell r="B3183" t="str">
            <v>381600000004</v>
          </cell>
        </row>
        <row r="3183">
          <cell r="W3183">
            <v>30</v>
          </cell>
        </row>
        <row r="3184">
          <cell r="B3184" t="str">
            <v>GPR-PT02M01025</v>
          </cell>
        </row>
        <row r="3184">
          <cell r="W3184">
            <v>0</v>
          </cell>
        </row>
        <row r="3185">
          <cell r="B3185" t="str">
            <v>GPR-PL02C01005</v>
          </cell>
        </row>
        <row r="3185">
          <cell r="W3185">
            <v>-0.0001</v>
          </cell>
        </row>
        <row r="3186">
          <cell r="B3186" t="str">
            <v>GPR-SP16J02001</v>
          </cell>
        </row>
        <row r="3186">
          <cell r="W3186">
            <v>0</v>
          </cell>
        </row>
        <row r="3187">
          <cell r="B3187" t="str">
            <v>GPR-PL02E01006</v>
          </cell>
        </row>
        <row r="3187">
          <cell r="W3187">
            <v>0</v>
          </cell>
        </row>
        <row r="3188">
          <cell r="B3188" t="str">
            <v>0113216700</v>
          </cell>
        </row>
        <row r="3188">
          <cell r="W3188">
            <v>0</v>
          </cell>
        </row>
        <row r="3189">
          <cell r="B3189" t="str">
            <v>69000030103158</v>
          </cell>
        </row>
        <row r="3189">
          <cell r="W3189">
            <v>2089</v>
          </cell>
        </row>
        <row r="3190">
          <cell r="B3190" t="str">
            <v>GPR-MB02L01004</v>
          </cell>
        </row>
        <row r="3190">
          <cell r="W3190">
            <v>0</v>
          </cell>
        </row>
        <row r="3191">
          <cell r="B3191" t="str">
            <v>GPR-SP20H33002</v>
          </cell>
        </row>
        <row r="3191">
          <cell r="W3191">
            <v>0</v>
          </cell>
        </row>
        <row r="3192">
          <cell r="B3192" t="str">
            <v>GPR-EQ37G00001</v>
          </cell>
        </row>
        <row r="3192">
          <cell r="W3192">
            <v>0</v>
          </cell>
        </row>
        <row r="3193">
          <cell r="B3193" t="str">
            <v>GPR-PT02M01027</v>
          </cell>
        </row>
        <row r="3193">
          <cell r="W3193">
            <v>0</v>
          </cell>
        </row>
        <row r="3194">
          <cell r="B3194" t="str">
            <v>6900010080219</v>
          </cell>
        </row>
        <row r="3194">
          <cell r="W3194">
            <v>0</v>
          </cell>
        </row>
        <row r="3195">
          <cell r="B3195" t="str">
            <v>GPR-PT02M01026</v>
          </cell>
        </row>
        <row r="3195">
          <cell r="W3195">
            <v>0</v>
          </cell>
        </row>
        <row r="3196">
          <cell r="B3196" t="str">
            <v>GPR-EL26C01002</v>
          </cell>
        </row>
        <row r="3196">
          <cell r="W3196">
            <v>0</v>
          </cell>
        </row>
        <row r="3197">
          <cell r="B3197" t="str">
            <v>0119731300</v>
          </cell>
        </row>
        <row r="3197">
          <cell r="W3197">
            <v>0</v>
          </cell>
        </row>
        <row r="3198">
          <cell r="B3198" t="str">
            <v>0113216500</v>
          </cell>
        </row>
        <row r="3198">
          <cell r="W3198">
            <v>0</v>
          </cell>
        </row>
        <row r="3199">
          <cell r="B3199" t="str">
            <v>69000030103167</v>
          </cell>
        </row>
        <row r="3199">
          <cell r="W3199">
            <v>0</v>
          </cell>
        </row>
        <row r="3200">
          <cell r="B3200" t="str">
            <v>GPR-SP19M21007</v>
          </cell>
        </row>
        <row r="3200">
          <cell r="W3200">
            <v>0</v>
          </cell>
        </row>
        <row r="3201">
          <cell r="B3201" t="str">
            <v>GPR-PT02M01006</v>
          </cell>
        </row>
        <row r="3201">
          <cell r="W3201">
            <v>0</v>
          </cell>
        </row>
        <row r="3202">
          <cell r="B3202" t="str">
            <v>0113216600</v>
          </cell>
        </row>
        <row r="3202">
          <cell r="W3202">
            <v>0</v>
          </cell>
        </row>
        <row r="3203">
          <cell r="B3203" t="str">
            <v>GPR-SP00M21025</v>
          </cell>
        </row>
        <row r="3203">
          <cell r="W3203">
            <v>0</v>
          </cell>
        </row>
        <row r="3204">
          <cell r="B3204" t="str">
            <v>0123842100</v>
          </cell>
        </row>
        <row r="3204">
          <cell r="W3204">
            <v>0</v>
          </cell>
        </row>
        <row r="3205">
          <cell r="B3205" t="str">
            <v>GPR-HO03K01001</v>
          </cell>
        </row>
        <row r="3205">
          <cell r="W3205">
            <v>0</v>
          </cell>
        </row>
        <row r="3206">
          <cell r="B3206" t="str">
            <v>GPR-HO11M15001</v>
          </cell>
        </row>
        <row r="3206">
          <cell r="W3206">
            <v>0</v>
          </cell>
        </row>
        <row r="3207">
          <cell r="B3207" t="str">
            <v>GPR-SP22M21005</v>
          </cell>
        </row>
        <row r="3207">
          <cell r="W3207">
            <v>0</v>
          </cell>
        </row>
        <row r="3208">
          <cell r="B3208" t="str">
            <v>GPR-ME05A01057</v>
          </cell>
        </row>
        <row r="3208">
          <cell r="W3208">
            <v>0</v>
          </cell>
        </row>
        <row r="3209">
          <cell r="B3209" t="str">
            <v>GPR-SP19M21006</v>
          </cell>
        </row>
        <row r="3209">
          <cell r="W3209">
            <v>0</v>
          </cell>
        </row>
        <row r="3210">
          <cell r="B3210" t="str">
            <v>100103</v>
          </cell>
        </row>
        <row r="3210">
          <cell r="W3210">
            <v>0</v>
          </cell>
        </row>
        <row r="3211">
          <cell r="B3211" t="str">
            <v>6900003010283</v>
          </cell>
        </row>
        <row r="3211">
          <cell r="W3211">
            <v>16</v>
          </cell>
        </row>
        <row r="3212">
          <cell r="B3212" t="str">
            <v>381600000003</v>
          </cell>
        </row>
        <row r="3212">
          <cell r="W3212">
            <v>-37</v>
          </cell>
        </row>
        <row r="3213">
          <cell r="B3213" t="str">
            <v>GPR-PT02M01029</v>
          </cell>
        </row>
        <row r="3213">
          <cell r="W3213">
            <v>0</v>
          </cell>
        </row>
        <row r="3214">
          <cell r="B3214" t="str">
            <v>4412390090001</v>
          </cell>
        </row>
        <row r="3214">
          <cell r="W3214">
            <v>0</v>
          </cell>
        </row>
        <row r="3215">
          <cell r="B3215" t="str">
            <v>GPR-WC01R13001</v>
          </cell>
        </row>
        <row r="3215">
          <cell r="W3215">
            <v>0</v>
          </cell>
        </row>
        <row r="3216">
          <cell r="B3216" t="str">
            <v>GPR-PT11M02001</v>
          </cell>
        </row>
        <row r="3216">
          <cell r="W3216">
            <v>0</v>
          </cell>
        </row>
        <row r="3217">
          <cell r="B3217" t="str">
            <v>GPR-PL02E01064</v>
          </cell>
        </row>
        <row r="3217">
          <cell r="W3217">
            <v>0</v>
          </cell>
        </row>
        <row r="3218">
          <cell r="B3218" t="str">
            <v>GPR-HO02C15001</v>
          </cell>
        </row>
        <row r="3218">
          <cell r="W3218">
            <v>0</v>
          </cell>
        </row>
        <row r="3219">
          <cell r="B3219" t="str">
            <v>GPR-HD04M21010</v>
          </cell>
        </row>
        <row r="3219">
          <cell r="W3219">
            <v>0</v>
          </cell>
        </row>
        <row r="3220">
          <cell r="B3220" t="str">
            <v>0118022700</v>
          </cell>
        </row>
        <row r="3220">
          <cell r="W3220">
            <v>0</v>
          </cell>
        </row>
        <row r="3221">
          <cell r="B3221" t="str">
            <v>6900010082513</v>
          </cell>
        </row>
        <row r="3221">
          <cell r="W3221">
            <v>-10</v>
          </cell>
        </row>
        <row r="3222">
          <cell r="B3222" t="str">
            <v>GPR-PL02E01009</v>
          </cell>
        </row>
        <row r="3222">
          <cell r="W3222">
            <v>0</v>
          </cell>
        </row>
        <row r="3223">
          <cell r="B3223" t="str">
            <v>GPR-ME05A01059</v>
          </cell>
        </row>
        <row r="3223">
          <cell r="W3223">
            <v>0</v>
          </cell>
        </row>
        <row r="3224">
          <cell r="B3224" t="str">
            <v>GPR-PT02M01007</v>
          </cell>
        </row>
        <row r="3224">
          <cell r="W3224">
            <v>0</v>
          </cell>
        </row>
        <row r="3225">
          <cell r="B3225" t="str">
            <v>102574</v>
          </cell>
        </row>
        <row r="3225">
          <cell r="W3225">
            <v>0</v>
          </cell>
        </row>
        <row r="3226">
          <cell r="B3226" t="str">
            <v>GPR-SP19M21010</v>
          </cell>
        </row>
        <row r="3226">
          <cell r="W3226">
            <v>0</v>
          </cell>
        </row>
        <row r="3227">
          <cell r="B3227" t="str">
            <v>GPR-PL02E01052</v>
          </cell>
        </row>
        <row r="3227">
          <cell r="W3227">
            <v>0</v>
          </cell>
        </row>
        <row r="3228">
          <cell r="B3228" t="str">
            <v>GPR-SP00M02020</v>
          </cell>
        </row>
        <row r="3228">
          <cell r="W3228">
            <v>0</v>
          </cell>
        </row>
        <row r="3229">
          <cell r="B3229" t="str">
            <v>VPR-SP17M21001</v>
          </cell>
        </row>
        <row r="3229">
          <cell r="W3229">
            <v>0</v>
          </cell>
        </row>
        <row r="3230">
          <cell r="B3230" t="str">
            <v>GPR-EQ28R02004</v>
          </cell>
        </row>
        <row r="3230">
          <cell r="W3230">
            <v>0</v>
          </cell>
        </row>
        <row r="3231">
          <cell r="B3231" t="str">
            <v>GPR-PN03C03001</v>
          </cell>
        </row>
        <row r="3231">
          <cell r="W3231">
            <v>0</v>
          </cell>
        </row>
        <row r="3232">
          <cell r="B3232" t="str">
            <v>GPR-ME05A01062</v>
          </cell>
        </row>
        <row r="3232">
          <cell r="W3232">
            <v>0</v>
          </cell>
        </row>
        <row r="3233">
          <cell r="B3233" t="str">
            <v>GPR-EL26C01001</v>
          </cell>
        </row>
        <row r="3233">
          <cell r="W3233">
            <v>0</v>
          </cell>
        </row>
        <row r="3234">
          <cell r="B3234" t="str">
            <v>GPR-PT02M01008</v>
          </cell>
        </row>
        <row r="3234">
          <cell r="W3234">
            <v>0</v>
          </cell>
        </row>
        <row r="3235">
          <cell r="B3235" t="str">
            <v>GPR-MB09C01001</v>
          </cell>
        </row>
        <row r="3235">
          <cell r="W3235">
            <v>0</v>
          </cell>
        </row>
        <row r="3236">
          <cell r="B3236" t="str">
            <v>GPR-MB08L13001</v>
          </cell>
        </row>
        <row r="3236">
          <cell r="W3236">
            <v>0</v>
          </cell>
        </row>
        <row r="3237">
          <cell r="B3237" t="str">
            <v>GPR-HO03K01002</v>
          </cell>
        </row>
        <row r="3237">
          <cell r="W3237">
            <v>0</v>
          </cell>
        </row>
        <row r="3238">
          <cell r="B3238" t="str">
            <v>0123839100</v>
          </cell>
        </row>
        <row r="3238">
          <cell r="W3238">
            <v>0</v>
          </cell>
        </row>
        <row r="3239">
          <cell r="B3239" t="str">
            <v>0114918000</v>
          </cell>
        </row>
        <row r="3239">
          <cell r="W3239">
            <v>0</v>
          </cell>
        </row>
        <row r="3240">
          <cell r="B3240" t="str">
            <v>GPR-OS02M03002</v>
          </cell>
        </row>
        <row r="3240">
          <cell r="W3240">
            <v>0</v>
          </cell>
        </row>
        <row r="3241">
          <cell r="B3241" t="str">
            <v>GPR-PT02M01010</v>
          </cell>
        </row>
        <row r="3241">
          <cell r="W3241">
            <v>0</v>
          </cell>
        </row>
        <row r="3242">
          <cell r="B3242" t="str">
            <v>GPR-HO02C03001</v>
          </cell>
        </row>
        <row r="3242">
          <cell r="W3242">
            <v>0</v>
          </cell>
        </row>
        <row r="3243">
          <cell r="B3243" t="str">
            <v>GPR-MB09C01002</v>
          </cell>
        </row>
        <row r="3243">
          <cell r="W3243">
            <v>0</v>
          </cell>
        </row>
        <row r="3244">
          <cell r="B3244" t="str">
            <v>6900010101413</v>
          </cell>
        </row>
        <row r="3244">
          <cell r="W3244">
            <v>1</v>
          </cell>
        </row>
        <row r="3245">
          <cell r="B3245" t="str">
            <v>GPR-SP19M21016</v>
          </cell>
        </row>
        <row r="3245">
          <cell r="W3245">
            <v>0</v>
          </cell>
        </row>
        <row r="3246">
          <cell r="B3246" t="str">
            <v>VPR-HD13M11009</v>
          </cell>
        </row>
        <row r="3246">
          <cell r="W3246">
            <v>0</v>
          </cell>
        </row>
        <row r="3247">
          <cell r="B3247" t="str">
            <v>102471</v>
          </cell>
        </row>
        <row r="3247">
          <cell r="W3247">
            <v>0</v>
          </cell>
        </row>
        <row r="3248">
          <cell r="B3248" t="str">
            <v>GPR-OS02M03003</v>
          </cell>
        </row>
        <row r="3248">
          <cell r="W3248">
            <v>0</v>
          </cell>
        </row>
        <row r="3249">
          <cell r="B3249" t="str">
            <v>GPR-PT02M01011</v>
          </cell>
        </row>
        <row r="3249">
          <cell r="W3249">
            <v>0</v>
          </cell>
        </row>
        <row r="3250">
          <cell r="B3250" t="str">
            <v>0117822200</v>
          </cell>
        </row>
        <row r="3250">
          <cell r="W3250">
            <v>0</v>
          </cell>
        </row>
        <row r="3251">
          <cell r="B3251" t="str">
            <v>6900010101412</v>
          </cell>
        </row>
        <row r="3251">
          <cell r="W3251">
            <v>1</v>
          </cell>
        </row>
        <row r="3252">
          <cell r="B3252" t="str">
            <v>GPR-SP19M21017</v>
          </cell>
        </row>
        <row r="3252">
          <cell r="W3252">
            <v>0</v>
          </cell>
        </row>
        <row r="3253">
          <cell r="B3253" t="str">
            <v>GPR-ME05A01063</v>
          </cell>
        </row>
        <row r="3253">
          <cell r="W3253">
            <v>0</v>
          </cell>
        </row>
        <row r="3254">
          <cell r="B3254" t="str">
            <v>GPR-PT02M01013</v>
          </cell>
        </row>
        <row r="3254">
          <cell r="W3254">
            <v>0</v>
          </cell>
        </row>
        <row r="3255">
          <cell r="B3255" t="str">
            <v>GPR-OS02M03004</v>
          </cell>
        </row>
        <row r="3255">
          <cell r="W3255">
            <v>0</v>
          </cell>
        </row>
        <row r="3256">
          <cell r="B3256" t="str">
            <v>GPR-SP19M21014</v>
          </cell>
        </row>
        <row r="3256">
          <cell r="W3256">
            <v>0</v>
          </cell>
        </row>
        <row r="3257">
          <cell r="B3257" t="str">
            <v>0118325900</v>
          </cell>
        </row>
        <row r="3257">
          <cell r="W3257">
            <v>0</v>
          </cell>
        </row>
        <row r="3258">
          <cell r="B3258" t="str">
            <v>6900010106813</v>
          </cell>
        </row>
        <row r="3258">
          <cell r="W3258">
            <v>0</v>
          </cell>
        </row>
        <row r="3259">
          <cell r="B3259" t="str">
            <v>3005901000003</v>
          </cell>
        </row>
        <row r="3259">
          <cell r="W3259">
            <v>0</v>
          </cell>
        </row>
        <row r="3260">
          <cell r="B3260" t="str">
            <v>GPR-EL05M21003</v>
          </cell>
        </row>
        <row r="3260">
          <cell r="W3260">
            <v>0</v>
          </cell>
        </row>
        <row r="3261">
          <cell r="B3261" t="str">
            <v>GPR-PT02M01009</v>
          </cell>
        </row>
        <row r="3261">
          <cell r="W3261">
            <v>0</v>
          </cell>
        </row>
        <row r="3262">
          <cell r="B3262" t="str">
            <v>GPR-ME05A01065</v>
          </cell>
        </row>
        <row r="3262">
          <cell r="W3262">
            <v>0</v>
          </cell>
        </row>
        <row r="3263">
          <cell r="B3263" t="str">
            <v>69000030103271</v>
          </cell>
        </row>
        <row r="3263">
          <cell r="W3263">
            <v>0</v>
          </cell>
        </row>
        <row r="3264">
          <cell r="B3264" t="str">
            <v>GPR-PL02E01063</v>
          </cell>
        </row>
        <row r="3264">
          <cell r="W3264">
            <v>-0.0036</v>
          </cell>
        </row>
        <row r="3265">
          <cell r="B3265" t="str">
            <v>69000030103146</v>
          </cell>
        </row>
        <row r="3265">
          <cell r="W3265">
            <v>0</v>
          </cell>
        </row>
        <row r="3266">
          <cell r="B3266" t="str">
            <v>0123842600</v>
          </cell>
        </row>
        <row r="3266">
          <cell r="W3266">
            <v>0</v>
          </cell>
        </row>
        <row r="3267">
          <cell r="B3267" t="str">
            <v>69000030102810</v>
          </cell>
        </row>
        <row r="3267">
          <cell r="W3267">
            <v>0</v>
          </cell>
        </row>
        <row r="3268">
          <cell r="B3268" t="str">
            <v>GPR-PT02M01012</v>
          </cell>
        </row>
        <row r="3268">
          <cell r="W3268">
            <v>0</v>
          </cell>
        </row>
        <row r="3269">
          <cell r="B3269" t="str">
            <v>6900010106812</v>
          </cell>
        </row>
        <row r="3269">
          <cell r="W3269">
            <v>0</v>
          </cell>
        </row>
        <row r="3270">
          <cell r="B3270" t="str">
            <v>GPR-OS02M03006</v>
          </cell>
        </row>
        <row r="3270">
          <cell r="W3270">
            <v>0</v>
          </cell>
        </row>
        <row r="3271">
          <cell r="B3271" t="str">
            <v>GPR-ME05A01066</v>
          </cell>
        </row>
        <row r="3271">
          <cell r="W3271">
            <v>0</v>
          </cell>
        </row>
        <row r="3272">
          <cell r="B3272" t="str">
            <v>GPR-SP19M21003</v>
          </cell>
        </row>
        <row r="3272">
          <cell r="W3272">
            <v>0</v>
          </cell>
        </row>
        <row r="3273">
          <cell r="B3273" t="str">
            <v>GPR-EQ28R02007</v>
          </cell>
        </row>
        <row r="3273">
          <cell r="W3273">
            <v>0</v>
          </cell>
        </row>
        <row r="3274">
          <cell r="B3274" t="str">
            <v>102338</v>
          </cell>
        </row>
        <row r="3274">
          <cell r="W3274">
            <v>0</v>
          </cell>
        </row>
        <row r="3275">
          <cell r="B3275" t="str">
            <v>GPR-PP03C01003</v>
          </cell>
        </row>
        <row r="3275">
          <cell r="W3275">
            <v>0</v>
          </cell>
        </row>
        <row r="3276">
          <cell r="B3276" t="str">
            <v>GPR-WD01M02002</v>
          </cell>
        </row>
        <row r="3276">
          <cell r="W3276">
            <v>0</v>
          </cell>
        </row>
        <row r="3277">
          <cell r="B3277" t="str">
            <v>GPR-OT02M02021</v>
          </cell>
        </row>
        <row r="3277">
          <cell r="W3277">
            <v>0</v>
          </cell>
        </row>
        <row r="3278">
          <cell r="B3278" t="str">
            <v>GPR-SP19M21004</v>
          </cell>
        </row>
        <row r="3278">
          <cell r="W3278">
            <v>0</v>
          </cell>
        </row>
        <row r="3279">
          <cell r="B3279" t="str">
            <v>6114300090001</v>
          </cell>
        </row>
        <row r="3279">
          <cell r="W3279">
            <v>0</v>
          </cell>
        </row>
        <row r="3280">
          <cell r="B3280" t="str">
            <v>VPR-SP13M21001</v>
          </cell>
        </row>
        <row r="3280">
          <cell r="W3280">
            <v>20</v>
          </cell>
        </row>
        <row r="3281">
          <cell r="B3281" t="str">
            <v>6114300090002</v>
          </cell>
        </row>
        <row r="3281">
          <cell r="W3281">
            <v>0</v>
          </cell>
        </row>
        <row r="3282">
          <cell r="B3282" t="str">
            <v>6900010080225</v>
          </cell>
        </row>
        <row r="3282">
          <cell r="W3282">
            <v>0</v>
          </cell>
        </row>
        <row r="3283">
          <cell r="B3283" t="str">
            <v>GPR-ME05A01067</v>
          </cell>
        </row>
        <row r="3283">
          <cell r="W3283">
            <v>0</v>
          </cell>
        </row>
        <row r="3284">
          <cell r="B3284" t="str">
            <v>6114300090003</v>
          </cell>
        </row>
        <row r="3284">
          <cell r="W3284">
            <v>0</v>
          </cell>
        </row>
        <row r="3285">
          <cell r="B3285" t="str">
            <v>GPR-PP03C01004</v>
          </cell>
        </row>
        <row r="3285">
          <cell r="W3285">
            <v>0</v>
          </cell>
        </row>
        <row r="3286">
          <cell r="B3286" t="str">
            <v>6900005030119</v>
          </cell>
        </row>
        <row r="3286">
          <cell r="W3286">
            <v>19</v>
          </cell>
        </row>
        <row r="3287">
          <cell r="B3287" t="str">
            <v>GPR-PL02E01075</v>
          </cell>
        </row>
        <row r="3287">
          <cell r="W3287">
            <v>0</v>
          </cell>
        </row>
        <row r="3288">
          <cell r="B3288" t="str">
            <v>6900012093011</v>
          </cell>
        </row>
        <row r="3288">
          <cell r="W3288">
            <v>0</v>
          </cell>
        </row>
        <row r="3289">
          <cell r="B3289" t="str">
            <v>0123839900</v>
          </cell>
        </row>
        <row r="3289">
          <cell r="W3289">
            <v>0</v>
          </cell>
        </row>
        <row r="3290">
          <cell r="B3290" t="str">
            <v>VPR-HS07C00002</v>
          </cell>
        </row>
        <row r="3290">
          <cell r="W3290">
            <v>0</v>
          </cell>
        </row>
        <row r="3291">
          <cell r="B3291" t="str">
            <v>VPR-EQ07P01001</v>
          </cell>
        </row>
        <row r="3291">
          <cell r="W3291">
            <v>0</v>
          </cell>
        </row>
        <row r="3292">
          <cell r="B3292" t="str">
            <v>GPR-SP02M21003</v>
          </cell>
        </row>
        <row r="3292">
          <cell r="W3292">
            <v>0</v>
          </cell>
        </row>
        <row r="3293">
          <cell r="B3293" t="str">
            <v>GPR-SP26T01002</v>
          </cell>
        </row>
        <row r="3293">
          <cell r="W3293">
            <v>0</v>
          </cell>
        </row>
        <row r="3294">
          <cell r="B3294" t="str">
            <v>GPR-PL02E01072</v>
          </cell>
        </row>
        <row r="3294">
          <cell r="W3294">
            <v>0</v>
          </cell>
        </row>
        <row r="3295">
          <cell r="B3295" t="str">
            <v>GPR-EQ28R02010</v>
          </cell>
        </row>
        <row r="3295">
          <cell r="W3295">
            <v>0</v>
          </cell>
        </row>
        <row r="3296">
          <cell r="B3296" t="str">
            <v>GPR-PP03C01005</v>
          </cell>
        </row>
        <row r="3296">
          <cell r="W3296">
            <v>0</v>
          </cell>
        </row>
        <row r="3297">
          <cell r="B3297" t="str">
            <v>6900010080227</v>
          </cell>
        </row>
        <row r="3297">
          <cell r="W3297">
            <v>0</v>
          </cell>
        </row>
        <row r="3298">
          <cell r="B3298" t="str">
            <v>102237</v>
          </cell>
        </row>
        <row r="3298">
          <cell r="W3298">
            <v>0</v>
          </cell>
        </row>
        <row r="3299">
          <cell r="B3299" t="str">
            <v>GPR-SP00M21028</v>
          </cell>
        </row>
        <row r="3299">
          <cell r="W3299">
            <v>0</v>
          </cell>
        </row>
        <row r="3300">
          <cell r="B3300" t="str">
            <v>7307920000004</v>
          </cell>
        </row>
        <row r="3300">
          <cell r="W3300">
            <v>1000</v>
          </cell>
        </row>
        <row r="3301">
          <cell r="B3301" t="str">
            <v>VPR-SP02M21002</v>
          </cell>
        </row>
        <row r="3301">
          <cell r="W3301">
            <v>0</v>
          </cell>
        </row>
        <row r="3302">
          <cell r="B3302" t="str">
            <v>GPR-PL02E01003</v>
          </cell>
        </row>
        <row r="3302">
          <cell r="W3302">
            <v>-0.0002</v>
          </cell>
        </row>
        <row r="3303">
          <cell r="B3303" t="str">
            <v>GPR-SP35M01001</v>
          </cell>
        </row>
        <row r="3303">
          <cell r="W3303">
            <v>0</v>
          </cell>
        </row>
        <row r="3304">
          <cell r="B3304" t="str">
            <v>GPR-ME05A01068</v>
          </cell>
        </row>
        <row r="3304">
          <cell r="W3304">
            <v>0</v>
          </cell>
        </row>
        <row r="3305">
          <cell r="B3305" t="str">
            <v>GPR-SP32C01001</v>
          </cell>
        </row>
        <row r="3305">
          <cell r="W3305">
            <v>0</v>
          </cell>
        </row>
        <row r="3306">
          <cell r="B3306" t="str">
            <v>GPR-WD02M22003</v>
          </cell>
        </row>
        <row r="3306">
          <cell r="W3306">
            <v>0</v>
          </cell>
        </row>
        <row r="3307">
          <cell r="B3307" t="str">
            <v>69000030103159</v>
          </cell>
        </row>
        <row r="3307">
          <cell r="W3307">
            <v>0</v>
          </cell>
        </row>
        <row r="3308">
          <cell r="B3308" t="str">
            <v>GPR-MB34C33006</v>
          </cell>
        </row>
        <row r="3308">
          <cell r="W3308">
            <v>0</v>
          </cell>
        </row>
        <row r="3309">
          <cell r="B3309" t="str">
            <v>6900010080229</v>
          </cell>
        </row>
        <row r="3309">
          <cell r="W3309">
            <v>0</v>
          </cell>
        </row>
        <row r="3310">
          <cell r="B3310" t="str">
            <v>3926909090011</v>
          </cell>
        </row>
        <row r="3310">
          <cell r="W3310">
            <v>0</v>
          </cell>
        </row>
        <row r="3311">
          <cell r="B3311" t="str">
            <v>6900010080248</v>
          </cell>
        </row>
        <row r="3311">
          <cell r="W3311">
            <v>0</v>
          </cell>
        </row>
        <row r="3312">
          <cell r="B3312" t="str">
            <v>GPR-PL02E01004</v>
          </cell>
        </row>
        <row r="3312">
          <cell r="W3312">
            <v>-0.0032</v>
          </cell>
        </row>
        <row r="3313">
          <cell r="B3313" t="str">
            <v>GPR-EQ28R02001</v>
          </cell>
        </row>
        <row r="3313">
          <cell r="W3313">
            <v>0</v>
          </cell>
        </row>
        <row r="3314">
          <cell r="B3314" t="str">
            <v>GPR-SP00M02011</v>
          </cell>
        </row>
        <row r="3314">
          <cell r="W3314">
            <v>0</v>
          </cell>
        </row>
        <row r="3315">
          <cell r="B3315" t="str">
            <v>GPR-HD19M02006</v>
          </cell>
        </row>
        <row r="3315">
          <cell r="W3315">
            <v>0</v>
          </cell>
        </row>
        <row r="3316">
          <cell r="B3316" t="str">
            <v>GPR-ME05A01006</v>
          </cell>
        </row>
        <row r="3316">
          <cell r="W3316">
            <v>0</v>
          </cell>
        </row>
        <row r="3317">
          <cell r="B3317" t="str">
            <v>GPR-WD01M02005</v>
          </cell>
        </row>
        <row r="3317">
          <cell r="W3317">
            <v>0</v>
          </cell>
        </row>
        <row r="3318">
          <cell r="B3318" t="str">
            <v>GPR-WD03M23001</v>
          </cell>
        </row>
        <row r="3318">
          <cell r="W3318">
            <v>0</v>
          </cell>
        </row>
        <row r="3319">
          <cell r="B3319" t="str">
            <v>GPR-HD19M02007</v>
          </cell>
        </row>
        <row r="3319">
          <cell r="W3319">
            <v>0</v>
          </cell>
        </row>
        <row r="3320">
          <cell r="B3320" t="str">
            <v>GPR-PL02E01007</v>
          </cell>
        </row>
        <row r="3320">
          <cell r="W3320">
            <v>0.0032</v>
          </cell>
        </row>
        <row r="3321">
          <cell r="B3321" t="str">
            <v>GPR-MB18A01001</v>
          </cell>
        </row>
        <row r="3321">
          <cell r="W3321">
            <v>0</v>
          </cell>
        </row>
        <row r="3322">
          <cell r="B3322" t="str">
            <v>GPR-HO06L15001</v>
          </cell>
        </row>
        <row r="3322">
          <cell r="W3322">
            <v>0</v>
          </cell>
        </row>
        <row r="3323">
          <cell r="B3323" t="str">
            <v>GPR-WD02M02001</v>
          </cell>
        </row>
        <row r="3323">
          <cell r="W3323">
            <v>0</v>
          </cell>
        </row>
        <row r="3324">
          <cell r="B3324" t="str">
            <v>GPR-SP25M21003</v>
          </cell>
        </row>
        <row r="3324">
          <cell r="W3324">
            <v>0</v>
          </cell>
        </row>
        <row r="3325">
          <cell r="B3325" t="str">
            <v>VPR-EL03C01002</v>
          </cell>
        </row>
        <row r="3325">
          <cell r="W3325">
            <v>0</v>
          </cell>
        </row>
        <row r="3326">
          <cell r="B3326" t="str">
            <v>GPR-HD19M02008</v>
          </cell>
        </row>
        <row r="3326">
          <cell r="W3326">
            <v>0</v>
          </cell>
        </row>
        <row r="3327">
          <cell r="B3327" t="str">
            <v>0110316</v>
          </cell>
        </row>
        <row r="3327">
          <cell r="W3327">
            <v>0</v>
          </cell>
        </row>
        <row r="3328">
          <cell r="B3328" t="str">
            <v>6900003010811</v>
          </cell>
        </row>
        <row r="3328">
          <cell r="W3328">
            <v>0</v>
          </cell>
        </row>
        <row r="3329">
          <cell r="B3329" t="str">
            <v>3923500000005</v>
          </cell>
        </row>
        <row r="3329">
          <cell r="W3329">
            <v>0</v>
          </cell>
        </row>
        <row r="3330">
          <cell r="B3330" t="str">
            <v>6900010080233</v>
          </cell>
        </row>
        <row r="3330">
          <cell r="W3330">
            <v>0</v>
          </cell>
        </row>
        <row r="3331">
          <cell r="B3331" t="str">
            <v>GPR-PL02E01008</v>
          </cell>
        </row>
        <row r="3331">
          <cell r="W3331">
            <v>-0.0528</v>
          </cell>
        </row>
        <row r="3332">
          <cell r="B3332" t="str">
            <v>GPR-HD19M02002</v>
          </cell>
        </row>
        <row r="3332">
          <cell r="W3332">
            <v>0</v>
          </cell>
        </row>
        <row r="3333">
          <cell r="B3333" t="str">
            <v>GPR-SA02S21004</v>
          </cell>
        </row>
        <row r="3333">
          <cell r="W3333">
            <v>0</v>
          </cell>
        </row>
        <row r="3334">
          <cell r="B3334" t="str">
            <v>GPR-EQ13M11001</v>
          </cell>
        </row>
        <row r="3334">
          <cell r="W3334">
            <v>0</v>
          </cell>
        </row>
        <row r="3335">
          <cell r="B3335" t="str">
            <v>69000030103141</v>
          </cell>
        </row>
        <row r="3335">
          <cell r="W3335">
            <v>0</v>
          </cell>
        </row>
        <row r="3336">
          <cell r="B3336" t="str">
            <v>0123840800</v>
          </cell>
        </row>
        <row r="3336">
          <cell r="W3336">
            <v>0</v>
          </cell>
        </row>
        <row r="3337">
          <cell r="B3337" t="str">
            <v>VPR-SE04D02002</v>
          </cell>
        </row>
        <row r="3337">
          <cell r="W3337">
            <v>0</v>
          </cell>
        </row>
        <row r="3338">
          <cell r="B3338" t="str">
            <v>GPR-EQ14M21001</v>
          </cell>
        </row>
        <row r="3338">
          <cell r="W3338">
            <v>0</v>
          </cell>
        </row>
        <row r="3339">
          <cell r="B3339" t="str">
            <v>39259000000013</v>
          </cell>
        </row>
        <row r="3339">
          <cell r="W3339">
            <v>0</v>
          </cell>
        </row>
        <row r="3340">
          <cell r="B3340" t="str">
            <v>84279000000111614600</v>
          </cell>
        </row>
        <row r="3340">
          <cell r="W3340">
            <v>0</v>
          </cell>
        </row>
        <row r="3341">
          <cell r="B3341" t="str">
            <v>GPR-SP25M21005</v>
          </cell>
        </row>
        <row r="3341">
          <cell r="W3341">
            <v>0</v>
          </cell>
        </row>
        <row r="3342">
          <cell r="B3342" t="str">
            <v>GPR-SA01S21002</v>
          </cell>
        </row>
        <row r="3342">
          <cell r="W3342">
            <v>0</v>
          </cell>
        </row>
        <row r="3343">
          <cell r="B3343" t="str">
            <v>GPR-SP25M21002</v>
          </cell>
        </row>
        <row r="3343">
          <cell r="W3343">
            <v>0</v>
          </cell>
        </row>
        <row r="3344">
          <cell r="B3344" t="str">
            <v>GPR-EQ00C01001</v>
          </cell>
        </row>
        <row r="3344">
          <cell r="W3344">
            <v>0</v>
          </cell>
        </row>
        <row r="3345">
          <cell r="B3345" t="str">
            <v>0123840900</v>
          </cell>
        </row>
        <row r="3345">
          <cell r="W3345">
            <v>0</v>
          </cell>
        </row>
        <row r="3346">
          <cell r="B3346" t="str">
            <v>69000030103211</v>
          </cell>
        </row>
        <row r="3346">
          <cell r="W3346">
            <v>0</v>
          </cell>
        </row>
        <row r="3347">
          <cell r="B3347" t="str">
            <v>0119328700</v>
          </cell>
        </row>
        <row r="3347">
          <cell r="W3347">
            <v>0</v>
          </cell>
        </row>
        <row r="3348">
          <cell r="B3348" t="str">
            <v>GPR-ME05A01038</v>
          </cell>
        </row>
        <row r="3348">
          <cell r="W3348">
            <v>0</v>
          </cell>
        </row>
        <row r="3349">
          <cell r="B3349" t="str">
            <v>GPR-MB08L00002</v>
          </cell>
        </row>
        <row r="3349">
          <cell r="W3349">
            <v>0</v>
          </cell>
        </row>
        <row r="3350">
          <cell r="B3350" t="str">
            <v>6900010080240</v>
          </cell>
        </row>
        <row r="3350">
          <cell r="W3350">
            <v>0</v>
          </cell>
        </row>
        <row r="3351">
          <cell r="B3351" t="str">
            <v>0123841900</v>
          </cell>
        </row>
        <row r="3351">
          <cell r="W3351">
            <v>0</v>
          </cell>
        </row>
        <row r="3352">
          <cell r="B3352" t="str">
            <v>VPR-HO09A21001</v>
          </cell>
        </row>
        <row r="3352">
          <cell r="W3352">
            <v>0</v>
          </cell>
        </row>
        <row r="3353">
          <cell r="B3353" t="str">
            <v>GPR-MB09A21002</v>
          </cell>
        </row>
        <row r="3353">
          <cell r="W3353">
            <v>0</v>
          </cell>
        </row>
        <row r="3354">
          <cell r="B3354" t="str">
            <v>GPR-SP00M02017</v>
          </cell>
        </row>
        <row r="3354">
          <cell r="W3354">
            <v>0</v>
          </cell>
        </row>
        <row r="3355">
          <cell r="B3355" t="str">
            <v>6900003010215</v>
          </cell>
        </row>
        <row r="3355">
          <cell r="W3355">
            <v>0</v>
          </cell>
        </row>
        <row r="3356">
          <cell r="B3356" t="str">
            <v>102310</v>
          </cell>
        </row>
        <row r="3356">
          <cell r="W3356">
            <v>0</v>
          </cell>
        </row>
        <row r="3357">
          <cell r="B3357" t="str">
            <v>GPR-PT01M21006</v>
          </cell>
        </row>
        <row r="3357">
          <cell r="W3357">
            <v>0</v>
          </cell>
        </row>
        <row r="3358">
          <cell r="B3358" t="str">
            <v>GPR-SE06C33001</v>
          </cell>
        </row>
        <row r="3358">
          <cell r="W3358">
            <v>0</v>
          </cell>
        </row>
        <row r="3359">
          <cell r="B3359" t="str">
            <v>VPR-EL20C01001</v>
          </cell>
        </row>
        <row r="3359">
          <cell r="W3359">
            <v>0</v>
          </cell>
        </row>
        <row r="3360">
          <cell r="B3360" t="str">
            <v>GPR-PL02E01025</v>
          </cell>
        </row>
        <row r="3360">
          <cell r="W3360">
            <v>-0.0006</v>
          </cell>
        </row>
        <row r="3361">
          <cell r="B3361" t="str">
            <v>0123842500</v>
          </cell>
        </row>
        <row r="3361">
          <cell r="W3361">
            <v>0</v>
          </cell>
        </row>
        <row r="3362">
          <cell r="B3362" t="str">
            <v>6900008071215</v>
          </cell>
        </row>
        <row r="3362">
          <cell r="W3362">
            <v>0</v>
          </cell>
        </row>
        <row r="3363">
          <cell r="B3363" t="str">
            <v>GPR-EQ32M14001</v>
          </cell>
        </row>
        <row r="3363">
          <cell r="W3363">
            <v>0</v>
          </cell>
        </row>
        <row r="3364">
          <cell r="B3364" t="str">
            <v>GPR-SP25M21009</v>
          </cell>
        </row>
        <row r="3364">
          <cell r="W3364">
            <v>0</v>
          </cell>
        </row>
        <row r="3365">
          <cell r="B3365" t="str">
            <v>GPR-MB09A21003</v>
          </cell>
        </row>
        <row r="3365">
          <cell r="W3365">
            <v>0</v>
          </cell>
        </row>
        <row r="3366">
          <cell r="B3366" t="str">
            <v>GPR-HD08M21003</v>
          </cell>
        </row>
        <row r="3366">
          <cell r="W3366">
            <v>0</v>
          </cell>
        </row>
        <row r="3367">
          <cell r="B3367" t="str">
            <v>7318140090001</v>
          </cell>
        </row>
        <row r="3367">
          <cell r="W3367">
            <v>0</v>
          </cell>
        </row>
        <row r="3368">
          <cell r="B3368" t="str">
            <v>VPR-HA01S21001</v>
          </cell>
        </row>
        <row r="3368">
          <cell r="W3368">
            <v>0</v>
          </cell>
        </row>
        <row r="3369">
          <cell r="B3369" t="str">
            <v>0123841200</v>
          </cell>
        </row>
        <row r="3369">
          <cell r="W3369">
            <v>0</v>
          </cell>
        </row>
        <row r="3370">
          <cell r="B3370" t="str">
            <v>GPR-PL02E01046</v>
          </cell>
        </row>
        <row r="3370">
          <cell r="W3370">
            <v>0</v>
          </cell>
        </row>
        <row r="3371">
          <cell r="B3371" t="str">
            <v>84671900000111514500</v>
          </cell>
        </row>
        <row r="3371">
          <cell r="W3371">
            <v>0</v>
          </cell>
        </row>
        <row r="3372">
          <cell r="B3372" t="str">
            <v>GPR-PL02E01047</v>
          </cell>
        </row>
        <row r="3372">
          <cell r="W3372">
            <v>0</v>
          </cell>
        </row>
        <row r="3373">
          <cell r="B3373" t="str">
            <v>GPR-SP01M21050</v>
          </cell>
        </row>
        <row r="3373">
          <cell r="W3373">
            <v>0</v>
          </cell>
        </row>
        <row r="3374">
          <cell r="B3374" t="str">
            <v>0123841700</v>
          </cell>
        </row>
        <row r="3374">
          <cell r="W3374">
            <v>0</v>
          </cell>
        </row>
        <row r="3375">
          <cell r="B3375" t="str">
            <v>GPR-ME05A01001</v>
          </cell>
        </row>
        <row r="3375">
          <cell r="W3375">
            <v>0</v>
          </cell>
        </row>
        <row r="3376">
          <cell r="B3376" t="str">
            <v>GPR-EL16C01002</v>
          </cell>
        </row>
        <row r="3376">
          <cell r="W3376">
            <v>0</v>
          </cell>
        </row>
        <row r="3377">
          <cell r="B3377" t="str">
            <v>100613</v>
          </cell>
        </row>
        <row r="3377">
          <cell r="W3377">
            <v>0</v>
          </cell>
        </row>
        <row r="3378">
          <cell r="B3378" t="str">
            <v>GPR-PL02E01040</v>
          </cell>
        </row>
        <row r="3378">
          <cell r="W3378">
            <v>0</v>
          </cell>
        </row>
        <row r="3379">
          <cell r="B3379" t="str">
            <v>GPR-ME05A01002</v>
          </cell>
        </row>
        <row r="3379">
          <cell r="W3379">
            <v>0</v>
          </cell>
        </row>
        <row r="3380">
          <cell r="B3380" t="str">
            <v>0123842000</v>
          </cell>
        </row>
        <row r="3380">
          <cell r="W3380">
            <v>0</v>
          </cell>
        </row>
        <row r="3381">
          <cell r="B3381" t="str">
            <v>6900003010281</v>
          </cell>
        </row>
        <row r="3381">
          <cell r="W3381">
            <v>0</v>
          </cell>
        </row>
        <row r="3382">
          <cell r="B3382" t="str">
            <v>6900010080279</v>
          </cell>
        </row>
        <row r="3382">
          <cell r="W3382">
            <v>0</v>
          </cell>
        </row>
        <row r="3383">
          <cell r="B3383" t="str">
            <v>GPR-PT02M15008</v>
          </cell>
        </row>
        <row r="3383">
          <cell r="W3383">
            <v>0</v>
          </cell>
        </row>
        <row r="3384">
          <cell r="B3384" t="str">
            <v>GPR-SP25M22001</v>
          </cell>
        </row>
        <row r="3384">
          <cell r="W3384">
            <v>0</v>
          </cell>
        </row>
        <row r="3385">
          <cell r="B3385" t="str">
            <v>GPR-EQ51M02001</v>
          </cell>
        </row>
        <row r="3385">
          <cell r="W3385">
            <v>0</v>
          </cell>
        </row>
        <row r="3386">
          <cell r="B3386" t="str">
            <v>GPR-OT02G00001</v>
          </cell>
        </row>
        <row r="3386">
          <cell r="W3386">
            <v>0</v>
          </cell>
        </row>
        <row r="3387">
          <cell r="B3387" t="str">
            <v>GPR-SP00M02039</v>
          </cell>
        </row>
        <row r="3387">
          <cell r="W3387">
            <v>0</v>
          </cell>
        </row>
        <row r="3388">
          <cell r="B3388" t="str">
            <v>GPR-EQ13C01003</v>
          </cell>
        </row>
        <row r="3388">
          <cell r="W3388">
            <v>0</v>
          </cell>
        </row>
        <row r="3389">
          <cell r="B3389" t="str">
            <v>10025677717300</v>
          </cell>
        </row>
        <row r="3389">
          <cell r="W3389">
            <v>-2970</v>
          </cell>
        </row>
        <row r="3390">
          <cell r="B3390" t="str">
            <v>6900003010280</v>
          </cell>
        </row>
        <row r="3390">
          <cell r="W3390">
            <v>0</v>
          </cell>
        </row>
        <row r="3391">
          <cell r="B3391" t="str">
            <v>GPR-EL14M21001</v>
          </cell>
        </row>
        <row r="3391">
          <cell r="W3391">
            <v>0</v>
          </cell>
        </row>
        <row r="3392">
          <cell r="B3392" t="str">
            <v>GPR-PL02E01001</v>
          </cell>
        </row>
        <row r="3392">
          <cell r="W3392">
            <v>0</v>
          </cell>
        </row>
        <row r="3393">
          <cell r="B3393" t="str">
            <v>GPR-PL02E01016</v>
          </cell>
        </row>
        <row r="3393">
          <cell r="W3393">
            <v>-0.0006</v>
          </cell>
        </row>
        <row r="3394">
          <cell r="B3394" t="str">
            <v>100108</v>
          </cell>
        </row>
        <row r="3394">
          <cell r="W3394">
            <v>0</v>
          </cell>
        </row>
        <row r="3395">
          <cell r="B3395" t="str">
            <v>10028577717100</v>
          </cell>
        </row>
        <row r="3395">
          <cell r="W3395">
            <v>0</v>
          </cell>
        </row>
        <row r="3396">
          <cell r="B3396" t="str">
            <v>GPR-CM02M02001</v>
          </cell>
        </row>
        <row r="3396">
          <cell r="W3396">
            <v>0</v>
          </cell>
        </row>
        <row r="3397">
          <cell r="B3397" t="str">
            <v>GPR-ME05A01004</v>
          </cell>
        </row>
        <row r="3397">
          <cell r="W3397">
            <v>0</v>
          </cell>
        </row>
        <row r="3398">
          <cell r="B3398" t="str">
            <v>GPR-SP00M02041</v>
          </cell>
        </row>
        <row r="3398">
          <cell r="W3398">
            <v>0</v>
          </cell>
        </row>
        <row r="3399">
          <cell r="B3399" t="str">
            <v>GPR-OT02G00002</v>
          </cell>
        </row>
        <row r="3399">
          <cell r="W3399">
            <v>0</v>
          </cell>
        </row>
        <row r="3400">
          <cell r="B3400" t="str">
            <v>GPR-PL02E01059</v>
          </cell>
        </row>
        <row r="3400">
          <cell r="W3400">
            <v>0</v>
          </cell>
        </row>
        <row r="3401">
          <cell r="B3401" t="str">
            <v>VPR-EQ13M02001</v>
          </cell>
        </row>
        <row r="3401">
          <cell r="W3401">
            <v>0</v>
          </cell>
        </row>
        <row r="3402">
          <cell r="B3402" t="str">
            <v>GPR-EQ16J02001</v>
          </cell>
        </row>
        <row r="3402">
          <cell r="W3402">
            <v>0</v>
          </cell>
        </row>
        <row r="3403">
          <cell r="B3403" t="str">
            <v>GPR-SP16J04002</v>
          </cell>
        </row>
        <row r="3403">
          <cell r="W3403">
            <v>0</v>
          </cell>
        </row>
        <row r="3404">
          <cell r="B3404" t="str">
            <v>GPR-SP36M21001</v>
          </cell>
        </row>
        <row r="3404">
          <cell r="W3404">
            <v>0</v>
          </cell>
        </row>
        <row r="3405">
          <cell r="B3405" t="str">
            <v>GPR-WD03M23003</v>
          </cell>
        </row>
        <row r="3405">
          <cell r="W3405">
            <v>0</v>
          </cell>
        </row>
        <row r="3406">
          <cell r="B3406" t="str">
            <v>GPR-SP36M21002</v>
          </cell>
        </row>
        <row r="3406">
          <cell r="W3406">
            <v>0</v>
          </cell>
        </row>
        <row r="3407">
          <cell r="B3407" t="str">
            <v>GPR-SP16J04003</v>
          </cell>
        </row>
        <row r="3407">
          <cell r="W3407">
            <v>0</v>
          </cell>
        </row>
        <row r="3408">
          <cell r="B3408" t="str">
            <v>GPR-ME05A01007</v>
          </cell>
        </row>
        <row r="3408">
          <cell r="W3408">
            <v>0</v>
          </cell>
        </row>
        <row r="3409">
          <cell r="B3409" t="str">
            <v>GPR-PL02E01005</v>
          </cell>
        </row>
        <row r="3409">
          <cell r="W3409">
            <v>-0.0006</v>
          </cell>
        </row>
        <row r="3410">
          <cell r="B3410" t="str">
            <v>GPR-HO00M02001</v>
          </cell>
        </row>
        <row r="3410">
          <cell r="W3410">
            <v>0</v>
          </cell>
        </row>
        <row r="3411">
          <cell r="B3411" t="str">
            <v>GPR-SP16M22001</v>
          </cell>
        </row>
        <row r="3411">
          <cell r="W3411">
            <v>0</v>
          </cell>
        </row>
        <row r="3412">
          <cell r="B3412" t="str">
            <v>GPR-ME05A01009</v>
          </cell>
        </row>
        <row r="3412">
          <cell r="W3412">
            <v>0</v>
          </cell>
        </row>
        <row r="3413">
          <cell r="B3413" t="str">
            <v>GPR-SP25M22002</v>
          </cell>
        </row>
        <row r="3413">
          <cell r="W3413">
            <v>0</v>
          </cell>
        </row>
        <row r="3414">
          <cell r="B3414" t="str">
            <v>GPR-SP08C01001</v>
          </cell>
        </row>
        <row r="3414">
          <cell r="W3414">
            <v>0</v>
          </cell>
        </row>
        <row r="3415">
          <cell r="B3415" t="str">
            <v>6900003010216</v>
          </cell>
        </row>
        <row r="3415">
          <cell r="W3415">
            <v>0</v>
          </cell>
        </row>
        <row r="3416">
          <cell r="B3416" t="str">
            <v>GPR-SP16J02007</v>
          </cell>
        </row>
        <row r="3416">
          <cell r="W3416">
            <v>0</v>
          </cell>
        </row>
        <row r="3417">
          <cell r="B3417" t="str">
            <v>6900010080280</v>
          </cell>
        </row>
        <row r="3417">
          <cell r="W3417">
            <v>0</v>
          </cell>
        </row>
        <row r="3418">
          <cell r="B3418" t="str">
            <v>GPR-EQ07D01001</v>
          </cell>
        </row>
        <row r="3418">
          <cell r="W3418">
            <v>0</v>
          </cell>
        </row>
        <row r="3419">
          <cell r="B3419" t="str">
            <v>GPR-EQ37G00002</v>
          </cell>
        </row>
        <row r="3419">
          <cell r="W3419">
            <v>0</v>
          </cell>
        </row>
        <row r="3420">
          <cell r="B3420" t="str">
            <v>GPR-HO00C01001</v>
          </cell>
        </row>
        <row r="3420">
          <cell r="W3420">
            <v>0</v>
          </cell>
        </row>
        <row r="3421">
          <cell r="B3421" t="str">
            <v>VPR-SP16J11001</v>
          </cell>
        </row>
        <row r="3421">
          <cell r="W3421">
            <v>0</v>
          </cell>
        </row>
        <row r="3422">
          <cell r="B3422" t="str">
            <v>GPR-SP00M21032</v>
          </cell>
        </row>
        <row r="3422">
          <cell r="W3422">
            <v>0</v>
          </cell>
        </row>
        <row r="3423">
          <cell r="B3423" t="str">
            <v>6900010080249</v>
          </cell>
        </row>
        <row r="3423">
          <cell r="W3423">
            <v>0</v>
          </cell>
        </row>
        <row r="3424">
          <cell r="B3424" t="str">
            <v>VPR-HD20M11002</v>
          </cell>
        </row>
        <row r="3424">
          <cell r="W3424">
            <v>0</v>
          </cell>
        </row>
        <row r="3425">
          <cell r="B3425" t="str">
            <v>GPR-EQ37G00004</v>
          </cell>
        </row>
        <row r="3425">
          <cell r="W3425">
            <v>0</v>
          </cell>
        </row>
        <row r="3426">
          <cell r="B3426" t="str">
            <v>GPR-ME05A01010</v>
          </cell>
        </row>
        <row r="3426">
          <cell r="W3426">
            <v>0</v>
          </cell>
        </row>
        <row r="3427">
          <cell r="B3427" t="str">
            <v>GPR-SP16J02008</v>
          </cell>
        </row>
        <row r="3427">
          <cell r="W3427">
            <v>0</v>
          </cell>
        </row>
        <row r="3428">
          <cell r="B3428" t="str">
            <v>GPR-PL02E01061</v>
          </cell>
        </row>
        <row r="3428">
          <cell r="W3428">
            <v>-0.0066</v>
          </cell>
        </row>
        <row r="3429">
          <cell r="B3429" t="str">
            <v>GPR-MB34C33007</v>
          </cell>
        </row>
        <row r="3429">
          <cell r="W3429">
            <v>0</v>
          </cell>
        </row>
        <row r="3430">
          <cell r="B3430" t="str">
            <v>GPR-SP00M02002</v>
          </cell>
        </row>
        <row r="3430">
          <cell r="W3430">
            <v>0</v>
          </cell>
        </row>
        <row r="3431">
          <cell r="B3431" t="str">
            <v>GPR-HO04M21005</v>
          </cell>
        </row>
        <row r="3431">
          <cell r="W3431">
            <v>0</v>
          </cell>
        </row>
        <row r="3432">
          <cell r="B3432" t="str">
            <v>VPR-SP28M11001</v>
          </cell>
        </row>
        <row r="3432">
          <cell r="W3432">
            <v>0</v>
          </cell>
        </row>
        <row r="3433">
          <cell r="B3433" t="str">
            <v>GPR-EQ37G00005</v>
          </cell>
        </row>
        <row r="3433">
          <cell r="W3433">
            <v>0</v>
          </cell>
        </row>
        <row r="3434">
          <cell r="B3434" t="str">
            <v>GPR-MB38A21002</v>
          </cell>
        </row>
        <row r="3434">
          <cell r="W3434">
            <v>-1000</v>
          </cell>
        </row>
        <row r="3435">
          <cell r="B3435" t="str">
            <v>GPR-PL02E01068</v>
          </cell>
        </row>
        <row r="3435">
          <cell r="W3435">
            <v>-0.0081</v>
          </cell>
        </row>
        <row r="3436">
          <cell r="B3436" t="str">
            <v>GPR-MB15M03001</v>
          </cell>
        </row>
        <row r="3436">
          <cell r="W3436">
            <v>0</v>
          </cell>
        </row>
        <row r="3437">
          <cell r="B3437" t="str">
            <v>GPR-SP00M02003</v>
          </cell>
        </row>
        <row r="3437">
          <cell r="W3437">
            <v>0</v>
          </cell>
        </row>
        <row r="3438">
          <cell r="B3438" t="str">
            <v>GPR-OT02M21054</v>
          </cell>
        </row>
        <row r="3438">
          <cell r="W3438">
            <v>0</v>
          </cell>
        </row>
        <row r="3439">
          <cell r="B3439" t="str">
            <v>GPR-PT01M02002</v>
          </cell>
        </row>
        <row r="3439">
          <cell r="W3439">
            <v>0</v>
          </cell>
        </row>
        <row r="3440">
          <cell r="B3440" t="str">
            <v>GPR-PL02E01010</v>
          </cell>
        </row>
        <row r="3440">
          <cell r="W3440">
            <v>-0.0001</v>
          </cell>
        </row>
        <row r="3441">
          <cell r="B3441" t="str">
            <v>102575</v>
          </cell>
        </row>
        <row r="3441">
          <cell r="W3441">
            <v>0</v>
          </cell>
        </row>
        <row r="3442">
          <cell r="B3442" t="str">
            <v>GPR-ME05A01013</v>
          </cell>
        </row>
        <row r="3442">
          <cell r="W3442">
            <v>0</v>
          </cell>
        </row>
        <row r="3443">
          <cell r="B3443" t="str">
            <v>GPR-MB10E03001</v>
          </cell>
        </row>
        <row r="3443">
          <cell r="W3443">
            <v>0</v>
          </cell>
        </row>
        <row r="3444">
          <cell r="B3444" t="str">
            <v>GPR-SP00M02004</v>
          </cell>
        </row>
        <row r="3444">
          <cell r="W3444">
            <v>0</v>
          </cell>
        </row>
        <row r="3445">
          <cell r="B3445" t="str">
            <v>GPR-EQ37G00006</v>
          </cell>
        </row>
        <row r="3445">
          <cell r="W3445">
            <v>0</v>
          </cell>
        </row>
        <row r="3446">
          <cell r="B3446" t="str">
            <v>GPR-OT02M21056</v>
          </cell>
        </row>
        <row r="3446">
          <cell r="W3446">
            <v>0</v>
          </cell>
        </row>
        <row r="3447">
          <cell r="B3447" t="str">
            <v>GPR-EQ36C01001</v>
          </cell>
        </row>
        <row r="3447">
          <cell r="W3447">
            <v>0</v>
          </cell>
        </row>
        <row r="3448">
          <cell r="B3448" t="str">
            <v>GPR-PL02E01011</v>
          </cell>
        </row>
        <row r="3448">
          <cell r="W3448">
            <v>0</v>
          </cell>
        </row>
        <row r="3449">
          <cell r="B3449" t="str">
            <v>GPR-PT02C02003</v>
          </cell>
        </row>
        <row r="3449">
          <cell r="W3449">
            <v>0</v>
          </cell>
        </row>
        <row r="3450">
          <cell r="B3450" t="str">
            <v>GPR-OT02M21057</v>
          </cell>
        </row>
        <row r="3450">
          <cell r="W3450">
            <v>0</v>
          </cell>
        </row>
        <row r="3451">
          <cell r="B3451" t="str">
            <v>GPR-ME05A01016</v>
          </cell>
        </row>
        <row r="3451">
          <cell r="W3451">
            <v>0</v>
          </cell>
        </row>
        <row r="3452">
          <cell r="B3452" t="str">
            <v>GPR-SA02S21003</v>
          </cell>
        </row>
        <row r="3452">
          <cell r="W3452">
            <v>0</v>
          </cell>
        </row>
        <row r="3453">
          <cell r="B3453" t="str">
            <v>GPR-SP00M02005</v>
          </cell>
        </row>
        <row r="3453">
          <cell r="W3453">
            <v>0</v>
          </cell>
        </row>
        <row r="3454">
          <cell r="B3454" t="str">
            <v>100049</v>
          </cell>
        </row>
        <row r="3454">
          <cell r="W3454">
            <v>0</v>
          </cell>
        </row>
        <row r="3455">
          <cell r="B3455" t="str">
            <v>GPR-HD07O13001</v>
          </cell>
        </row>
        <row r="3455">
          <cell r="W3455">
            <v>0</v>
          </cell>
        </row>
        <row r="3456">
          <cell r="B3456" t="str">
            <v>GPR-HO04M21006</v>
          </cell>
        </row>
        <row r="3456">
          <cell r="W3456">
            <v>0</v>
          </cell>
        </row>
        <row r="3457">
          <cell r="B3457" t="str">
            <v>GPR-PL02E01012</v>
          </cell>
        </row>
        <row r="3457">
          <cell r="W3457">
            <v>0</v>
          </cell>
        </row>
        <row r="3458">
          <cell r="B3458" t="str">
            <v>GPR-WD02M22006</v>
          </cell>
        </row>
        <row r="3458">
          <cell r="W3458">
            <v>0</v>
          </cell>
        </row>
        <row r="3459">
          <cell r="B3459" t="str">
            <v>045909000000204</v>
          </cell>
        </row>
        <row r="3459">
          <cell r="W3459">
            <v>0</v>
          </cell>
        </row>
        <row r="3460">
          <cell r="B3460" t="str">
            <v>GPR-SP22M21006</v>
          </cell>
        </row>
        <row r="3460">
          <cell r="W3460">
            <v>0</v>
          </cell>
        </row>
        <row r="3461">
          <cell r="B3461" t="str">
            <v>10035677718200</v>
          </cell>
        </row>
        <row r="3461">
          <cell r="W3461">
            <v>0</v>
          </cell>
        </row>
        <row r="3462">
          <cell r="B3462" t="str">
            <v>6900003010248</v>
          </cell>
        </row>
        <row r="3462">
          <cell r="W3462">
            <v>0</v>
          </cell>
        </row>
        <row r="3463">
          <cell r="B3463" t="str">
            <v>69000030103180</v>
          </cell>
        </row>
        <row r="3463">
          <cell r="W3463">
            <v>0</v>
          </cell>
        </row>
        <row r="3464">
          <cell r="B3464" t="str">
            <v>GPR-WD05M22001</v>
          </cell>
        </row>
        <row r="3464">
          <cell r="W3464">
            <v>0</v>
          </cell>
        </row>
        <row r="3465">
          <cell r="B3465" t="str">
            <v>GPR-PL02E01013</v>
          </cell>
        </row>
        <row r="3465">
          <cell r="W3465">
            <v>-0.0017</v>
          </cell>
        </row>
        <row r="3466">
          <cell r="B3466" t="str">
            <v>GPR-ME05A01020</v>
          </cell>
        </row>
        <row r="3466">
          <cell r="W3466">
            <v>0</v>
          </cell>
        </row>
        <row r="3467">
          <cell r="B3467" t="str">
            <v>0115118200</v>
          </cell>
        </row>
        <row r="3467">
          <cell r="W3467">
            <v>0</v>
          </cell>
        </row>
        <row r="3468">
          <cell r="B3468" t="str">
            <v>0128661901</v>
          </cell>
        </row>
        <row r="3468">
          <cell r="W3468">
            <v>0</v>
          </cell>
        </row>
        <row r="3469">
          <cell r="B3469" t="str">
            <v>GPR-SP28D02001</v>
          </cell>
        </row>
        <row r="3469">
          <cell r="W3469">
            <v>0</v>
          </cell>
        </row>
        <row r="3470">
          <cell r="B3470" t="str">
            <v>GPR-SP19M21012</v>
          </cell>
        </row>
        <row r="3470">
          <cell r="W3470">
            <v>0</v>
          </cell>
        </row>
        <row r="3471">
          <cell r="B3471" t="str">
            <v>69000030103178</v>
          </cell>
        </row>
        <row r="3471">
          <cell r="W3471">
            <v>0</v>
          </cell>
        </row>
        <row r="3472">
          <cell r="B3472" t="str">
            <v>GPR-SP00G02001</v>
          </cell>
        </row>
        <row r="3472">
          <cell r="W3472">
            <v>0</v>
          </cell>
        </row>
        <row r="3473">
          <cell r="B3473" t="str">
            <v>GPR-PT11M21003</v>
          </cell>
        </row>
        <row r="3473">
          <cell r="W3473">
            <v>0</v>
          </cell>
        </row>
        <row r="3474">
          <cell r="B3474" t="str">
            <v>GPR-PL02E01014</v>
          </cell>
        </row>
        <row r="3474">
          <cell r="W3474">
            <v>-0.0002</v>
          </cell>
        </row>
        <row r="3475">
          <cell r="B3475" t="str">
            <v>GPR-MB14M21012</v>
          </cell>
        </row>
        <row r="3475">
          <cell r="W3475">
            <v>0</v>
          </cell>
        </row>
        <row r="3476">
          <cell r="B3476" t="str">
            <v>6900008072719</v>
          </cell>
        </row>
        <row r="3476">
          <cell r="W3476">
            <v>0</v>
          </cell>
        </row>
        <row r="3477">
          <cell r="B3477" t="str">
            <v>VPR-AP03C01001</v>
          </cell>
        </row>
        <row r="3477">
          <cell r="W3477">
            <v>0</v>
          </cell>
        </row>
        <row r="3478">
          <cell r="B3478" t="str">
            <v>GPR-ME05A01021</v>
          </cell>
        </row>
        <row r="3478">
          <cell r="W3478">
            <v>0</v>
          </cell>
        </row>
        <row r="3479">
          <cell r="B3479" t="str">
            <v>GPR-EQ28R02018</v>
          </cell>
        </row>
        <row r="3479">
          <cell r="W3479">
            <v>0</v>
          </cell>
        </row>
        <row r="3480">
          <cell r="B3480" t="str">
            <v>GPR-EQ13M11002</v>
          </cell>
        </row>
        <row r="3480">
          <cell r="W3480">
            <v>0</v>
          </cell>
        </row>
        <row r="3481">
          <cell r="B3481" t="str">
            <v>GPR-SP19M21005</v>
          </cell>
        </row>
        <row r="3481">
          <cell r="W3481">
            <v>0</v>
          </cell>
        </row>
        <row r="3482">
          <cell r="B3482" t="str">
            <v>GPR-MB14S21002</v>
          </cell>
        </row>
        <row r="3482">
          <cell r="W3482">
            <v>0</v>
          </cell>
        </row>
        <row r="3483">
          <cell r="B3483" t="str">
            <v>GPR-PL02E01015</v>
          </cell>
        </row>
        <row r="3483">
          <cell r="W3483">
            <v>-0.0026</v>
          </cell>
        </row>
        <row r="3484">
          <cell r="B3484" t="str">
            <v>GPR-SP00M02008</v>
          </cell>
        </row>
        <row r="3484">
          <cell r="W3484">
            <v>0</v>
          </cell>
        </row>
        <row r="3485">
          <cell r="B3485" t="str">
            <v>GPR-ME05A01022</v>
          </cell>
        </row>
        <row r="3485">
          <cell r="W3485">
            <v>0</v>
          </cell>
        </row>
        <row r="3486">
          <cell r="B3486" t="str">
            <v>GPR-EQ28R02015</v>
          </cell>
        </row>
        <row r="3486">
          <cell r="W3486">
            <v>0</v>
          </cell>
        </row>
        <row r="3487">
          <cell r="B3487" t="str">
            <v>GPR-MB07M23001</v>
          </cell>
        </row>
        <row r="3487">
          <cell r="W3487">
            <v>0</v>
          </cell>
        </row>
        <row r="3488">
          <cell r="B3488" t="str">
            <v>GPR-SP19M21008</v>
          </cell>
        </row>
        <row r="3488">
          <cell r="W3488">
            <v>0</v>
          </cell>
        </row>
        <row r="3489">
          <cell r="B3489" t="str">
            <v>GPR-SP00M02009</v>
          </cell>
        </row>
        <row r="3489">
          <cell r="W3489">
            <v>0</v>
          </cell>
        </row>
        <row r="3490">
          <cell r="B3490" t="str">
            <v>101808</v>
          </cell>
        </row>
        <row r="3490">
          <cell r="W3490">
            <v>0</v>
          </cell>
        </row>
        <row r="3491">
          <cell r="B3491" t="str">
            <v>GPR-ME05A01025</v>
          </cell>
        </row>
        <row r="3491">
          <cell r="W3491">
            <v>0</v>
          </cell>
        </row>
        <row r="3492">
          <cell r="B3492" t="str">
            <v>GPR-ME05A01029</v>
          </cell>
        </row>
        <row r="3492">
          <cell r="W3492">
            <v>0</v>
          </cell>
        </row>
        <row r="3493">
          <cell r="B3493" t="str">
            <v>GPR-MB14M21018</v>
          </cell>
        </row>
        <row r="3493">
          <cell r="W3493">
            <v>0</v>
          </cell>
        </row>
        <row r="3494">
          <cell r="B3494" t="str">
            <v>GPR-EQ25C04001</v>
          </cell>
        </row>
        <row r="3494">
          <cell r="W3494">
            <v>0</v>
          </cell>
        </row>
        <row r="3495">
          <cell r="B3495" t="str">
            <v>GPR-ME05A01026</v>
          </cell>
        </row>
        <row r="3495">
          <cell r="W3495">
            <v>0</v>
          </cell>
        </row>
        <row r="3496">
          <cell r="B3496" t="str">
            <v>VPR-HD12M14003</v>
          </cell>
        </row>
        <row r="3496">
          <cell r="W3496">
            <v>0</v>
          </cell>
        </row>
        <row r="3497">
          <cell r="B3497" t="str">
            <v>GPR-PL02E01017</v>
          </cell>
        </row>
        <row r="3497">
          <cell r="W3497">
            <v>0</v>
          </cell>
        </row>
        <row r="3498">
          <cell r="B3498" t="str">
            <v>GPR-MB14M21017</v>
          </cell>
        </row>
        <row r="3498">
          <cell r="W3498">
            <v>0</v>
          </cell>
        </row>
        <row r="3499">
          <cell r="B3499" t="str">
            <v>69000030103190</v>
          </cell>
        </row>
        <row r="3499">
          <cell r="W3499">
            <v>0</v>
          </cell>
        </row>
        <row r="3500">
          <cell r="B3500" t="str">
            <v>6900003010221</v>
          </cell>
        </row>
        <row r="3500">
          <cell r="W3500">
            <v>0</v>
          </cell>
        </row>
        <row r="3501">
          <cell r="B3501" t="str">
            <v>GPR-AP04C11001</v>
          </cell>
        </row>
        <row r="3501">
          <cell r="W3501">
            <v>0</v>
          </cell>
        </row>
        <row r="3502">
          <cell r="B3502" t="str">
            <v>6900003010220</v>
          </cell>
        </row>
        <row r="3502">
          <cell r="W3502">
            <v>0</v>
          </cell>
        </row>
        <row r="3503">
          <cell r="B3503" t="str">
            <v>GPR-SP19M21009</v>
          </cell>
        </row>
        <row r="3503">
          <cell r="W3503">
            <v>0</v>
          </cell>
        </row>
        <row r="3504">
          <cell r="B3504" t="str">
            <v>69000030103275</v>
          </cell>
        </row>
        <row r="3504">
          <cell r="W3504">
            <v>0</v>
          </cell>
        </row>
        <row r="3505">
          <cell r="B3505" t="str">
            <v>6900010080250</v>
          </cell>
        </row>
        <row r="3505">
          <cell r="W3505">
            <v>0</v>
          </cell>
        </row>
        <row r="3506">
          <cell r="B3506" t="str">
            <v>8302410000005</v>
          </cell>
        </row>
        <row r="3506">
          <cell r="W3506">
            <v>0</v>
          </cell>
        </row>
        <row r="3507">
          <cell r="B3507" t="str">
            <v>GPR-PT06L00001</v>
          </cell>
        </row>
        <row r="3507">
          <cell r="W3507">
            <v>0</v>
          </cell>
        </row>
        <row r="3508">
          <cell r="B3508" t="str">
            <v>GPR-MB31C02001</v>
          </cell>
        </row>
        <row r="3508">
          <cell r="W3508">
            <v>0</v>
          </cell>
        </row>
        <row r="3509">
          <cell r="B3509" t="str">
            <v>GPR-HO08A21002</v>
          </cell>
        </row>
        <row r="3509">
          <cell r="W3509">
            <v>0</v>
          </cell>
        </row>
        <row r="3510">
          <cell r="B3510" t="str">
            <v>GPR-EL18M21001</v>
          </cell>
        </row>
        <row r="3510">
          <cell r="W3510">
            <v>0</v>
          </cell>
        </row>
        <row r="3511">
          <cell r="B3511" t="str">
            <v>6900008071218</v>
          </cell>
        </row>
        <row r="3511">
          <cell r="W3511">
            <v>0</v>
          </cell>
        </row>
        <row r="3512">
          <cell r="B3512" t="str">
            <v>6900012091325</v>
          </cell>
        </row>
        <row r="3512">
          <cell r="W3512">
            <v>0</v>
          </cell>
        </row>
        <row r="3513">
          <cell r="B3513" t="str">
            <v>GPR-EQ22O01001</v>
          </cell>
        </row>
        <row r="3513">
          <cell r="W3513">
            <v>0</v>
          </cell>
        </row>
        <row r="3514">
          <cell r="B3514" t="str">
            <v>GPR-SP19M21013</v>
          </cell>
        </row>
        <row r="3514">
          <cell r="W3514">
            <v>0</v>
          </cell>
        </row>
        <row r="3515">
          <cell r="B3515" t="str">
            <v>VPR-HD20M11001</v>
          </cell>
        </row>
        <row r="3515">
          <cell r="W3515">
            <v>0</v>
          </cell>
        </row>
        <row r="3516">
          <cell r="B3516" t="str">
            <v>GPR-ME05A01028</v>
          </cell>
        </row>
        <row r="3516">
          <cell r="W3516">
            <v>0</v>
          </cell>
        </row>
        <row r="3517">
          <cell r="B3517" t="str">
            <v>GPR-PL02E01018</v>
          </cell>
        </row>
        <row r="3517">
          <cell r="W3517">
            <v>-0.0032</v>
          </cell>
        </row>
        <row r="3518">
          <cell r="B3518" t="str">
            <v>GPR-MB02L21001</v>
          </cell>
        </row>
        <row r="3518">
          <cell r="W3518">
            <v>0</v>
          </cell>
        </row>
        <row r="3519">
          <cell r="B3519" t="str">
            <v>6900010105712</v>
          </cell>
        </row>
        <row r="3519">
          <cell r="W3519">
            <v>8665</v>
          </cell>
        </row>
        <row r="3520">
          <cell r="B3520" t="str">
            <v>GPR-EQ28R02003</v>
          </cell>
        </row>
        <row r="3520">
          <cell r="W3520">
            <v>0</v>
          </cell>
        </row>
        <row r="3521">
          <cell r="B3521" t="str">
            <v>GPR-MB14M21011</v>
          </cell>
        </row>
        <row r="3521">
          <cell r="W3521">
            <v>0</v>
          </cell>
        </row>
        <row r="3522">
          <cell r="B3522" t="str">
            <v>6900008072717</v>
          </cell>
        </row>
        <row r="3522">
          <cell r="W3522">
            <v>0</v>
          </cell>
        </row>
        <row r="3523">
          <cell r="B3523" t="str">
            <v>GPR-PL02E01019</v>
          </cell>
        </row>
        <row r="3523">
          <cell r="W3523">
            <v>0</v>
          </cell>
        </row>
        <row r="3524">
          <cell r="B3524" t="str">
            <v>GPR-OT02M02023</v>
          </cell>
        </row>
        <row r="3524">
          <cell r="W3524">
            <v>0</v>
          </cell>
        </row>
        <row r="3525">
          <cell r="B3525" t="str">
            <v>GPR-ME05A01030</v>
          </cell>
        </row>
        <row r="3525">
          <cell r="W3525">
            <v>0</v>
          </cell>
        </row>
        <row r="3526">
          <cell r="B3526" t="str">
            <v>0115718700</v>
          </cell>
        </row>
        <row r="3526">
          <cell r="W3526">
            <v>0</v>
          </cell>
        </row>
        <row r="3527">
          <cell r="B3527" t="str">
            <v>GPR-EQ29E04001</v>
          </cell>
        </row>
        <row r="3527">
          <cell r="W3527">
            <v>0</v>
          </cell>
        </row>
        <row r="3528">
          <cell r="B3528" t="str">
            <v>GPR-MB02L21004</v>
          </cell>
        </row>
        <row r="3528">
          <cell r="W3528">
            <v>0</v>
          </cell>
        </row>
        <row r="3529">
          <cell r="B3529" t="str">
            <v>GPR-PT02M21004</v>
          </cell>
        </row>
        <row r="3529">
          <cell r="W3529">
            <v>0</v>
          </cell>
        </row>
        <row r="3530">
          <cell r="B3530" t="str">
            <v>GPR-SE02D02001</v>
          </cell>
        </row>
        <row r="3530">
          <cell r="W3530">
            <v>0</v>
          </cell>
        </row>
        <row r="3531">
          <cell r="B3531" t="str">
            <v>GPR-EL18M21002</v>
          </cell>
        </row>
        <row r="3531">
          <cell r="W3531">
            <v>0</v>
          </cell>
        </row>
        <row r="3532">
          <cell r="B3532" t="str">
            <v>GPR-PL02E01020</v>
          </cell>
        </row>
        <row r="3532">
          <cell r="W3532">
            <v>-0.0005</v>
          </cell>
        </row>
        <row r="3533">
          <cell r="B3533" t="str">
            <v>GPR-MB19C14001</v>
          </cell>
        </row>
        <row r="3533">
          <cell r="W3533">
            <v>0</v>
          </cell>
        </row>
        <row r="3534">
          <cell r="B3534" t="str">
            <v>GPR-ME05A01032</v>
          </cell>
        </row>
        <row r="3534">
          <cell r="W3534">
            <v>0</v>
          </cell>
        </row>
        <row r="3535">
          <cell r="B3535" t="str">
            <v>GPR-PT03E04001</v>
          </cell>
        </row>
        <row r="3535">
          <cell r="W3535">
            <v>0</v>
          </cell>
        </row>
        <row r="3536">
          <cell r="B3536" t="str">
            <v>102298</v>
          </cell>
        </row>
        <row r="3536">
          <cell r="W3536">
            <v>0</v>
          </cell>
        </row>
        <row r="3537">
          <cell r="B3537" t="str">
            <v>GPR-EL18M21003</v>
          </cell>
        </row>
        <row r="3537">
          <cell r="W3537">
            <v>0</v>
          </cell>
        </row>
        <row r="3538">
          <cell r="B3538" t="str">
            <v>GPR-PT02M15009</v>
          </cell>
        </row>
        <row r="3538">
          <cell r="W3538">
            <v>0</v>
          </cell>
        </row>
        <row r="3539">
          <cell r="B3539" t="str">
            <v>GPR-ME05A01034</v>
          </cell>
        </row>
        <row r="3539">
          <cell r="W3539">
            <v>0</v>
          </cell>
        </row>
        <row r="3540">
          <cell r="B3540" t="str">
            <v>GPR-PL02E01021</v>
          </cell>
        </row>
        <row r="3540">
          <cell r="W3540">
            <v>-0.0002</v>
          </cell>
        </row>
        <row r="3541">
          <cell r="B3541" t="str">
            <v>GPR-EL05C02002</v>
          </cell>
        </row>
        <row r="3541">
          <cell r="W3541">
            <v>0</v>
          </cell>
        </row>
        <row r="3542">
          <cell r="B3542" t="str">
            <v>GPR-HD01S21007</v>
          </cell>
        </row>
        <row r="3542">
          <cell r="W3542">
            <v>0</v>
          </cell>
        </row>
        <row r="3543">
          <cell r="B3543" t="str">
            <v>GPR-EQ28R02021</v>
          </cell>
        </row>
        <row r="3543">
          <cell r="W3543">
            <v>0</v>
          </cell>
        </row>
        <row r="3544">
          <cell r="B3544" t="str">
            <v>GPR-SP00M21048</v>
          </cell>
        </row>
        <row r="3544">
          <cell r="W3544">
            <v>0</v>
          </cell>
        </row>
        <row r="3545">
          <cell r="B3545" t="str">
            <v>GPR-EL18M03001</v>
          </cell>
        </row>
        <row r="3545">
          <cell r="W3545">
            <v>0</v>
          </cell>
        </row>
        <row r="3546">
          <cell r="B3546" t="str">
            <v>102238</v>
          </cell>
        </row>
        <row r="3546">
          <cell r="W3546">
            <v>0</v>
          </cell>
        </row>
        <row r="3547">
          <cell r="B3547" t="str">
            <v>GPR-ME05A01035</v>
          </cell>
        </row>
        <row r="3547">
          <cell r="W3547">
            <v>0</v>
          </cell>
        </row>
        <row r="3548">
          <cell r="B3548" t="str">
            <v>GPR-WC01M21004</v>
          </cell>
        </row>
        <row r="3548">
          <cell r="W3548">
            <v>0</v>
          </cell>
        </row>
        <row r="3549">
          <cell r="B3549" t="str">
            <v>VPR-MB09C15001</v>
          </cell>
        </row>
        <row r="3549">
          <cell r="W3549">
            <v>0</v>
          </cell>
        </row>
        <row r="3550">
          <cell r="B3550" t="str">
            <v>GPR-MB02L13001</v>
          </cell>
        </row>
        <row r="3550">
          <cell r="W3550">
            <v>0</v>
          </cell>
        </row>
        <row r="3551">
          <cell r="B3551" t="str">
            <v>GPR-PL02E01022</v>
          </cell>
        </row>
        <row r="3551">
          <cell r="W3551">
            <v>0</v>
          </cell>
        </row>
        <row r="3552">
          <cell r="B3552" t="str">
            <v>GPR-EL18M01002</v>
          </cell>
        </row>
        <row r="3552">
          <cell r="W3552">
            <v>0</v>
          </cell>
        </row>
        <row r="3553">
          <cell r="B3553" t="str">
            <v>6900010080278</v>
          </cell>
        </row>
        <row r="3553">
          <cell r="W3553">
            <v>0</v>
          </cell>
        </row>
        <row r="3554">
          <cell r="B3554" t="str">
            <v>GPR-PL02E01023</v>
          </cell>
        </row>
        <row r="3554">
          <cell r="W3554">
            <v>0</v>
          </cell>
        </row>
        <row r="3555">
          <cell r="B3555" t="str">
            <v>GPR-ME05A01037</v>
          </cell>
        </row>
        <row r="3555">
          <cell r="W3555">
            <v>0</v>
          </cell>
        </row>
        <row r="3556">
          <cell r="B3556" t="str">
            <v>GPR-EL18M01003</v>
          </cell>
        </row>
        <row r="3556">
          <cell r="W3556">
            <v>0</v>
          </cell>
        </row>
        <row r="3557">
          <cell r="B3557" t="str">
            <v>GPR-SP01M21036</v>
          </cell>
        </row>
        <row r="3557">
          <cell r="W3557">
            <v>0</v>
          </cell>
        </row>
        <row r="3558">
          <cell r="B3558" t="str">
            <v>GPR-EQ28R02006</v>
          </cell>
        </row>
        <row r="3558">
          <cell r="W3558">
            <v>0</v>
          </cell>
        </row>
        <row r="3559">
          <cell r="B3559" t="str">
            <v>GPR-MB02L21003</v>
          </cell>
        </row>
        <row r="3559">
          <cell r="W3559">
            <v>0</v>
          </cell>
        </row>
        <row r="3560">
          <cell r="B3560" t="str">
            <v>GPR-PL02E01024</v>
          </cell>
        </row>
        <row r="3560">
          <cell r="W3560">
            <v>-0.0096</v>
          </cell>
        </row>
        <row r="3561">
          <cell r="B3561" t="str">
            <v>GPR-EL18M21004</v>
          </cell>
        </row>
        <row r="3561">
          <cell r="W3561">
            <v>0</v>
          </cell>
        </row>
        <row r="3562">
          <cell r="B3562" t="str">
            <v>GPR-HD02S21001</v>
          </cell>
        </row>
        <row r="3562">
          <cell r="W3562">
            <v>0</v>
          </cell>
        </row>
        <row r="3563">
          <cell r="B3563" t="str">
            <v>GPR-ME05A01039</v>
          </cell>
        </row>
        <row r="3563">
          <cell r="W3563">
            <v>0</v>
          </cell>
        </row>
        <row r="3564">
          <cell r="B3564" t="str">
            <v>GPR-PT09C02001</v>
          </cell>
        </row>
        <row r="3564">
          <cell r="W3564">
            <v>0</v>
          </cell>
        </row>
        <row r="3565">
          <cell r="B3565" t="str">
            <v>GPR-PL02E01026</v>
          </cell>
        </row>
        <row r="3565">
          <cell r="W3565">
            <v>0</v>
          </cell>
        </row>
        <row r="3566">
          <cell r="B3566" t="str">
            <v>GPR-ME05A01040</v>
          </cell>
        </row>
        <row r="3566">
          <cell r="W3566">
            <v>0</v>
          </cell>
        </row>
        <row r="3567">
          <cell r="B3567" t="str">
            <v>GPR-EQ11G00001</v>
          </cell>
        </row>
        <row r="3567">
          <cell r="W3567">
            <v>0</v>
          </cell>
        </row>
        <row r="3568">
          <cell r="B3568" t="str">
            <v>GPR-EL04C01009</v>
          </cell>
        </row>
        <row r="3568">
          <cell r="W3568">
            <v>0</v>
          </cell>
        </row>
        <row r="3569">
          <cell r="B3569" t="str">
            <v>69000030103235</v>
          </cell>
        </row>
        <row r="3569">
          <cell r="W3569">
            <v>0</v>
          </cell>
        </row>
        <row r="3570">
          <cell r="B3570" t="str">
            <v>GPR-OT02M02012</v>
          </cell>
        </row>
        <row r="3570">
          <cell r="W3570">
            <v>0</v>
          </cell>
        </row>
        <row r="3571">
          <cell r="B3571" t="str">
            <v>GPR-EL19C01002</v>
          </cell>
        </row>
        <row r="3571">
          <cell r="W3571">
            <v>0</v>
          </cell>
        </row>
        <row r="3572">
          <cell r="B3572" t="str">
            <v>GPR-ME05A01042</v>
          </cell>
        </row>
        <row r="3572">
          <cell r="W3572">
            <v>0</v>
          </cell>
        </row>
        <row r="3573">
          <cell r="B3573" t="str">
            <v>GPR-PL02E01027</v>
          </cell>
        </row>
        <row r="3573">
          <cell r="W3573">
            <v>0</v>
          </cell>
        </row>
        <row r="3574">
          <cell r="B3574" t="str">
            <v>0119529500</v>
          </cell>
        </row>
        <row r="3574">
          <cell r="W3574">
            <v>0</v>
          </cell>
        </row>
        <row r="3575">
          <cell r="B3575" t="str">
            <v>GPR-PT11M21006</v>
          </cell>
        </row>
        <row r="3575">
          <cell r="W3575">
            <v>0</v>
          </cell>
        </row>
        <row r="3576">
          <cell r="B3576" t="str">
            <v>39259000000017</v>
          </cell>
        </row>
        <row r="3576">
          <cell r="W3576">
            <v>0</v>
          </cell>
        </row>
        <row r="3577">
          <cell r="B3577" t="str">
            <v>GPR-EQ28R02012</v>
          </cell>
        </row>
        <row r="3577">
          <cell r="W3577">
            <v>0</v>
          </cell>
        </row>
        <row r="3578">
          <cell r="B3578" t="str">
            <v>GPR-PL02E01028</v>
          </cell>
        </row>
        <row r="3578">
          <cell r="W3578">
            <v>-0.0009</v>
          </cell>
        </row>
        <row r="3579">
          <cell r="B3579" t="str">
            <v>0119629700</v>
          </cell>
        </row>
        <row r="3579">
          <cell r="W3579">
            <v>0</v>
          </cell>
        </row>
        <row r="3580">
          <cell r="B3580" t="str">
            <v>GPR-ME05A01043</v>
          </cell>
        </row>
        <row r="3580">
          <cell r="W3580">
            <v>0</v>
          </cell>
        </row>
        <row r="3581">
          <cell r="B3581" t="str">
            <v>GPR-PT11M21007</v>
          </cell>
        </row>
        <row r="3581">
          <cell r="W3581">
            <v>0</v>
          </cell>
        </row>
        <row r="3582">
          <cell r="B3582" t="str">
            <v>GPR-PT01M03003</v>
          </cell>
        </row>
        <row r="3582">
          <cell r="W3582">
            <v>0</v>
          </cell>
        </row>
        <row r="3583">
          <cell r="B3583" t="str">
            <v>GPR-EQ28M21001</v>
          </cell>
        </row>
        <row r="3583">
          <cell r="W3583">
            <v>0</v>
          </cell>
        </row>
        <row r="3584">
          <cell r="B3584" t="str">
            <v>102299</v>
          </cell>
        </row>
        <row r="3584">
          <cell r="W3584">
            <v>0</v>
          </cell>
        </row>
        <row r="3585">
          <cell r="B3585" t="str">
            <v>GPR-MB28B11001</v>
          </cell>
        </row>
        <row r="3585">
          <cell r="W3585">
            <v>0</v>
          </cell>
        </row>
        <row r="3586">
          <cell r="B3586" t="str">
            <v>VPR-HD12M14001</v>
          </cell>
        </row>
        <row r="3586">
          <cell r="W3586">
            <v>0</v>
          </cell>
        </row>
        <row r="3587">
          <cell r="B3587" t="str">
            <v>GPR-SP33R02004</v>
          </cell>
        </row>
        <row r="3587">
          <cell r="W3587">
            <v>0</v>
          </cell>
        </row>
        <row r="3588">
          <cell r="B3588" t="str">
            <v>GPR-PL02E01029</v>
          </cell>
        </row>
        <row r="3588">
          <cell r="W3588">
            <v>0</v>
          </cell>
        </row>
        <row r="3589">
          <cell r="B3589" t="str">
            <v>7317000000007</v>
          </cell>
        </row>
        <row r="3589">
          <cell r="W3589">
            <v>0</v>
          </cell>
        </row>
        <row r="3590">
          <cell r="B3590" t="str">
            <v>10025477717100</v>
          </cell>
        </row>
        <row r="3590">
          <cell r="W3590">
            <v>0</v>
          </cell>
        </row>
        <row r="3591">
          <cell r="B3591" t="str">
            <v>7317000000003</v>
          </cell>
        </row>
        <row r="3591">
          <cell r="W3591">
            <v>0</v>
          </cell>
        </row>
        <row r="3592">
          <cell r="B3592" t="str">
            <v>GPR-SP19M21015</v>
          </cell>
        </row>
        <row r="3592">
          <cell r="W3592">
            <v>0</v>
          </cell>
        </row>
        <row r="3593">
          <cell r="B3593" t="str">
            <v>GPR-PT11M21008</v>
          </cell>
        </row>
        <row r="3593">
          <cell r="W3593">
            <v>0</v>
          </cell>
        </row>
        <row r="3594">
          <cell r="B3594" t="str">
            <v>GPR-ME05A01046</v>
          </cell>
        </row>
        <row r="3594">
          <cell r="W3594">
            <v>0</v>
          </cell>
        </row>
        <row r="3595">
          <cell r="B3595" t="str">
            <v>VPR-HD13M11003</v>
          </cell>
        </row>
        <row r="3595">
          <cell r="W3595">
            <v>0</v>
          </cell>
        </row>
        <row r="3596">
          <cell r="B3596" t="str">
            <v>GPR-SP33R02007</v>
          </cell>
        </row>
        <row r="3596">
          <cell r="W3596">
            <v>0</v>
          </cell>
        </row>
        <row r="3597">
          <cell r="B3597" t="str">
            <v>GPR-SP19M21001</v>
          </cell>
        </row>
        <row r="3597">
          <cell r="W3597">
            <v>0</v>
          </cell>
        </row>
        <row r="3598">
          <cell r="B3598" t="str">
            <v>GPR-ME05A01047</v>
          </cell>
        </row>
        <row r="3598">
          <cell r="W3598">
            <v>0</v>
          </cell>
        </row>
        <row r="3599">
          <cell r="B3599" t="str">
            <v>6900010080265</v>
          </cell>
        </row>
        <row r="3599">
          <cell r="W3599">
            <v>0</v>
          </cell>
        </row>
        <row r="3600">
          <cell r="B3600" t="str">
            <v>GPR-PL02E01030</v>
          </cell>
        </row>
        <row r="3600">
          <cell r="W3600">
            <v>0</v>
          </cell>
        </row>
        <row r="3601">
          <cell r="B3601" t="str">
            <v>7317000000004</v>
          </cell>
        </row>
        <row r="3601">
          <cell r="W3601">
            <v>0</v>
          </cell>
        </row>
        <row r="3602">
          <cell r="B3602" t="str">
            <v>GPR-PT11M21009</v>
          </cell>
        </row>
        <row r="3602">
          <cell r="W3602">
            <v>0</v>
          </cell>
        </row>
        <row r="3603">
          <cell r="B3603" t="str">
            <v>VPR-SP24M02002</v>
          </cell>
        </row>
        <row r="3603">
          <cell r="W3603">
            <v>0</v>
          </cell>
        </row>
        <row r="3604">
          <cell r="B3604" t="str">
            <v>10025577717200</v>
          </cell>
        </row>
        <row r="3604">
          <cell r="W3604">
            <v>0</v>
          </cell>
        </row>
        <row r="3605">
          <cell r="B3605" t="str">
            <v>GPR-HO03C15001</v>
          </cell>
        </row>
        <row r="3605">
          <cell r="W3605">
            <v>0</v>
          </cell>
        </row>
        <row r="3606">
          <cell r="B3606" t="str">
            <v>GPR-SP33R02002</v>
          </cell>
        </row>
        <row r="3606">
          <cell r="W3606">
            <v>0</v>
          </cell>
        </row>
        <row r="3607">
          <cell r="B3607" t="str">
            <v>GPR-ME05A01048</v>
          </cell>
        </row>
        <row r="3607">
          <cell r="W3607">
            <v>0</v>
          </cell>
        </row>
        <row r="3608">
          <cell r="B3608" t="str">
            <v>GPR-EQ28M21002</v>
          </cell>
        </row>
        <row r="3608">
          <cell r="W3608">
            <v>0</v>
          </cell>
        </row>
        <row r="3609">
          <cell r="B3609" t="str">
            <v>6900010080264</v>
          </cell>
        </row>
        <row r="3609">
          <cell r="W3609">
            <v>0</v>
          </cell>
        </row>
        <row r="3610">
          <cell r="B3610" t="str">
            <v>GPR-EL03C01012</v>
          </cell>
        </row>
        <row r="3610">
          <cell r="W3610">
            <v>0</v>
          </cell>
        </row>
        <row r="3611">
          <cell r="B3611" t="str">
            <v>10025877716500</v>
          </cell>
        </row>
        <row r="3611">
          <cell r="W3611">
            <v>0</v>
          </cell>
        </row>
        <row r="3612">
          <cell r="B3612" t="str">
            <v>GPR-EL03C01011</v>
          </cell>
        </row>
        <row r="3612">
          <cell r="W3612">
            <v>0</v>
          </cell>
        </row>
        <row r="3613">
          <cell r="B3613" t="str">
            <v>VPR-HD13M11005</v>
          </cell>
        </row>
        <row r="3613">
          <cell r="W3613">
            <v>0</v>
          </cell>
        </row>
        <row r="3614">
          <cell r="B3614" t="str">
            <v>GPR-ME05A01049</v>
          </cell>
        </row>
        <row r="3614">
          <cell r="W3614">
            <v>0</v>
          </cell>
        </row>
        <row r="3615">
          <cell r="B3615" t="str">
            <v>GPR-SP33R02001</v>
          </cell>
        </row>
        <row r="3615">
          <cell r="W3615">
            <v>0</v>
          </cell>
        </row>
        <row r="3616">
          <cell r="B3616" t="str">
            <v>GPR-PL02E01031</v>
          </cell>
        </row>
        <row r="3616">
          <cell r="W3616">
            <v>-0.0024</v>
          </cell>
        </row>
        <row r="3617">
          <cell r="B3617" t="str">
            <v>GPR-HD10M02001</v>
          </cell>
        </row>
        <row r="3617">
          <cell r="W3617">
            <v>0</v>
          </cell>
        </row>
        <row r="3618">
          <cell r="B3618" t="str">
            <v>6900012091321</v>
          </cell>
        </row>
        <row r="3618">
          <cell r="W3618">
            <v>0</v>
          </cell>
        </row>
        <row r="3619">
          <cell r="B3619" t="str">
            <v>GPR-EQ28R02022</v>
          </cell>
        </row>
        <row r="3619">
          <cell r="W3619">
            <v>0</v>
          </cell>
        </row>
        <row r="3620">
          <cell r="B3620" t="str">
            <v>GPR-EQ11P01001</v>
          </cell>
        </row>
        <row r="3620">
          <cell r="W3620">
            <v>0</v>
          </cell>
        </row>
        <row r="3621">
          <cell r="B3621" t="str">
            <v>GPR-WD01M02004</v>
          </cell>
        </row>
        <row r="3621">
          <cell r="W3621">
            <v>0</v>
          </cell>
        </row>
        <row r="3622">
          <cell r="B3622" t="str">
            <v>GPR-ME05A01051</v>
          </cell>
        </row>
        <row r="3622">
          <cell r="W3622">
            <v>0</v>
          </cell>
        </row>
        <row r="3623">
          <cell r="B3623" t="str">
            <v>GPR-PL02E01065</v>
          </cell>
        </row>
        <row r="3623">
          <cell r="W3623">
            <v>-0.0022</v>
          </cell>
        </row>
        <row r="3624">
          <cell r="B3624" t="str">
            <v>VPR-HD13M11006</v>
          </cell>
        </row>
        <row r="3624">
          <cell r="W3624">
            <v>0</v>
          </cell>
        </row>
        <row r="3625">
          <cell r="B3625" t="str">
            <v>GPR-MB08L00005</v>
          </cell>
        </row>
        <row r="3625">
          <cell r="W3625">
            <v>0</v>
          </cell>
        </row>
        <row r="3626">
          <cell r="B3626" t="str">
            <v>GPR-SP00R02003</v>
          </cell>
        </row>
        <row r="3626">
          <cell r="W3626">
            <v>0</v>
          </cell>
        </row>
        <row r="3627">
          <cell r="B3627" t="str">
            <v>102239</v>
          </cell>
        </row>
        <row r="3627">
          <cell r="W3627">
            <v>0</v>
          </cell>
        </row>
        <row r="3628">
          <cell r="B3628" t="str">
            <v>GPR-PL02E01032</v>
          </cell>
        </row>
        <row r="3628">
          <cell r="W3628">
            <v>-0.0042</v>
          </cell>
        </row>
        <row r="3629">
          <cell r="B3629" t="str">
            <v>GPR-ME05A01054</v>
          </cell>
        </row>
        <row r="3629">
          <cell r="W3629">
            <v>0</v>
          </cell>
        </row>
        <row r="3630">
          <cell r="B3630" t="str">
            <v>10035577717100</v>
          </cell>
        </row>
        <row r="3630">
          <cell r="W3630">
            <v>-40</v>
          </cell>
        </row>
        <row r="3631">
          <cell r="B3631" t="str">
            <v>GPR-HD22M21004</v>
          </cell>
        </row>
        <row r="3631">
          <cell r="W3631">
            <v>0</v>
          </cell>
        </row>
        <row r="3632">
          <cell r="B3632" t="str">
            <v>GPR-PL02E01033</v>
          </cell>
        </row>
        <row r="3632">
          <cell r="W3632">
            <v>0</v>
          </cell>
        </row>
        <row r="3633">
          <cell r="B3633" t="str">
            <v>GPR-ME05A01058</v>
          </cell>
        </row>
        <row r="3633">
          <cell r="W3633">
            <v>0</v>
          </cell>
        </row>
        <row r="3634">
          <cell r="B3634" t="str">
            <v>GPR-MB09M03001</v>
          </cell>
        </row>
        <row r="3634">
          <cell r="W3634">
            <v>0</v>
          </cell>
        </row>
        <row r="3635">
          <cell r="B3635" t="str">
            <v>102240</v>
          </cell>
        </row>
        <row r="3635">
          <cell r="W3635">
            <v>0</v>
          </cell>
        </row>
        <row r="3636">
          <cell r="B3636" t="str">
            <v>GPR-PL02E01034</v>
          </cell>
        </row>
        <row r="3636">
          <cell r="W3636">
            <v>-0.0016</v>
          </cell>
        </row>
        <row r="3637">
          <cell r="B3637" t="str">
            <v>GPR-ME05A01060</v>
          </cell>
        </row>
        <row r="3637">
          <cell r="W3637">
            <v>0</v>
          </cell>
        </row>
        <row r="3638">
          <cell r="B3638" t="str">
            <v>GPR-OT02M21041</v>
          </cell>
        </row>
        <row r="3638">
          <cell r="W3638">
            <v>0</v>
          </cell>
        </row>
        <row r="3639">
          <cell r="B3639" t="str">
            <v>GPR-SP19M21002</v>
          </cell>
        </row>
        <row r="3639">
          <cell r="W3639">
            <v>0</v>
          </cell>
        </row>
        <row r="3640">
          <cell r="B3640" t="str">
            <v>VPR-HD13M11007</v>
          </cell>
        </row>
        <row r="3640">
          <cell r="W3640">
            <v>0</v>
          </cell>
        </row>
        <row r="3641">
          <cell r="B3641" t="str">
            <v>GPR-PL02E01035</v>
          </cell>
        </row>
        <row r="3641">
          <cell r="W3641">
            <v>-0.0036</v>
          </cell>
        </row>
        <row r="3642">
          <cell r="B3642" t="str">
            <v>GPR-ME05A01061</v>
          </cell>
        </row>
        <row r="3642">
          <cell r="W3642">
            <v>0</v>
          </cell>
        </row>
        <row r="3643">
          <cell r="B3643" t="str">
            <v>GPR-SP00M21008</v>
          </cell>
        </row>
        <row r="3643">
          <cell r="W3643">
            <v>0</v>
          </cell>
        </row>
        <row r="3644">
          <cell r="B3644" t="str">
            <v>100543</v>
          </cell>
        </row>
        <row r="3644">
          <cell r="W3644">
            <v>0</v>
          </cell>
        </row>
        <row r="3645">
          <cell r="B3645" t="str">
            <v>GPR-PL02E01036</v>
          </cell>
        </row>
        <row r="3645">
          <cell r="W3645">
            <v>-0.0036</v>
          </cell>
        </row>
        <row r="3646">
          <cell r="B3646" t="str">
            <v>VPR-HD13M11001</v>
          </cell>
        </row>
        <row r="3646">
          <cell r="W3646">
            <v>0</v>
          </cell>
        </row>
        <row r="3647">
          <cell r="B3647" t="str">
            <v>0123843000</v>
          </cell>
        </row>
        <row r="3647">
          <cell r="W3647">
            <v>0</v>
          </cell>
        </row>
        <row r="3648">
          <cell r="B3648" t="str">
            <v>GPR-ME05A01064</v>
          </cell>
        </row>
        <row r="3648">
          <cell r="W3648">
            <v>0</v>
          </cell>
        </row>
        <row r="3649">
          <cell r="B3649" t="str">
            <v>GPR-SP01M21047</v>
          </cell>
        </row>
        <row r="3649">
          <cell r="W3649">
            <v>0</v>
          </cell>
        </row>
        <row r="3650">
          <cell r="B3650" t="str">
            <v>10043977717600</v>
          </cell>
        </row>
        <row r="3650">
          <cell r="W3650">
            <v>0</v>
          </cell>
        </row>
        <row r="3651">
          <cell r="B3651" t="str">
            <v>GPR-PL02E01037</v>
          </cell>
        </row>
        <row r="3651">
          <cell r="W3651">
            <v>0</v>
          </cell>
        </row>
        <row r="3652">
          <cell r="B3652" t="str">
            <v>VPR-EQ11O11001</v>
          </cell>
        </row>
        <row r="3652">
          <cell r="W3652">
            <v>0</v>
          </cell>
        </row>
        <row r="3653">
          <cell r="B3653" t="str">
            <v>6900012091376</v>
          </cell>
        </row>
        <row r="3653">
          <cell r="W3653">
            <v>0</v>
          </cell>
        </row>
        <row r="3654">
          <cell r="B3654" t="str">
            <v>GPR-AP10C33001</v>
          </cell>
        </row>
        <row r="3654">
          <cell r="W3654">
            <v>0</v>
          </cell>
        </row>
        <row r="3655">
          <cell r="B3655" t="str">
            <v>6900010080251</v>
          </cell>
        </row>
        <row r="3655">
          <cell r="W3655">
            <v>0</v>
          </cell>
        </row>
        <row r="3656">
          <cell r="B3656" t="str">
            <v>GPR-SE03M02001</v>
          </cell>
        </row>
        <row r="3656">
          <cell r="W3656">
            <v>0</v>
          </cell>
        </row>
        <row r="3657">
          <cell r="B3657" t="str">
            <v>VPR-HD08M14001</v>
          </cell>
        </row>
        <row r="3657">
          <cell r="W3657">
            <v>0</v>
          </cell>
        </row>
        <row r="3658">
          <cell r="B3658" t="str">
            <v>GPR-MB09A21004</v>
          </cell>
        </row>
        <row r="3658">
          <cell r="W3658">
            <v>0</v>
          </cell>
        </row>
        <row r="3659">
          <cell r="B3659" t="str">
            <v>GPR-PL02E01038</v>
          </cell>
        </row>
        <row r="3659">
          <cell r="W3659">
            <v>0</v>
          </cell>
        </row>
        <row r="3660">
          <cell r="B3660" t="str">
            <v>3923500000001</v>
          </cell>
        </row>
        <row r="3660">
          <cell r="W3660">
            <v>0</v>
          </cell>
        </row>
        <row r="3661">
          <cell r="B3661" t="str">
            <v>10056977717400</v>
          </cell>
        </row>
        <row r="3661">
          <cell r="W3661">
            <v>20</v>
          </cell>
        </row>
        <row r="3662">
          <cell r="B3662" t="str">
            <v>6900005050312</v>
          </cell>
        </row>
        <row r="3662">
          <cell r="W3662">
            <v>0</v>
          </cell>
        </row>
        <row r="3663">
          <cell r="B3663" t="str">
            <v>GPR-AP10C33002</v>
          </cell>
        </row>
        <row r="3663">
          <cell r="W3663">
            <v>0</v>
          </cell>
        </row>
        <row r="3664">
          <cell r="B3664" t="str">
            <v>GPR-MB09A21005</v>
          </cell>
        </row>
        <row r="3664">
          <cell r="W3664">
            <v>0</v>
          </cell>
        </row>
        <row r="3665">
          <cell r="B3665" t="str">
            <v>GPR-PL02E01041</v>
          </cell>
        </row>
        <row r="3665">
          <cell r="W3665">
            <v>-0.0012</v>
          </cell>
        </row>
        <row r="3666">
          <cell r="B3666" t="str">
            <v>GPR-PT03E01002</v>
          </cell>
        </row>
        <row r="3666">
          <cell r="W3666">
            <v>0</v>
          </cell>
        </row>
        <row r="3667">
          <cell r="B3667" t="str">
            <v>6805200000002</v>
          </cell>
        </row>
        <row r="3667">
          <cell r="W3667">
            <v>0</v>
          </cell>
        </row>
        <row r="3668">
          <cell r="B3668" t="str">
            <v>6900010080252</v>
          </cell>
        </row>
        <row r="3668">
          <cell r="W3668">
            <v>0</v>
          </cell>
        </row>
        <row r="3669">
          <cell r="B3669" t="str">
            <v>GPR-EL00M02001</v>
          </cell>
        </row>
        <row r="3669">
          <cell r="W3669">
            <v>0</v>
          </cell>
        </row>
        <row r="3670">
          <cell r="B3670" t="str">
            <v>100106</v>
          </cell>
        </row>
        <row r="3670">
          <cell r="W3670">
            <v>0</v>
          </cell>
        </row>
        <row r="3671">
          <cell r="B3671" t="str">
            <v>GPR-PL02E01039</v>
          </cell>
        </row>
        <row r="3671">
          <cell r="W3671">
            <v>-0.0017</v>
          </cell>
        </row>
        <row r="3672">
          <cell r="B3672" t="str">
            <v>6900008072113</v>
          </cell>
        </row>
        <row r="3672">
          <cell r="W3672">
            <v>0</v>
          </cell>
        </row>
        <row r="3673">
          <cell r="B3673" t="str">
            <v>172481110</v>
          </cell>
        </row>
        <row r="3673">
          <cell r="W3673">
            <v>0</v>
          </cell>
        </row>
        <row r="3674">
          <cell r="B3674" t="str">
            <v>GPR-MB10S21001</v>
          </cell>
        </row>
        <row r="3674">
          <cell r="W3674">
            <v>0</v>
          </cell>
        </row>
        <row r="3675">
          <cell r="B3675" t="str">
            <v>10021877716300</v>
          </cell>
        </row>
        <row r="3675">
          <cell r="W3675">
            <v>-5</v>
          </cell>
        </row>
        <row r="3676">
          <cell r="B3676" t="str">
            <v>6900010080253</v>
          </cell>
        </row>
        <row r="3676">
          <cell r="W3676">
            <v>0</v>
          </cell>
        </row>
        <row r="3677">
          <cell r="B3677" t="str">
            <v>GPR-AP10C33003</v>
          </cell>
        </row>
        <row r="3677">
          <cell r="W3677">
            <v>0</v>
          </cell>
        </row>
        <row r="3678">
          <cell r="B3678" t="str">
            <v>GPR-PL02E01042</v>
          </cell>
        </row>
        <row r="3678">
          <cell r="W3678">
            <v>0</v>
          </cell>
        </row>
        <row r="3679">
          <cell r="B3679" t="str">
            <v>84818039900006</v>
          </cell>
        </row>
        <row r="3679">
          <cell r="W3679">
            <v>-12</v>
          </cell>
        </row>
        <row r="3680">
          <cell r="B3680" t="str">
            <v>VPR-HD15M11001</v>
          </cell>
        </row>
        <row r="3680">
          <cell r="W3680">
            <v>0</v>
          </cell>
        </row>
        <row r="3681">
          <cell r="B3681" t="str">
            <v>GPR-HD04M02002</v>
          </cell>
        </row>
        <row r="3681">
          <cell r="W3681">
            <v>0</v>
          </cell>
        </row>
        <row r="3682">
          <cell r="B3682" t="str">
            <v>GPR-PT11M21012</v>
          </cell>
        </row>
        <row r="3682">
          <cell r="W3682">
            <v>0</v>
          </cell>
        </row>
        <row r="3683">
          <cell r="B3683" t="str">
            <v>68129900000110513301</v>
          </cell>
        </row>
        <row r="3683">
          <cell r="W3683">
            <v>0</v>
          </cell>
        </row>
        <row r="3684">
          <cell r="B3684" t="str">
            <v>GPR-PL02E01043</v>
          </cell>
        </row>
        <row r="3684">
          <cell r="W3684">
            <v>0</v>
          </cell>
        </row>
        <row r="3685">
          <cell r="B3685" t="str">
            <v>VPR-HD15M11002</v>
          </cell>
        </row>
        <row r="3685">
          <cell r="W3685">
            <v>0</v>
          </cell>
        </row>
        <row r="3686">
          <cell r="B3686" t="str">
            <v>GPR-MB10E00001</v>
          </cell>
        </row>
        <row r="3686">
          <cell r="W3686">
            <v>0</v>
          </cell>
        </row>
        <row r="3687">
          <cell r="B3687" t="str">
            <v>100016</v>
          </cell>
        </row>
        <row r="3687">
          <cell r="W3687">
            <v>0</v>
          </cell>
        </row>
        <row r="3688">
          <cell r="B3688" t="str">
            <v>6900010080255</v>
          </cell>
        </row>
        <row r="3688">
          <cell r="W3688">
            <v>0</v>
          </cell>
        </row>
        <row r="3689">
          <cell r="B3689" t="str">
            <v>172481103</v>
          </cell>
        </row>
        <row r="3689">
          <cell r="W3689">
            <v>0</v>
          </cell>
        </row>
        <row r="3690">
          <cell r="B3690" t="str">
            <v>69000030103115</v>
          </cell>
        </row>
        <row r="3690">
          <cell r="W3690">
            <v>0</v>
          </cell>
        </row>
        <row r="3691">
          <cell r="B3691" t="str">
            <v>GPR-AP06G00002</v>
          </cell>
        </row>
        <row r="3691">
          <cell r="W3691">
            <v>0</v>
          </cell>
        </row>
        <row r="3692">
          <cell r="B3692" t="str">
            <v>GPR-EQ37G00007</v>
          </cell>
        </row>
        <row r="3692">
          <cell r="W3692">
            <v>0</v>
          </cell>
        </row>
        <row r="3693">
          <cell r="B3693" t="str">
            <v>GPR-PL02E01044</v>
          </cell>
        </row>
        <row r="3693">
          <cell r="W3693">
            <v>-0.0012</v>
          </cell>
        </row>
        <row r="3694">
          <cell r="B3694" t="str">
            <v>8468900000016910700</v>
          </cell>
        </row>
        <row r="3694">
          <cell r="W3694">
            <v>0</v>
          </cell>
        </row>
        <row r="3695">
          <cell r="B3695" t="str">
            <v>GPR-HO12M21001</v>
          </cell>
        </row>
        <row r="3695">
          <cell r="W3695">
            <v>0</v>
          </cell>
        </row>
        <row r="3696">
          <cell r="B3696" t="str">
            <v>GPR-PL02E01045</v>
          </cell>
        </row>
        <row r="3696">
          <cell r="W3696">
            <v>-0.0034</v>
          </cell>
        </row>
        <row r="3697">
          <cell r="B3697" t="str">
            <v>69000030103269</v>
          </cell>
        </row>
        <row r="3697">
          <cell r="W3697">
            <v>0</v>
          </cell>
        </row>
        <row r="3698">
          <cell r="B3698" t="str">
            <v>6900005051212</v>
          </cell>
        </row>
        <row r="3698">
          <cell r="W3698">
            <v>0</v>
          </cell>
        </row>
        <row r="3699">
          <cell r="B3699" t="str">
            <v>6900010080256</v>
          </cell>
        </row>
        <row r="3699">
          <cell r="W3699">
            <v>0</v>
          </cell>
        </row>
        <row r="3700">
          <cell r="B3700" t="str">
            <v>GPR-PL02E01048</v>
          </cell>
        </row>
        <row r="3700">
          <cell r="W3700">
            <v>0</v>
          </cell>
        </row>
        <row r="3701">
          <cell r="B3701" t="str">
            <v>69000030103182</v>
          </cell>
        </row>
        <row r="3701">
          <cell r="W3701">
            <v>0</v>
          </cell>
        </row>
        <row r="3702">
          <cell r="B3702" t="str">
            <v>GPR-PT01M21007</v>
          </cell>
        </row>
        <row r="3702">
          <cell r="W3702">
            <v>0</v>
          </cell>
        </row>
        <row r="3703">
          <cell r="B3703" t="str">
            <v>10049877717700</v>
          </cell>
        </row>
        <row r="3703">
          <cell r="W3703">
            <v>-10</v>
          </cell>
        </row>
        <row r="3704">
          <cell r="B3704" t="str">
            <v>GPR-EL04C01008</v>
          </cell>
        </row>
        <row r="3704">
          <cell r="W3704">
            <v>0</v>
          </cell>
        </row>
        <row r="3705">
          <cell r="B3705" t="str">
            <v>B9033CMWE</v>
          </cell>
        </row>
        <row r="3705">
          <cell r="W3705">
            <v>0</v>
          </cell>
        </row>
        <row r="3706">
          <cell r="B3706" t="str">
            <v>GPR-PL02E01049</v>
          </cell>
        </row>
        <row r="3706">
          <cell r="W3706">
            <v>0</v>
          </cell>
        </row>
        <row r="3707">
          <cell r="B3707" t="str">
            <v>6900010105713</v>
          </cell>
        </row>
        <row r="3707">
          <cell r="W3707">
            <v>0</v>
          </cell>
        </row>
        <row r="3708">
          <cell r="B3708" t="str">
            <v>VPR-EL23M11001</v>
          </cell>
        </row>
        <row r="3708">
          <cell r="W3708">
            <v>0</v>
          </cell>
        </row>
        <row r="3709">
          <cell r="B3709" t="str">
            <v>GPR-MB08L00001</v>
          </cell>
        </row>
        <row r="3709">
          <cell r="W3709">
            <v>0</v>
          </cell>
        </row>
        <row r="3710">
          <cell r="B3710" t="str">
            <v>6900005051213</v>
          </cell>
        </row>
        <row r="3710">
          <cell r="W3710">
            <v>0</v>
          </cell>
        </row>
        <row r="3711">
          <cell r="B3711" t="str">
            <v>GPR-WD04J03002</v>
          </cell>
        </row>
        <row r="3711">
          <cell r="W3711">
            <v>0</v>
          </cell>
        </row>
        <row r="3712">
          <cell r="B3712" t="str">
            <v>102580</v>
          </cell>
        </row>
        <row r="3712">
          <cell r="W3712">
            <v>0</v>
          </cell>
        </row>
        <row r="3713">
          <cell r="B3713" t="str">
            <v>6900008072727</v>
          </cell>
        </row>
        <row r="3713">
          <cell r="W3713">
            <v>0</v>
          </cell>
        </row>
        <row r="3714">
          <cell r="B3714" t="str">
            <v>10055677718102</v>
          </cell>
        </row>
        <row r="3714">
          <cell r="W3714">
            <v>0</v>
          </cell>
        </row>
        <row r="3715">
          <cell r="B3715" t="str">
            <v>GPR-PL02E01050</v>
          </cell>
        </row>
        <row r="3715">
          <cell r="W3715">
            <v>0</v>
          </cell>
        </row>
        <row r="3716">
          <cell r="B3716" t="str">
            <v>10047277718500</v>
          </cell>
        </row>
        <row r="3716">
          <cell r="W3716">
            <v>0</v>
          </cell>
        </row>
        <row r="3717">
          <cell r="B3717" t="str">
            <v>GPR-OS11C00001</v>
          </cell>
        </row>
        <row r="3717">
          <cell r="W3717">
            <v>0</v>
          </cell>
        </row>
        <row r="3718">
          <cell r="B3718" t="str">
            <v>VPR-AP04C11001</v>
          </cell>
        </row>
        <row r="3718">
          <cell r="W3718">
            <v>-1</v>
          </cell>
        </row>
        <row r="3719">
          <cell r="B3719" t="str">
            <v>GPR-PL02E01070</v>
          </cell>
        </row>
        <row r="3719">
          <cell r="W3719">
            <v>0</v>
          </cell>
        </row>
        <row r="3720">
          <cell r="B3720" t="str">
            <v>GPR-WD04S21001</v>
          </cell>
        </row>
        <row r="3720">
          <cell r="W3720">
            <v>0</v>
          </cell>
        </row>
        <row r="3721">
          <cell r="B3721" t="str">
            <v>10055677718100</v>
          </cell>
        </row>
        <row r="3721">
          <cell r="W3721">
            <v>0</v>
          </cell>
        </row>
        <row r="3722">
          <cell r="B3722" t="str">
            <v>GPR-PL02E01066</v>
          </cell>
        </row>
        <row r="3722">
          <cell r="W3722">
            <v>-0.0012</v>
          </cell>
        </row>
        <row r="3723">
          <cell r="B3723" t="str">
            <v>6900010107014</v>
          </cell>
        </row>
        <row r="3723">
          <cell r="W3723">
            <v>0</v>
          </cell>
        </row>
        <row r="3724">
          <cell r="B3724" t="str">
            <v>GPR-EL04C01007</v>
          </cell>
        </row>
        <row r="3724">
          <cell r="W3724">
            <v>0</v>
          </cell>
        </row>
        <row r="3725">
          <cell r="B3725" t="str">
            <v>GPR-SP01M21039</v>
          </cell>
        </row>
        <row r="3725">
          <cell r="W3725">
            <v>0</v>
          </cell>
        </row>
        <row r="3726">
          <cell r="B3726" t="str">
            <v>GPR-MB02L03006</v>
          </cell>
        </row>
        <row r="3726">
          <cell r="W3726">
            <v>0</v>
          </cell>
        </row>
        <row r="3727">
          <cell r="B3727" t="str">
            <v>014546100</v>
          </cell>
        </row>
        <row r="3727">
          <cell r="W3727">
            <v>0</v>
          </cell>
        </row>
        <row r="3728">
          <cell r="B3728" t="str">
            <v>102242</v>
          </cell>
        </row>
        <row r="3728">
          <cell r="W3728">
            <v>0</v>
          </cell>
        </row>
        <row r="3729">
          <cell r="B3729" t="str">
            <v>GPR-MB29N02001</v>
          </cell>
        </row>
        <row r="3729">
          <cell r="W3729">
            <v>0</v>
          </cell>
        </row>
        <row r="3730">
          <cell r="B3730" t="str">
            <v>GPR-PL02E01051</v>
          </cell>
        </row>
        <row r="3730">
          <cell r="W3730">
            <v>0</v>
          </cell>
        </row>
        <row r="3731">
          <cell r="B3731" t="str">
            <v>VPR-HD08M11001</v>
          </cell>
        </row>
        <row r="3731">
          <cell r="W3731">
            <v>0</v>
          </cell>
        </row>
        <row r="3732">
          <cell r="B3732" t="str">
            <v>GPR-HD11S21001</v>
          </cell>
        </row>
        <row r="3732">
          <cell r="W3732">
            <v>0</v>
          </cell>
        </row>
        <row r="3733">
          <cell r="B3733" t="str">
            <v>GPR-SP01M21038</v>
          </cell>
        </row>
        <row r="3733">
          <cell r="W3733">
            <v>0</v>
          </cell>
        </row>
        <row r="3734">
          <cell r="B3734" t="str">
            <v>6900010080257</v>
          </cell>
        </row>
        <row r="3734">
          <cell r="W3734">
            <v>0</v>
          </cell>
        </row>
        <row r="3735">
          <cell r="B3735" t="str">
            <v>GPR-EL04C01006</v>
          </cell>
        </row>
        <row r="3735">
          <cell r="W3735">
            <v>0</v>
          </cell>
        </row>
        <row r="3736">
          <cell r="B3736" t="str">
            <v>VPR-HD13M11002</v>
          </cell>
        </row>
        <row r="3736">
          <cell r="W3736">
            <v>0</v>
          </cell>
        </row>
        <row r="3737">
          <cell r="B3737" t="str">
            <v>10044677717300</v>
          </cell>
        </row>
        <row r="3737">
          <cell r="W3737">
            <v>0</v>
          </cell>
        </row>
        <row r="3738">
          <cell r="B3738" t="str">
            <v>GPR-SE10D01001</v>
          </cell>
        </row>
        <row r="3738">
          <cell r="W3738">
            <v>0</v>
          </cell>
        </row>
        <row r="3739">
          <cell r="B3739" t="str">
            <v>VPR-MB14C11001</v>
          </cell>
        </row>
        <row r="3739">
          <cell r="W3739">
            <v>0</v>
          </cell>
        </row>
        <row r="3740">
          <cell r="B3740" t="str">
            <v>GPR-PL02E01054</v>
          </cell>
        </row>
        <row r="3740">
          <cell r="W3740">
            <v>0</v>
          </cell>
        </row>
        <row r="3741">
          <cell r="B3741" t="str">
            <v>6900012091347</v>
          </cell>
        </row>
        <row r="3741">
          <cell r="W3741">
            <v>0</v>
          </cell>
        </row>
        <row r="3742">
          <cell r="B3742" t="str">
            <v>GPR-OT02M21046</v>
          </cell>
        </row>
        <row r="3742">
          <cell r="W3742">
            <v>0</v>
          </cell>
        </row>
        <row r="3743">
          <cell r="B3743" t="str">
            <v>B9025CM BK</v>
          </cell>
        </row>
        <row r="3743">
          <cell r="W3743">
            <v>0</v>
          </cell>
        </row>
        <row r="3744">
          <cell r="B3744" t="str">
            <v>6900010082514</v>
          </cell>
        </row>
        <row r="3744">
          <cell r="W3744">
            <v>0</v>
          </cell>
        </row>
        <row r="3745">
          <cell r="B3745" t="str">
            <v>GPR-PL02E01053</v>
          </cell>
        </row>
        <row r="3745">
          <cell r="W3745">
            <v>-0.0004</v>
          </cell>
        </row>
        <row r="3746">
          <cell r="B3746" t="str">
            <v>100017</v>
          </cell>
        </row>
        <row r="3746">
          <cell r="W3746">
            <v>0</v>
          </cell>
        </row>
        <row r="3747">
          <cell r="B3747" t="str">
            <v>B9032CM BK</v>
          </cell>
        </row>
        <row r="3747">
          <cell r="W3747">
            <v>0</v>
          </cell>
        </row>
        <row r="3748">
          <cell r="B3748" t="str">
            <v>VPR-SE04D33001</v>
          </cell>
        </row>
        <row r="3748">
          <cell r="W3748">
            <v>0</v>
          </cell>
        </row>
        <row r="3749">
          <cell r="B3749" t="str">
            <v>VPR-HD17M11001</v>
          </cell>
        </row>
        <row r="3749">
          <cell r="W3749">
            <v>0</v>
          </cell>
        </row>
        <row r="3750">
          <cell r="B3750" t="str">
            <v>GPR-EL04C01005</v>
          </cell>
        </row>
        <row r="3750">
          <cell r="W3750">
            <v>0</v>
          </cell>
        </row>
        <row r="3751">
          <cell r="B3751" t="str">
            <v>GPR-PL02E01056</v>
          </cell>
        </row>
        <row r="3751">
          <cell r="W3751">
            <v>-0.0072</v>
          </cell>
        </row>
        <row r="3752">
          <cell r="B3752" t="str">
            <v>VPR-SE04D11001</v>
          </cell>
        </row>
        <row r="3752">
          <cell r="W3752">
            <v>0</v>
          </cell>
        </row>
        <row r="3753">
          <cell r="B3753" t="str">
            <v>GPR-SP00M13001</v>
          </cell>
        </row>
        <row r="3753">
          <cell r="W3753">
            <v>0</v>
          </cell>
        </row>
        <row r="3754">
          <cell r="B3754" t="str">
            <v>GPR-PL02E01055</v>
          </cell>
        </row>
        <row r="3754">
          <cell r="W3754">
            <v>-0.0012</v>
          </cell>
        </row>
        <row r="3755">
          <cell r="B3755" t="str">
            <v>VPR-HD14M11001</v>
          </cell>
        </row>
        <row r="3755">
          <cell r="W3755">
            <v>0</v>
          </cell>
        </row>
        <row r="3756">
          <cell r="B3756" t="str">
            <v>VPR-SE04D13002</v>
          </cell>
        </row>
        <row r="3756">
          <cell r="W3756">
            <v>0</v>
          </cell>
        </row>
        <row r="3757">
          <cell r="B3757" t="str">
            <v>6900010080258</v>
          </cell>
        </row>
        <row r="3757">
          <cell r="W3757">
            <v>0</v>
          </cell>
        </row>
        <row r="3758">
          <cell r="B3758" t="str">
            <v>GPR-SP00M21004</v>
          </cell>
        </row>
        <row r="3758">
          <cell r="W3758">
            <v>0</v>
          </cell>
        </row>
        <row r="3759">
          <cell r="B3759" t="str">
            <v>GPR-PL02E01057</v>
          </cell>
        </row>
        <row r="3759">
          <cell r="W3759">
            <v>0</v>
          </cell>
        </row>
        <row r="3760">
          <cell r="B3760" t="str">
            <v>GPR-PT03D01003</v>
          </cell>
        </row>
        <row r="3760">
          <cell r="W3760">
            <v>0</v>
          </cell>
        </row>
        <row r="3761">
          <cell r="B3761" t="str">
            <v>VPR-HD16M11001</v>
          </cell>
        </row>
        <row r="3761">
          <cell r="W3761">
            <v>0</v>
          </cell>
        </row>
        <row r="3762">
          <cell r="B3762" t="str">
            <v>GPR-SP00M21003</v>
          </cell>
        </row>
        <row r="3762">
          <cell r="W3762">
            <v>0</v>
          </cell>
        </row>
        <row r="3763">
          <cell r="B3763" t="str">
            <v>84818040900002</v>
          </cell>
        </row>
        <row r="3763">
          <cell r="W3763">
            <v>-2399</v>
          </cell>
        </row>
        <row r="3764">
          <cell r="B3764" t="str">
            <v>69000030103183</v>
          </cell>
        </row>
        <row r="3764">
          <cell r="W3764">
            <v>0</v>
          </cell>
        </row>
        <row r="3765">
          <cell r="B3765" t="str">
            <v>GPR-SE01C33001</v>
          </cell>
        </row>
        <row r="3765">
          <cell r="W3765">
            <v>0</v>
          </cell>
        </row>
        <row r="3766">
          <cell r="B3766" t="str">
            <v>102222</v>
          </cell>
        </row>
        <row r="3766">
          <cell r="W3766">
            <v>0</v>
          </cell>
        </row>
        <row r="3767">
          <cell r="B3767" t="str">
            <v>GPR-PL02E01058</v>
          </cell>
        </row>
        <row r="3767">
          <cell r="W3767">
            <v>0</v>
          </cell>
        </row>
        <row r="3768">
          <cell r="B3768" t="str">
            <v>69000030103184</v>
          </cell>
        </row>
        <row r="3768">
          <cell r="W3768">
            <v>0</v>
          </cell>
        </row>
        <row r="3769">
          <cell r="B3769" t="str">
            <v>0122133905</v>
          </cell>
        </row>
        <row r="3769">
          <cell r="W3769">
            <v>0</v>
          </cell>
        </row>
        <row r="3770">
          <cell r="B3770" t="str">
            <v>6900010080259</v>
          </cell>
        </row>
        <row r="3770">
          <cell r="W3770">
            <v>0</v>
          </cell>
        </row>
        <row r="3771">
          <cell r="B3771" t="str">
            <v>84818040900001</v>
          </cell>
        </row>
        <row r="3771">
          <cell r="W3771">
            <v>-1755</v>
          </cell>
        </row>
        <row r="3772">
          <cell r="B3772" t="str">
            <v>GPR-SP00R02002</v>
          </cell>
        </row>
        <row r="3772">
          <cell r="W3772">
            <v>0</v>
          </cell>
        </row>
        <row r="3773">
          <cell r="B3773" t="str">
            <v>6900010080184</v>
          </cell>
        </row>
        <row r="3773">
          <cell r="W3773">
            <v>0</v>
          </cell>
        </row>
        <row r="3774">
          <cell r="B3774" t="str">
            <v>GPR-BT01J02002</v>
          </cell>
        </row>
        <row r="3774">
          <cell r="W3774">
            <v>0</v>
          </cell>
        </row>
        <row r="3775">
          <cell r="B3775" t="str">
            <v>GPR-PL02E01060</v>
          </cell>
        </row>
        <row r="3775">
          <cell r="W3775">
            <v>-0.0108</v>
          </cell>
        </row>
        <row r="3776">
          <cell r="B3776" t="str">
            <v>0117321300</v>
          </cell>
        </row>
        <row r="3776">
          <cell r="W3776">
            <v>0</v>
          </cell>
        </row>
        <row r="3777">
          <cell r="B3777" t="str">
            <v>GPR-PT03D01004</v>
          </cell>
        </row>
        <row r="3777">
          <cell r="W3777">
            <v>0</v>
          </cell>
        </row>
        <row r="3778">
          <cell r="B3778" t="str">
            <v>GPR-HO03P01002</v>
          </cell>
        </row>
        <row r="3778">
          <cell r="W3778">
            <v>0</v>
          </cell>
        </row>
        <row r="3779">
          <cell r="B3779" t="str">
            <v>GPR-OS02M03007</v>
          </cell>
        </row>
        <row r="3779">
          <cell r="W3779">
            <v>0</v>
          </cell>
        </row>
        <row r="3780">
          <cell r="B3780" t="str">
            <v>69000030103148</v>
          </cell>
        </row>
        <row r="3780">
          <cell r="W3780">
            <v>0</v>
          </cell>
        </row>
        <row r="3781">
          <cell r="B3781" t="str">
            <v>69000030103133</v>
          </cell>
        </row>
        <row r="3781">
          <cell r="W3781">
            <v>0</v>
          </cell>
        </row>
        <row r="3782">
          <cell r="B3782" t="str">
            <v>6900010080187</v>
          </cell>
        </row>
        <row r="3782">
          <cell r="W3782">
            <v>0</v>
          </cell>
        </row>
        <row r="3783">
          <cell r="B3783" t="str">
            <v>GPR-EQ28L02001</v>
          </cell>
        </row>
        <row r="3783">
          <cell r="W3783">
            <v>0</v>
          </cell>
        </row>
        <row r="3784">
          <cell r="B3784" t="str">
            <v>GPR-ME05A01033</v>
          </cell>
        </row>
        <row r="3784">
          <cell r="W3784">
            <v>0</v>
          </cell>
        </row>
        <row r="3785">
          <cell r="B3785" t="str">
            <v>GPR-PL02E01062</v>
          </cell>
        </row>
        <row r="3785">
          <cell r="W3785">
            <v>0</v>
          </cell>
        </row>
        <row r="3786">
          <cell r="B3786" t="str">
            <v>GPR-HO03P01001</v>
          </cell>
        </row>
        <row r="3786">
          <cell r="W3786">
            <v>0</v>
          </cell>
        </row>
        <row r="3787">
          <cell r="B3787" t="str">
            <v>GPR-PL01N01001</v>
          </cell>
        </row>
        <row r="3787">
          <cell r="W3787">
            <v>0</v>
          </cell>
        </row>
        <row r="3788">
          <cell r="B3788" t="str">
            <v>102223</v>
          </cell>
        </row>
        <row r="3788">
          <cell r="W3788">
            <v>0</v>
          </cell>
        </row>
        <row r="3789">
          <cell r="B3789" t="str">
            <v>GPR-PT10C00001</v>
          </cell>
        </row>
        <row r="3789">
          <cell r="W3789">
            <v>0</v>
          </cell>
        </row>
        <row r="3790">
          <cell r="B3790" t="str">
            <v>GPR-BT01J02001</v>
          </cell>
        </row>
        <row r="3790">
          <cell r="W3790">
            <v>0</v>
          </cell>
        </row>
        <row r="3791">
          <cell r="B3791" t="str">
            <v>GPR-PL02M21001</v>
          </cell>
        </row>
        <row r="3791">
          <cell r="W3791">
            <v>0</v>
          </cell>
        </row>
        <row r="3792">
          <cell r="B3792" t="str">
            <v>GPR-PL02E01067</v>
          </cell>
        </row>
        <row r="3792">
          <cell r="W3792">
            <v>-0.0004</v>
          </cell>
        </row>
        <row r="3793">
          <cell r="B3793" t="str">
            <v>0117722600</v>
          </cell>
        </row>
        <row r="3793">
          <cell r="W3793">
            <v>0</v>
          </cell>
        </row>
        <row r="3794">
          <cell r="B3794" t="str">
            <v>6900010105711</v>
          </cell>
        </row>
        <row r="3794">
          <cell r="W3794">
            <v>-48</v>
          </cell>
        </row>
        <row r="3795">
          <cell r="B3795" t="str">
            <v>69000030103239</v>
          </cell>
        </row>
        <row r="3795">
          <cell r="W3795">
            <v>0</v>
          </cell>
        </row>
        <row r="3796">
          <cell r="B3796" t="str">
            <v>GPR-SP25M21014</v>
          </cell>
        </row>
        <row r="3796">
          <cell r="W3796">
            <v>0</v>
          </cell>
        </row>
        <row r="3797">
          <cell r="B3797" t="str">
            <v>VPR-OS01G01002</v>
          </cell>
        </row>
        <row r="3797">
          <cell r="W3797">
            <v>0</v>
          </cell>
        </row>
        <row r="3798">
          <cell r="B3798" t="str">
            <v>GPR-EQ15R02001</v>
          </cell>
        </row>
        <row r="3798">
          <cell r="W3798">
            <v>0</v>
          </cell>
        </row>
        <row r="3799">
          <cell r="B3799" t="str">
            <v>GPR-SE06D33001</v>
          </cell>
        </row>
        <row r="3799">
          <cell r="W3799">
            <v>0</v>
          </cell>
        </row>
        <row r="3800">
          <cell r="B3800" t="str">
            <v>GPR-SP01M21037</v>
          </cell>
        </row>
        <row r="3800">
          <cell r="W3800">
            <v>0</v>
          </cell>
        </row>
        <row r="3801">
          <cell r="B3801" t="str">
            <v>VPR-EQ37G00001</v>
          </cell>
        </row>
        <row r="3801">
          <cell r="W3801">
            <v>0</v>
          </cell>
        </row>
        <row r="3802">
          <cell r="B3802" t="str">
            <v>6900010080188</v>
          </cell>
        </row>
        <row r="3802">
          <cell r="W3802">
            <v>0</v>
          </cell>
        </row>
        <row r="3803">
          <cell r="B3803" t="str">
            <v>GPR-EQ18M04001</v>
          </cell>
        </row>
        <row r="3803">
          <cell r="W3803">
            <v>0</v>
          </cell>
        </row>
        <row r="3804">
          <cell r="B3804" t="str">
            <v>GPR-PT10M02001</v>
          </cell>
        </row>
        <row r="3804">
          <cell r="W3804">
            <v>0</v>
          </cell>
        </row>
        <row r="3805">
          <cell r="B3805" t="str">
            <v>VPR-HO05D01002</v>
          </cell>
        </row>
        <row r="3805">
          <cell r="W3805">
            <v>0</v>
          </cell>
        </row>
        <row r="3806">
          <cell r="B3806" t="str">
            <v>0119729800</v>
          </cell>
        </row>
        <row r="3806">
          <cell r="W3806">
            <v>0</v>
          </cell>
        </row>
        <row r="3807">
          <cell r="B3807" t="str">
            <v>GPR-SP25M21013</v>
          </cell>
        </row>
        <row r="3807">
          <cell r="W3807">
            <v>0</v>
          </cell>
        </row>
        <row r="3808">
          <cell r="B3808" t="str">
            <v>80213142</v>
          </cell>
        </row>
        <row r="3808">
          <cell r="W3808">
            <v>0</v>
          </cell>
        </row>
        <row r="3809">
          <cell r="B3809" t="str">
            <v>VPR-HO05D01004</v>
          </cell>
        </row>
        <row r="3809">
          <cell r="W3809">
            <v>0</v>
          </cell>
        </row>
        <row r="3810">
          <cell r="B3810" t="str">
            <v>GPR-WD02M22002</v>
          </cell>
        </row>
        <row r="3810">
          <cell r="W3810">
            <v>0</v>
          </cell>
        </row>
        <row r="3811">
          <cell r="B3811" t="str">
            <v>GPR-SP33R02003</v>
          </cell>
        </row>
        <row r="3811">
          <cell r="W3811">
            <v>0</v>
          </cell>
        </row>
        <row r="3812">
          <cell r="B3812" t="str">
            <v>GPR-PT02C13003</v>
          </cell>
        </row>
        <row r="3812">
          <cell r="W3812">
            <v>0</v>
          </cell>
        </row>
        <row r="3813">
          <cell r="B3813" t="str">
            <v>6900005050617</v>
          </cell>
        </row>
        <row r="3813">
          <cell r="W3813">
            <v>0</v>
          </cell>
        </row>
        <row r="3814">
          <cell r="B3814" t="str">
            <v>GPR-OT02M21015</v>
          </cell>
        </row>
        <row r="3814">
          <cell r="W3814">
            <v>0</v>
          </cell>
        </row>
        <row r="3815">
          <cell r="B3815" t="str">
            <v>GPR-PT02C13002</v>
          </cell>
        </row>
        <row r="3815">
          <cell r="W3815">
            <v>0</v>
          </cell>
        </row>
        <row r="3816">
          <cell r="B3816" t="str">
            <v>69000030103109</v>
          </cell>
        </row>
        <row r="3816">
          <cell r="W3816">
            <v>0</v>
          </cell>
        </row>
        <row r="3817">
          <cell r="B3817" t="str">
            <v>GPR-EQ53C01001</v>
          </cell>
        </row>
        <row r="3817">
          <cell r="W3817">
            <v>0</v>
          </cell>
        </row>
        <row r="3818">
          <cell r="B3818" t="str">
            <v>GPR-WD02M22004</v>
          </cell>
        </row>
        <row r="3818">
          <cell r="W3818">
            <v>0</v>
          </cell>
        </row>
        <row r="3819">
          <cell r="B3819" t="str">
            <v>6900001010124</v>
          </cell>
        </row>
        <row r="3819">
          <cell r="W3819">
            <v>0</v>
          </cell>
        </row>
        <row r="3820">
          <cell r="B3820" t="str">
            <v>69000030103110</v>
          </cell>
        </row>
        <row r="3820">
          <cell r="W3820">
            <v>0</v>
          </cell>
        </row>
        <row r="3821">
          <cell r="B3821" t="str">
            <v>GPR-SP25M21012</v>
          </cell>
        </row>
        <row r="3821">
          <cell r="W3821">
            <v>0</v>
          </cell>
        </row>
        <row r="3822">
          <cell r="B3822" t="str">
            <v>GPR-HO09O04001</v>
          </cell>
        </row>
        <row r="3822">
          <cell r="W3822">
            <v>0</v>
          </cell>
        </row>
        <row r="3823">
          <cell r="B3823" t="str">
            <v>100612</v>
          </cell>
        </row>
        <row r="3823">
          <cell r="W3823">
            <v>0</v>
          </cell>
        </row>
        <row r="3824">
          <cell r="B3824" t="str">
            <v>GPR-OS07W00001</v>
          </cell>
        </row>
        <row r="3824">
          <cell r="W3824">
            <v>0</v>
          </cell>
        </row>
        <row r="3825">
          <cell r="B3825" t="str">
            <v>6900010080270</v>
          </cell>
        </row>
        <row r="3825">
          <cell r="W3825">
            <v>0</v>
          </cell>
        </row>
        <row r="3826">
          <cell r="B3826" t="str">
            <v>GPR-SE01D02001</v>
          </cell>
        </row>
        <row r="3826">
          <cell r="W3826">
            <v>0</v>
          </cell>
        </row>
        <row r="3827">
          <cell r="B3827" t="str">
            <v>GPR-HD04M21005</v>
          </cell>
        </row>
        <row r="3827">
          <cell r="W3827">
            <v>0</v>
          </cell>
        </row>
        <row r="3828">
          <cell r="B3828" t="str">
            <v>0118229900</v>
          </cell>
        </row>
        <row r="3828">
          <cell r="W3828">
            <v>0</v>
          </cell>
        </row>
        <row r="3829">
          <cell r="B3829" t="str">
            <v>6900003010297</v>
          </cell>
        </row>
        <row r="3829">
          <cell r="W3829">
            <v>0</v>
          </cell>
        </row>
        <row r="3830">
          <cell r="B3830" t="str">
            <v>VPR-HO05D01003</v>
          </cell>
        </row>
        <row r="3830">
          <cell r="W3830">
            <v>0</v>
          </cell>
        </row>
        <row r="3831">
          <cell r="B3831" t="str">
            <v>6900003010218</v>
          </cell>
        </row>
        <row r="3831">
          <cell r="W3831">
            <v>0</v>
          </cell>
        </row>
        <row r="3832">
          <cell r="B3832" t="str">
            <v>VPR-HO05D01006</v>
          </cell>
        </row>
        <row r="3832">
          <cell r="W3832">
            <v>0</v>
          </cell>
        </row>
        <row r="3833">
          <cell r="B3833" t="str">
            <v>0115518600</v>
          </cell>
        </row>
        <row r="3833">
          <cell r="W3833">
            <v>0</v>
          </cell>
        </row>
        <row r="3834">
          <cell r="B3834" t="str">
            <v>6900012091340</v>
          </cell>
        </row>
        <row r="3834">
          <cell r="W3834">
            <v>0</v>
          </cell>
        </row>
        <row r="3835">
          <cell r="B3835" t="str">
            <v>GPR-SP43M21001</v>
          </cell>
        </row>
        <row r="3835">
          <cell r="W3835">
            <v>0</v>
          </cell>
        </row>
        <row r="3836">
          <cell r="B3836" t="str">
            <v>0119931100</v>
          </cell>
        </row>
        <row r="3836">
          <cell r="W3836">
            <v>0</v>
          </cell>
        </row>
        <row r="3837">
          <cell r="B3837" t="str">
            <v>6900012091339</v>
          </cell>
        </row>
        <row r="3837">
          <cell r="W3837">
            <v>0</v>
          </cell>
        </row>
        <row r="3838">
          <cell r="B3838" t="str">
            <v>GPR-PT05M21001</v>
          </cell>
        </row>
        <row r="3838">
          <cell r="W3838">
            <v>0</v>
          </cell>
        </row>
        <row r="3839">
          <cell r="B3839" t="str">
            <v>6900001010121</v>
          </cell>
        </row>
        <row r="3839">
          <cell r="W3839">
            <v>0</v>
          </cell>
        </row>
        <row r="3840">
          <cell r="B3840" t="str">
            <v>VPR-SE04D21001</v>
          </cell>
        </row>
        <row r="3840">
          <cell r="W3840">
            <v>0</v>
          </cell>
        </row>
        <row r="3841">
          <cell r="B3841" t="str">
            <v>VPR-HO05D01005</v>
          </cell>
        </row>
        <row r="3841">
          <cell r="W3841">
            <v>0</v>
          </cell>
        </row>
        <row r="3842">
          <cell r="B3842" t="str">
            <v>6900001010120</v>
          </cell>
        </row>
        <row r="3842">
          <cell r="W3842">
            <v>0</v>
          </cell>
        </row>
        <row r="3843">
          <cell r="B3843" t="str">
            <v>GPR-OT02R02007</v>
          </cell>
        </row>
        <row r="3843">
          <cell r="W3843">
            <v>0</v>
          </cell>
        </row>
        <row r="3844">
          <cell r="B3844" t="str">
            <v>6810110000002</v>
          </cell>
        </row>
        <row r="3844">
          <cell r="W3844">
            <v>0</v>
          </cell>
        </row>
        <row r="3845">
          <cell r="B3845" t="str">
            <v>6900010106713</v>
          </cell>
        </row>
        <row r="3845">
          <cell r="W3845">
            <v>0</v>
          </cell>
        </row>
        <row r="3846">
          <cell r="B3846" t="str">
            <v>VPR-SP10M11001</v>
          </cell>
        </row>
        <row r="3846">
          <cell r="W3846">
            <v>0</v>
          </cell>
        </row>
        <row r="3847">
          <cell r="B3847" t="str">
            <v>0118225600</v>
          </cell>
        </row>
        <row r="3847">
          <cell r="W3847">
            <v>0</v>
          </cell>
        </row>
        <row r="3848">
          <cell r="B3848" t="str">
            <v>69000030103218</v>
          </cell>
        </row>
        <row r="3848">
          <cell r="W3848">
            <v>0</v>
          </cell>
        </row>
        <row r="3849">
          <cell r="B3849" t="str">
            <v>6900001010123</v>
          </cell>
        </row>
        <row r="3849">
          <cell r="W3849">
            <v>0</v>
          </cell>
        </row>
        <row r="3850">
          <cell r="B3850" t="str">
            <v>GPR-MB02L00002</v>
          </cell>
        </row>
        <row r="3850">
          <cell r="W3850">
            <v>0</v>
          </cell>
        </row>
        <row r="3851">
          <cell r="B3851" t="str">
            <v>GPR-EL03C01005</v>
          </cell>
        </row>
        <row r="3851">
          <cell r="W3851">
            <v>0</v>
          </cell>
        </row>
        <row r="3852">
          <cell r="B3852" t="str">
            <v>6900003010229</v>
          </cell>
        </row>
        <row r="3852">
          <cell r="W3852">
            <v>0</v>
          </cell>
        </row>
        <row r="3853">
          <cell r="B3853" t="str">
            <v>GPR-HS03R02002</v>
          </cell>
        </row>
        <row r="3853">
          <cell r="W3853">
            <v>0</v>
          </cell>
        </row>
        <row r="3854">
          <cell r="B3854" t="str">
            <v>VPR-HO05D01007</v>
          </cell>
        </row>
        <row r="3854">
          <cell r="W3854">
            <v>0</v>
          </cell>
        </row>
        <row r="3855">
          <cell r="B3855" t="str">
            <v>GPR-EL03C01002</v>
          </cell>
        </row>
        <row r="3855">
          <cell r="W3855">
            <v>0</v>
          </cell>
        </row>
        <row r="3856">
          <cell r="B3856" t="str">
            <v>GPR-HS01R02001</v>
          </cell>
        </row>
        <row r="3856">
          <cell r="W3856">
            <v>0</v>
          </cell>
        </row>
        <row r="3857">
          <cell r="B3857" t="str">
            <v>GPR-HS03R02003</v>
          </cell>
        </row>
        <row r="3857">
          <cell r="W3857">
            <v>0</v>
          </cell>
        </row>
        <row r="3858">
          <cell r="B3858" t="str">
            <v>GPR-SP03R02003</v>
          </cell>
        </row>
        <row r="3858">
          <cell r="W3858">
            <v>0</v>
          </cell>
        </row>
        <row r="3859">
          <cell r="B3859" t="str">
            <v>6900001010122</v>
          </cell>
        </row>
        <row r="3859">
          <cell r="W3859">
            <v>0</v>
          </cell>
        </row>
        <row r="3860">
          <cell r="B3860" t="str">
            <v>GPR-HD08M21001</v>
          </cell>
        </row>
        <row r="3860">
          <cell r="W3860">
            <v>0</v>
          </cell>
        </row>
        <row r="3861">
          <cell r="B3861" t="str">
            <v>GPR-HO06L01005</v>
          </cell>
        </row>
        <row r="3861">
          <cell r="W3861">
            <v>0</v>
          </cell>
        </row>
        <row r="3862">
          <cell r="B3862" t="str">
            <v>GPR-HS01R02002</v>
          </cell>
        </row>
        <row r="3862">
          <cell r="W3862">
            <v>0</v>
          </cell>
        </row>
        <row r="3863">
          <cell r="B3863" t="str">
            <v>GPR-HS03R02005</v>
          </cell>
        </row>
        <row r="3863">
          <cell r="W3863">
            <v>0</v>
          </cell>
        </row>
        <row r="3864">
          <cell r="B3864" t="str">
            <v>GPR-EL03C01001</v>
          </cell>
        </row>
        <row r="3864">
          <cell r="W3864">
            <v>0</v>
          </cell>
        </row>
        <row r="3865">
          <cell r="B3865" t="str">
            <v>GPR-SP03R02004</v>
          </cell>
        </row>
        <row r="3865">
          <cell r="W3865">
            <v>0</v>
          </cell>
        </row>
        <row r="3866">
          <cell r="B3866" t="str">
            <v>GPR-EL03C01004</v>
          </cell>
        </row>
        <row r="3866">
          <cell r="W3866">
            <v>0</v>
          </cell>
        </row>
        <row r="3867">
          <cell r="B3867" t="str">
            <v>0115819400</v>
          </cell>
        </row>
        <row r="3867">
          <cell r="W3867">
            <v>0</v>
          </cell>
        </row>
        <row r="3868">
          <cell r="B3868" t="str">
            <v>GPR-HS03R02006</v>
          </cell>
        </row>
        <row r="3868">
          <cell r="W3868">
            <v>0</v>
          </cell>
        </row>
        <row r="3869">
          <cell r="B3869" t="str">
            <v>GPR-MB17S21001</v>
          </cell>
        </row>
        <row r="3869">
          <cell r="W3869">
            <v>0</v>
          </cell>
        </row>
        <row r="3870">
          <cell r="B3870" t="str">
            <v>GPR-HD17M14001</v>
          </cell>
        </row>
        <row r="3870">
          <cell r="W3870">
            <v>0</v>
          </cell>
        </row>
        <row r="3871">
          <cell r="B3871" t="str">
            <v>VPR-SP09M21001</v>
          </cell>
        </row>
        <row r="3871">
          <cell r="W3871">
            <v>0</v>
          </cell>
        </row>
        <row r="3872">
          <cell r="B3872" t="str">
            <v>GPR-EL03C01003</v>
          </cell>
        </row>
        <row r="3872">
          <cell r="W3872">
            <v>0</v>
          </cell>
        </row>
        <row r="3873">
          <cell r="B3873" t="str">
            <v>GPR-HS03R02007</v>
          </cell>
        </row>
        <row r="3873">
          <cell r="W3873">
            <v>0</v>
          </cell>
        </row>
        <row r="3874">
          <cell r="B3874" t="str">
            <v>GPR-AP08R15003</v>
          </cell>
        </row>
        <row r="3874">
          <cell r="W3874">
            <v>0</v>
          </cell>
        </row>
        <row r="3875">
          <cell r="B3875" t="str">
            <v>GPR-AP03R15001</v>
          </cell>
        </row>
        <row r="3875">
          <cell r="W3875">
            <v>0</v>
          </cell>
        </row>
        <row r="3876">
          <cell r="B3876" t="str">
            <v>6900010080138</v>
          </cell>
        </row>
        <row r="3876">
          <cell r="W3876">
            <v>0</v>
          </cell>
        </row>
        <row r="3877">
          <cell r="B3877" t="str">
            <v>80090936</v>
          </cell>
        </row>
        <row r="3877">
          <cell r="W3877">
            <v>0</v>
          </cell>
        </row>
        <row r="3878">
          <cell r="B3878" t="str">
            <v>GPR-EL14C01002</v>
          </cell>
        </row>
        <row r="3878">
          <cell r="W3878">
            <v>0</v>
          </cell>
        </row>
        <row r="3879">
          <cell r="B3879" t="str">
            <v>GPR-HO04C00001</v>
          </cell>
        </row>
        <row r="3879">
          <cell r="W3879">
            <v>0</v>
          </cell>
        </row>
        <row r="3880">
          <cell r="B3880" t="str">
            <v>GPR-SP09M21006</v>
          </cell>
        </row>
        <row r="3880">
          <cell r="W3880">
            <v>0</v>
          </cell>
        </row>
        <row r="3881">
          <cell r="B3881" t="str">
            <v>6900009060327</v>
          </cell>
        </row>
        <row r="3881">
          <cell r="W3881">
            <v>0</v>
          </cell>
        </row>
        <row r="3882">
          <cell r="B3882" t="str">
            <v>GPR-HS03R02004</v>
          </cell>
        </row>
        <row r="3882">
          <cell r="W3882">
            <v>0</v>
          </cell>
        </row>
        <row r="3883">
          <cell r="B3883" t="str">
            <v>6900010080145</v>
          </cell>
        </row>
        <row r="3883">
          <cell r="W3883">
            <v>0</v>
          </cell>
        </row>
        <row r="3884">
          <cell r="B3884" t="str">
            <v>GPR-EL03C01006</v>
          </cell>
        </row>
        <row r="3884">
          <cell r="W3884">
            <v>0</v>
          </cell>
        </row>
        <row r="3885">
          <cell r="B3885" t="str">
            <v>GPR-PL02C01004</v>
          </cell>
        </row>
        <row r="3885">
          <cell r="W3885">
            <v>0</v>
          </cell>
        </row>
        <row r="3886">
          <cell r="B3886" t="str">
            <v>GPR-SP09M21007</v>
          </cell>
        </row>
        <row r="3886">
          <cell r="W3886">
            <v>0</v>
          </cell>
        </row>
        <row r="3887">
          <cell r="B3887" t="str">
            <v>GPR-HO03M01001</v>
          </cell>
        </row>
        <row r="3887">
          <cell r="W3887">
            <v>0</v>
          </cell>
        </row>
        <row r="3888">
          <cell r="B3888" t="str">
            <v>0115818800</v>
          </cell>
        </row>
        <row r="3888">
          <cell r="W3888">
            <v>0</v>
          </cell>
        </row>
        <row r="3889">
          <cell r="B3889" t="str">
            <v>GPR-MB02L01019</v>
          </cell>
        </row>
        <row r="3889">
          <cell r="W3889">
            <v>0</v>
          </cell>
        </row>
        <row r="3890">
          <cell r="B3890" t="str">
            <v>GPR-MB14M21005</v>
          </cell>
        </row>
        <row r="3890">
          <cell r="W3890">
            <v>0</v>
          </cell>
        </row>
        <row r="3891">
          <cell r="B3891" t="str">
            <v>GPR-HS03R02001</v>
          </cell>
        </row>
        <row r="3891">
          <cell r="W3891">
            <v>0</v>
          </cell>
        </row>
        <row r="3892">
          <cell r="B3892" t="str">
            <v>6900010080147</v>
          </cell>
        </row>
        <row r="3892">
          <cell r="W3892">
            <v>0</v>
          </cell>
        </row>
        <row r="3893">
          <cell r="B3893" t="str">
            <v>0115819300</v>
          </cell>
        </row>
        <row r="3893">
          <cell r="W3893">
            <v>0</v>
          </cell>
        </row>
        <row r="3894">
          <cell r="B3894" t="str">
            <v>GPR-SP09M21008</v>
          </cell>
        </row>
        <row r="3894">
          <cell r="W3894">
            <v>0</v>
          </cell>
        </row>
        <row r="3895">
          <cell r="B3895" t="str">
            <v>6900010080142</v>
          </cell>
        </row>
        <row r="3895">
          <cell r="W3895">
            <v>0</v>
          </cell>
        </row>
        <row r="3896">
          <cell r="B3896" t="str">
            <v>VPR-OS01G01007</v>
          </cell>
        </row>
        <row r="3896">
          <cell r="W3896">
            <v>0</v>
          </cell>
        </row>
        <row r="3897">
          <cell r="B3897" t="str">
            <v>102581</v>
          </cell>
        </row>
        <row r="3897">
          <cell r="W3897">
            <v>0</v>
          </cell>
        </row>
        <row r="3898">
          <cell r="B3898" t="str">
            <v>GPR-AP06C15001</v>
          </cell>
        </row>
        <row r="3898">
          <cell r="W3898">
            <v>0</v>
          </cell>
        </row>
        <row r="3899">
          <cell r="B3899" t="str">
            <v>GPR-HO01C13002</v>
          </cell>
        </row>
        <row r="3899">
          <cell r="W3899">
            <v>0</v>
          </cell>
        </row>
        <row r="3900">
          <cell r="B3900" t="str">
            <v>GPR-SP22M21001</v>
          </cell>
        </row>
        <row r="3900">
          <cell r="W3900">
            <v>0</v>
          </cell>
        </row>
        <row r="3901">
          <cell r="B3901" t="str">
            <v>6900010080143</v>
          </cell>
        </row>
        <row r="3901">
          <cell r="W3901">
            <v>0</v>
          </cell>
        </row>
        <row r="3902">
          <cell r="B3902" t="str">
            <v>GPR-SP09M21021</v>
          </cell>
        </row>
        <row r="3902">
          <cell r="W3902">
            <v>0</v>
          </cell>
        </row>
        <row r="3903">
          <cell r="B3903" t="str">
            <v>GPR-MB02L02002</v>
          </cell>
        </row>
        <row r="3903">
          <cell r="W3903">
            <v>0</v>
          </cell>
        </row>
        <row r="3904">
          <cell r="B3904" t="str">
            <v>VPR-FD02L12001</v>
          </cell>
        </row>
        <row r="3904">
          <cell r="W3904">
            <v>0</v>
          </cell>
        </row>
        <row r="3905">
          <cell r="B3905" t="str">
            <v>102057</v>
          </cell>
        </row>
        <row r="3905">
          <cell r="W3905">
            <v>0</v>
          </cell>
        </row>
        <row r="3906">
          <cell r="B3906" t="str">
            <v>GPR-EL18M02001</v>
          </cell>
        </row>
        <row r="3906">
          <cell r="W3906">
            <v>0</v>
          </cell>
        </row>
        <row r="3907">
          <cell r="B3907" t="str">
            <v>GPR-MB16L00001</v>
          </cell>
        </row>
        <row r="3907">
          <cell r="W3907">
            <v>0</v>
          </cell>
        </row>
        <row r="3908">
          <cell r="B3908" t="str">
            <v>69000030103104</v>
          </cell>
        </row>
        <row r="3908">
          <cell r="W3908">
            <v>0</v>
          </cell>
        </row>
        <row r="3909">
          <cell r="B3909" t="str">
            <v>6900010080144</v>
          </cell>
        </row>
        <row r="3909">
          <cell r="W3909">
            <v>0</v>
          </cell>
        </row>
        <row r="3910">
          <cell r="B3910" t="str">
            <v>VPR-OS01G01006</v>
          </cell>
        </row>
        <row r="3910">
          <cell r="W3910">
            <v>0</v>
          </cell>
        </row>
        <row r="3911">
          <cell r="B3911" t="str">
            <v>GPR-SP09M21022</v>
          </cell>
        </row>
        <row r="3911">
          <cell r="W3911">
            <v>0</v>
          </cell>
        </row>
        <row r="3912">
          <cell r="B3912" t="str">
            <v>6900008072718</v>
          </cell>
        </row>
        <row r="3912">
          <cell r="W3912">
            <v>0</v>
          </cell>
        </row>
        <row r="3913">
          <cell r="B3913" t="str">
            <v>GPR-MB02L21002</v>
          </cell>
        </row>
        <row r="3913">
          <cell r="W3913">
            <v>0</v>
          </cell>
        </row>
        <row r="3914">
          <cell r="B3914" t="str">
            <v>VPR-OS01G00001</v>
          </cell>
        </row>
        <row r="3914">
          <cell r="W3914">
            <v>0</v>
          </cell>
        </row>
        <row r="3915">
          <cell r="B3915" t="str">
            <v>0115819500</v>
          </cell>
        </row>
        <row r="3915">
          <cell r="W3915">
            <v>0</v>
          </cell>
        </row>
        <row r="3916">
          <cell r="B3916" t="str">
            <v>GPR-PT10Q33001</v>
          </cell>
        </row>
        <row r="3916">
          <cell r="W3916">
            <v>0</v>
          </cell>
        </row>
        <row r="3917">
          <cell r="B3917" t="str">
            <v>GPR-SP09M21023</v>
          </cell>
        </row>
        <row r="3917">
          <cell r="W3917">
            <v>0</v>
          </cell>
        </row>
        <row r="3918">
          <cell r="B3918" t="str">
            <v>6900010080151</v>
          </cell>
        </row>
        <row r="3918">
          <cell r="W3918">
            <v>208</v>
          </cell>
        </row>
        <row r="3919">
          <cell r="B3919" t="str">
            <v>6900010080152</v>
          </cell>
        </row>
        <row r="3919">
          <cell r="W3919">
            <v>0</v>
          </cell>
        </row>
        <row r="3920">
          <cell r="B3920" t="str">
            <v>GPR-SP09M21005</v>
          </cell>
        </row>
        <row r="3920">
          <cell r="W3920">
            <v>0</v>
          </cell>
        </row>
        <row r="3921">
          <cell r="B3921" t="str">
            <v>GPR-MB02L33001</v>
          </cell>
        </row>
        <row r="3921">
          <cell r="W3921">
            <v>0</v>
          </cell>
        </row>
        <row r="3922">
          <cell r="B3922" t="str">
            <v>VPR-OS01G01005</v>
          </cell>
        </row>
        <row r="3922">
          <cell r="W3922">
            <v>0</v>
          </cell>
        </row>
        <row r="3923">
          <cell r="B3923" t="str">
            <v>102553</v>
          </cell>
        </row>
        <row r="3923">
          <cell r="W3923">
            <v>0</v>
          </cell>
        </row>
        <row r="3924">
          <cell r="B3924" t="str">
            <v>6900003010211</v>
          </cell>
        </row>
        <row r="3924">
          <cell r="W3924">
            <v>0</v>
          </cell>
        </row>
        <row r="3925">
          <cell r="B3925" t="str">
            <v>101336</v>
          </cell>
        </row>
        <row r="3925">
          <cell r="W3925">
            <v>0</v>
          </cell>
        </row>
        <row r="3926">
          <cell r="B3926" t="str">
            <v>GPR-HD13S21003</v>
          </cell>
        </row>
        <row r="3926">
          <cell r="W3926">
            <v>0</v>
          </cell>
        </row>
        <row r="3927">
          <cell r="B3927" t="str">
            <v>GPR-SP22A21007</v>
          </cell>
        </row>
        <row r="3927">
          <cell r="W3927">
            <v>0</v>
          </cell>
        </row>
        <row r="3928">
          <cell r="B3928" t="str">
            <v>GPR-SP00M02028</v>
          </cell>
        </row>
        <row r="3928">
          <cell r="W3928">
            <v>0</v>
          </cell>
        </row>
        <row r="3929">
          <cell r="B3929" t="str">
            <v>101317</v>
          </cell>
        </row>
        <row r="3929">
          <cell r="W3929">
            <v>0</v>
          </cell>
        </row>
        <row r="3930">
          <cell r="B3930" t="str">
            <v>GPR-OT02M02002</v>
          </cell>
        </row>
        <row r="3930">
          <cell r="W3930">
            <v>0</v>
          </cell>
        </row>
        <row r="3931">
          <cell r="B3931" t="str">
            <v>6900010080149</v>
          </cell>
        </row>
        <row r="3931">
          <cell r="W3931">
            <v>0</v>
          </cell>
        </row>
        <row r="3932">
          <cell r="B3932" t="str">
            <v>VPR-OS01G01004</v>
          </cell>
        </row>
        <row r="3932">
          <cell r="W3932">
            <v>0</v>
          </cell>
        </row>
        <row r="3933">
          <cell r="B3933" t="str">
            <v>GPR-HD13S21002</v>
          </cell>
        </row>
        <row r="3933">
          <cell r="W3933">
            <v>0</v>
          </cell>
        </row>
        <row r="3934">
          <cell r="B3934" t="str">
            <v>GPR-TE01S21015</v>
          </cell>
        </row>
        <row r="3934">
          <cell r="W3934">
            <v>0</v>
          </cell>
        </row>
        <row r="3935">
          <cell r="B3935" t="str">
            <v>GPR-OT02M21047</v>
          </cell>
        </row>
        <row r="3935">
          <cell r="W3935">
            <v>0</v>
          </cell>
        </row>
        <row r="3936">
          <cell r="B3936" t="str">
            <v>6900010080276</v>
          </cell>
        </row>
        <row r="3936">
          <cell r="W3936">
            <v>0</v>
          </cell>
        </row>
        <row r="3937">
          <cell r="B3937" t="str">
            <v>0120032100</v>
          </cell>
        </row>
        <row r="3937">
          <cell r="W3937">
            <v>0</v>
          </cell>
        </row>
        <row r="3938">
          <cell r="B3938" t="str">
            <v>6900010080157</v>
          </cell>
        </row>
        <row r="3938">
          <cell r="W3938">
            <v>0</v>
          </cell>
        </row>
        <row r="3939">
          <cell r="B3939" t="str">
            <v>0115818900</v>
          </cell>
        </row>
        <row r="3939">
          <cell r="W3939">
            <v>0</v>
          </cell>
        </row>
        <row r="3940">
          <cell r="B3940" t="str">
            <v>GPR-SP09M21009</v>
          </cell>
        </row>
        <row r="3940">
          <cell r="W3940">
            <v>0</v>
          </cell>
        </row>
        <row r="3941">
          <cell r="B3941" t="str">
            <v>VPR-OS01G01001</v>
          </cell>
        </row>
        <row r="3941">
          <cell r="W3941">
            <v>0</v>
          </cell>
        </row>
        <row r="3942">
          <cell r="B3942" t="str">
            <v>GPR-TE01S21010</v>
          </cell>
        </row>
        <row r="3942">
          <cell r="W3942">
            <v>0</v>
          </cell>
        </row>
        <row r="3943">
          <cell r="B3943" t="str">
            <v>6900010080158</v>
          </cell>
        </row>
        <row r="3943">
          <cell r="W3943">
            <v>0</v>
          </cell>
        </row>
        <row r="3944">
          <cell r="B3944" t="str">
            <v>GPR-HO08A21003</v>
          </cell>
        </row>
        <row r="3944">
          <cell r="W3944">
            <v>0</v>
          </cell>
        </row>
        <row r="3945">
          <cell r="B3945" t="str">
            <v>6900010080135</v>
          </cell>
        </row>
        <row r="3945">
          <cell r="W3945">
            <v>0</v>
          </cell>
        </row>
        <row r="3946">
          <cell r="B3946" t="str">
            <v>VPR-OS01G01003</v>
          </cell>
        </row>
        <row r="3946">
          <cell r="W3946">
            <v>0</v>
          </cell>
        </row>
        <row r="3947">
          <cell r="B3947" t="str">
            <v>GPR-HO08A21004</v>
          </cell>
        </row>
        <row r="3947">
          <cell r="W3947">
            <v>0</v>
          </cell>
        </row>
        <row r="3948">
          <cell r="B3948" t="str">
            <v>6900010080159</v>
          </cell>
        </row>
        <row r="3948">
          <cell r="W3948">
            <v>0</v>
          </cell>
        </row>
        <row r="3949">
          <cell r="B3949" t="str">
            <v>GPR-TE01S21003</v>
          </cell>
        </row>
        <row r="3949">
          <cell r="W3949">
            <v>0</v>
          </cell>
        </row>
        <row r="3950">
          <cell r="B3950" t="str">
            <v>VPR-EQ32C01001</v>
          </cell>
        </row>
        <row r="3950">
          <cell r="W3950">
            <v>0</v>
          </cell>
        </row>
        <row r="3951">
          <cell r="B3951" t="str">
            <v>GPR-SP03M21002</v>
          </cell>
        </row>
        <row r="3951">
          <cell r="W3951">
            <v>0</v>
          </cell>
        </row>
        <row r="3952">
          <cell r="B3952" t="str">
            <v>6900010080131</v>
          </cell>
        </row>
        <row r="3952">
          <cell r="W3952">
            <v>0</v>
          </cell>
        </row>
        <row r="3953">
          <cell r="B3953" t="str">
            <v>GPR-MB14M21001</v>
          </cell>
        </row>
        <row r="3953">
          <cell r="W3953">
            <v>0</v>
          </cell>
        </row>
        <row r="3954">
          <cell r="B3954" t="str">
            <v>GPR-SP09M21003</v>
          </cell>
        </row>
        <row r="3954">
          <cell r="W3954">
            <v>0</v>
          </cell>
        </row>
        <row r="3955">
          <cell r="B3955" t="str">
            <v>6900010080132</v>
          </cell>
        </row>
        <row r="3955">
          <cell r="W3955">
            <v>0</v>
          </cell>
        </row>
        <row r="3956">
          <cell r="B3956" t="str">
            <v>GPR-HO08A21005</v>
          </cell>
        </row>
        <row r="3956">
          <cell r="W3956">
            <v>0</v>
          </cell>
        </row>
        <row r="3957">
          <cell r="B3957" t="str">
            <v>GPR-MB14M21002</v>
          </cell>
        </row>
        <row r="3957">
          <cell r="W3957">
            <v>0</v>
          </cell>
        </row>
        <row r="3958">
          <cell r="B3958" t="str">
            <v>0115819000</v>
          </cell>
        </row>
        <row r="3958">
          <cell r="W3958">
            <v>0</v>
          </cell>
        </row>
        <row r="3959">
          <cell r="B3959" t="str">
            <v>101508</v>
          </cell>
        </row>
        <row r="3959">
          <cell r="W3959">
            <v>0</v>
          </cell>
        </row>
        <row r="3960">
          <cell r="B3960" t="str">
            <v>102554</v>
          </cell>
        </row>
        <row r="3960">
          <cell r="W3960">
            <v>0</v>
          </cell>
        </row>
        <row r="3961">
          <cell r="B3961" t="str">
            <v>GPR-SP09M21002</v>
          </cell>
        </row>
        <row r="3961">
          <cell r="W3961">
            <v>0</v>
          </cell>
        </row>
        <row r="3962">
          <cell r="B3962" t="str">
            <v>101506</v>
          </cell>
        </row>
        <row r="3962">
          <cell r="W3962">
            <v>0</v>
          </cell>
        </row>
        <row r="3963">
          <cell r="B3963" t="str">
            <v>GPR-HO08A21001</v>
          </cell>
        </row>
        <row r="3963">
          <cell r="W3963">
            <v>0</v>
          </cell>
        </row>
        <row r="3964">
          <cell r="B3964" t="str">
            <v>6900010080134</v>
          </cell>
        </row>
        <row r="3964">
          <cell r="W3964">
            <v>0</v>
          </cell>
        </row>
        <row r="3965">
          <cell r="B3965" t="str">
            <v>6900010080160</v>
          </cell>
        </row>
        <row r="3965">
          <cell r="W3965">
            <v>0</v>
          </cell>
        </row>
        <row r="3966">
          <cell r="B3966" t="str">
            <v>GPR-SP00M21037</v>
          </cell>
        </row>
        <row r="3966">
          <cell r="W3966">
            <v>0</v>
          </cell>
        </row>
        <row r="3967">
          <cell r="B3967" t="str">
            <v>0112115000</v>
          </cell>
        </row>
        <row r="3967">
          <cell r="W3967">
            <v>0</v>
          </cell>
        </row>
        <row r="3968">
          <cell r="B3968" t="str">
            <v>GPR-OT02M21049</v>
          </cell>
        </row>
        <row r="3968">
          <cell r="W3968">
            <v>0</v>
          </cell>
        </row>
        <row r="3969">
          <cell r="B3969" t="str">
            <v>GPR-EQ13M01001</v>
          </cell>
        </row>
        <row r="3969">
          <cell r="W3969">
            <v>0</v>
          </cell>
        </row>
        <row r="3970">
          <cell r="B3970" t="str">
            <v>GPR-SP09M21001</v>
          </cell>
        </row>
        <row r="3970">
          <cell r="W3970">
            <v>0</v>
          </cell>
        </row>
        <row r="3971">
          <cell r="B3971" t="str">
            <v>6900010080139</v>
          </cell>
        </row>
        <row r="3971">
          <cell r="W3971">
            <v>0</v>
          </cell>
        </row>
        <row r="3972">
          <cell r="B3972" t="str">
            <v>6900010080161</v>
          </cell>
        </row>
        <row r="3972">
          <cell r="W3972">
            <v>0</v>
          </cell>
        </row>
        <row r="3973">
          <cell r="B3973" t="str">
            <v>GPR-HO09D04001</v>
          </cell>
        </row>
        <row r="3973">
          <cell r="W3973">
            <v>0</v>
          </cell>
        </row>
        <row r="3974">
          <cell r="B3974" t="str">
            <v>0115819100</v>
          </cell>
        </row>
        <row r="3974">
          <cell r="W3974">
            <v>0</v>
          </cell>
        </row>
        <row r="3975">
          <cell r="B3975" t="str">
            <v>101490</v>
          </cell>
        </row>
        <row r="3975">
          <cell r="W3975">
            <v>0</v>
          </cell>
        </row>
        <row r="3976">
          <cell r="B3976" t="str">
            <v>101492</v>
          </cell>
        </row>
        <row r="3976">
          <cell r="W3976">
            <v>0</v>
          </cell>
        </row>
        <row r="3977">
          <cell r="B3977" t="str">
            <v>GPR-PT01M21004</v>
          </cell>
        </row>
        <row r="3977">
          <cell r="W3977">
            <v>0</v>
          </cell>
        </row>
        <row r="3978">
          <cell r="B3978" t="str">
            <v>73181590010138730700</v>
          </cell>
        </row>
        <row r="3978">
          <cell r="W3978">
            <v>0</v>
          </cell>
        </row>
        <row r="3979">
          <cell r="B3979" t="str">
            <v>6900010080156</v>
          </cell>
        </row>
        <row r="3979">
          <cell r="W3979">
            <v>0</v>
          </cell>
        </row>
        <row r="3980">
          <cell r="B3980" t="str">
            <v>GPR-EL16C01001</v>
          </cell>
        </row>
        <row r="3980">
          <cell r="W3980">
            <v>0</v>
          </cell>
        </row>
        <row r="3981">
          <cell r="B3981" t="str">
            <v>GPR-PT09M21008</v>
          </cell>
        </row>
        <row r="3981">
          <cell r="W3981">
            <v>0</v>
          </cell>
        </row>
        <row r="3982">
          <cell r="B3982" t="str">
            <v>101497</v>
          </cell>
        </row>
        <row r="3982">
          <cell r="W3982">
            <v>0</v>
          </cell>
        </row>
        <row r="3983">
          <cell r="B3983" t="str">
            <v>6900003010296</v>
          </cell>
        </row>
        <row r="3983">
          <cell r="W3983">
            <v>0</v>
          </cell>
        </row>
        <row r="3984">
          <cell r="B3984" t="str">
            <v>6900010080165</v>
          </cell>
        </row>
        <row r="3984">
          <cell r="W3984">
            <v>0</v>
          </cell>
        </row>
        <row r="3985">
          <cell r="B3985" t="str">
            <v>6900010080153</v>
          </cell>
        </row>
        <row r="3985">
          <cell r="W3985">
            <v>0</v>
          </cell>
        </row>
        <row r="3986">
          <cell r="B3986" t="str">
            <v>GPR-HO10A21004</v>
          </cell>
        </row>
        <row r="3986">
          <cell r="W3986">
            <v>0</v>
          </cell>
        </row>
        <row r="3987">
          <cell r="B3987" t="str">
            <v>GPR-HD08M02005</v>
          </cell>
        </row>
        <row r="3987">
          <cell r="W3987">
            <v>0</v>
          </cell>
        </row>
        <row r="3988">
          <cell r="B3988" t="str">
            <v>GPR-OT02R02008</v>
          </cell>
        </row>
        <row r="3988">
          <cell r="W3988">
            <v>0</v>
          </cell>
        </row>
        <row r="3989">
          <cell r="B3989" t="str">
            <v>GPR-PT01M01004</v>
          </cell>
        </row>
        <row r="3989">
          <cell r="W3989">
            <v>0</v>
          </cell>
        </row>
        <row r="3990">
          <cell r="B3990" t="str">
            <v>6900010080155</v>
          </cell>
        </row>
        <row r="3990">
          <cell r="W3990">
            <v>0</v>
          </cell>
        </row>
        <row r="3991">
          <cell r="B3991" t="str">
            <v>6900010080162</v>
          </cell>
        </row>
        <row r="3991">
          <cell r="W3991">
            <v>0</v>
          </cell>
        </row>
        <row r="3992">
          <cell r="B3992" t="str">
            <v>0119830600</v>
          </cell>
        </row>
        <row r="3992">
          <cell r="W3992">
            <v>0</v>
          </cell>
        </row>
        <row r="3993">
          <cell r="B3993" t="str">
            <v>101494</v>
          </cell>
        </row>
        <row r="3993">
          <cell r="W3993">
            <v>0</v>
          </cell>
        </row>
        <row r="3994">
          <cell r="B3994" t="str">
            <v>GPR-SP02M23001</v>
          </cell>
        </row>
        <row r="3994">
          <cell r="W3994">
            <v>0</v>
          </cell>
        </row>
        <row r="3995">
          <cell r="B3995" t="str">
            <v>GPR-HO10A21003</v>
          </cell>
        </row>
        <row r="3995">
          <cell r="W3995">
            <v>0</v>
          </cell>
        </row>
        <row r="3996">
          <cell r="B3996" t="str">
            <v>GPR-SP45M21001</v>
          </cell>
        </row>
        <row r="3996">
          <cell r="W3996">
            <v>0</v>
          </cell>
        </row>
        <row r="3997">
          <cell r="B3997" t="str">
            <v>GPR-HD10C02001</v>
          </cell>
        </row>
        <row r="3997">
          <cell r="W3997">
            <v>0</v>
          </cell>
        </row>
        <row r="3998">
          <cell r="B3998" t="str">
            <v>GPR-EL10M02001</v>
          </cell>
        </row>
        <row r="3998">
          <cell r="W3998">
            <v>0</v>
          </cell>
        </row>
        <row r="3999">
          <cell r="B3999" t="str">
            <v>101499</v>
          </cell>
        </row>
        <row r="3999">
          <cell r="W3999">
            <v>0</v>
          </cell>
        </row>
        <row r="4000">
          <cell r="B4000" t="str">
            <v>GPR-ME04L04001</v>
          </cell>
        </row>
        <row r="4000">
          <cell r="W4000">
            <v>0</v>
          </cell>
        </row>
        <row r="4001">
          <cell r="B4001" t="str">
            <v>6900010080164</v>
          </cell>
        </row>
        <row r="4001">
          <cell r="W4001">
            <v>0</v>
          </cell>
        </row>
        <row r="4002">
          <cell r="B4002" t="str">
            <v>6900010080168</v>
          </cell>
        </row>
        <row r="4002">
          <cell r="W4002">
            <v>0</v>
          </cell>
        </row>
        <row r="4003">
          <cell r="B4003" t="str">
            <v>69000030103210</v>
          </cell>
        </row>
        <row r="4003">
          <cell r="W4003">
            <v>0</v>
          </cell>
        </row>
        <row r="4004">
          <cell r="B4004" t="str">
            <v>VPR-SP09M21002</v>
          </cell>
        </row>
        <row r="4004">
          <cell r="W4004">
            <v>0</v>
          </cell>
        </row>
        <row r="4005">
          <cell r="B4005" t="str">
            <v>GPR-HO10A21002</v>
          </cell>
        </row>
        <row r="4005">
          <cell r="W4005">
            <v>0</v>
          </cell>
        </row>
        <row r="4006">
          <cell r="B4006" t="str">
            <v>101501</v>
          </cell>
        </row>
        <row r="4006">
          <cell r="W4006">
            <v>0</v>
          </cell>
        </row>
        <row r="4007">
          <cell r="B4007" t="str">
            <v>GPR-MB02L01013</v>
          </cell>
        </row>
        <row r="4007">
          <cell r="W4007">
            <v>0</v>
          </cell>
        </row>
        <row r="4008">
          <cell r="B4008" t="str">
            <v>GPR-HO10A21001</v>
          </cell>
        </row>
        <row r="4008">
          <cell r="W4008">
            <v>0</v>
          </cell>
        </row>
        <row r="4009">
          <cell r="B4009" t="str">
            <v>GPR-ME04L01001</v>
          </cell>
        </row>
        <row r="4009">
          <cell r="W4009">
            <v>0</v>
          </cell>
        </row>
        <row r="4010">
          <cell r="B4010" t="str">
            <v>0119529600</v>
          </cell>
        </row>
        <row r="4010">
          <cell r="W4010">
            <v>0</v>
          </cell>
        </row>
        <row r="4011">
          <cell r="B4011" t="str">
            <v>6900010080163</v>
          </cell>
        </row>
        <row r="4011">
          <cell r="W4011">
            <v>0</v>
          </cell>
        </row>
        <row r="4012">
          <cell r="B4012" t="str">
            <v>6900010080166</v>
          </cell>
        </row>
        <row r="4012">
          <cell r="W4012">
            <v>0</v>
          </cell>
        </row>
        <row r="4013">
          <cell r="B4013" t="str">
            <v>101505</v>
          </cell>
        </row>
        <row r="4013">
          <cell r="W4013">
            <v>0</v>
          </cell>
        </row>
        <row r="4014">
          <cell r="B4014" t="str">
            <v>VPR-EQ10O04003</v>
          </cell>
        </row>
        <row r="4014">
          <cell r="W4014">
            <v>0</v>
          </cell>
        </row>
        <row r="4015">
          <cell r="B4015" t="str">
            <v>6900010080170</v>
          </cell>
        </row>
        <row r="4015">
          <cell r="W4015">
            <v>0</v>
          </cell>
        </row>
        <row r="4016">
          <cell r="B4016" t="str">
            <v>6900010080167</v>
          </cell>
        </row>
        <row r="4016">
          <cell r="W4016">
            <v>0</v>
          </cell>
        </row>
        <row r="4017">
          <cell r="B4017" t="str">
            <v>GPR-EQ07C02006</v>
          </cell>
        </row>
        <row r="4017">
          <cell r="W4017">
            <v>0</v>
          </cell>
        </row>
        <row r="4018">
          <cell r="B4018" t="str">
            <v>GPR-HD10D02001</v>
          </cell>
        </row>
        <row r="4018">
          <cell r="W4018">
            <v>0</v>
          </cell>
        </row>
        <row r="4019">
          <cell r="B4019" t="str">
            <v>GPR-ME04N01006</v>
          </cell>
        </row>
        <row r="4019">
          <cell r="W4019">
            <v>0</v>
          </cell>
        </row>
        <row r="4020">
          <cell r="B4020" t="str">
            <v>100102</v>
          </cell>
        </row>
        <row r="4020">
          <cell r="W4020">
            <v>0</v>
          </cell>
        </row>
        <row r="4021">
          <cell r="B4021" t="str">
            <v>101503</v>
          </cell>
        </row>
        <row r="4021">
          <cell r="W4021">
            <v>0</v>
          </cell>
        </row>
        <row r="4022">
          <cell r="B4022" t="str">
            <v>6900010080173</v>
          </cell>
        </row>
        <row r="4022">
          <cell r="W4022">
            <v>0</v>
          </cell>
        </row>
        <row r="4023">
          <cell r="B4023" t="str">
            <v>GPR-SP03M21003</v>
          </cell>
        </row>
        <row r="4023">
          <cell r="W4023">
            <v>0</v>
          </cell>
        </row>
        <row r="4024">
          <cell r="B4024" t="str">
            <v>6900010080171</v>
          </cell>
        </row>
        <row r="4024">
          <cell r="W4024">
            <v>0</v>
          </cell>
        </row>
        <row r="4025">
          <cell r="B4025" t="str">
            <v>GPR-WC02I02001</v>
          </cell>
        </row>
        <row r="4025">
          <cell r="W4025">
            <v>0</v>
          </cell>
        </row>
        <row r="4026">
          <cell r="B4026" t="str">
            <v>GPR-MB02L01018</v>
          </cell>
        </row>
        <row r="4026">
          <cell r="W4026">
            <v>0</v>
          </cell>
        </row>
        <row r="4027">
          <cell r="B4027" t="str">
            <v>GPR-WC02I02002</v>
          </cell>
        </row>
        <row r="4027">
          <cell r="W4027">
            <v>0</v>
          </cell>
        </row>
        <row r="4028">
          <cell r="B4028" t="str">
            <v>0118123900</v>
          </cell>
        </row>
        <row r="4028">
          <cell r="W4028">
            <v>0</v>
          </cell>
        </row>
        <row r="4029">
          <cell r="B4029" t="str">
            <v>GPR-SP22A21008</v>
          </cell>
        </row>
        <row r="4029">
          <cell r="W4029">
            <v>-222</v>
          </cell>
        </row>
        <row r="4030">
          <cell r="B4030" t="str">
            <v>6900010080174</v>
          </cell>
        </row>
        <row r="4030">
          <cell r="W4030">
            <v>0</v>
          </cell>
        </row>
        <row r="4031">
          <cell r="B4031" t="str">
            <v>6900010080172</v>
          </cell>
        </row>
        <row r="4031">
          <cell r="W4031">
            <v>0</v>
          </cell>
        </row>
        <row r="4032">
          <cell r="B4032" t="str">
            <v>GPR-AP03C15001</v>
          </cell>
        </row>
        <row r="4032">
          <cell r="W4032">
            <v>0</v>
          </cell>
        </row>
        <row r="4033">
          <cell r="B4033" t="str">
            <v>GPR-WC02I02003</v>
          </cell>
        </row>
        <row r="4033">
          <cell r="W4033">
            <v>0</v>
          </cell>
        </row>
        <row r="4034">
          <cell r="B4034" t="str">
            <v>101507</v>
          </cell>
        </row>
        <row r="4034">
          <cell r="W4034">
            <v>0</v>
          </cell>
        </row>
        <row r="4035">
          <cell r="B4035" t="str">
            <v>6900010080176</v>
          </cell>
        </row>
        <row r="4035">
          <cell r="W4035">
            <v>0</v>
          </cell>
        </row>
        <row r="4036">
          <cell r="B4036" t="str">
            <v>8302410000002</v>
          </cell>
        </row>
        <row r="4036">
          <cell r="W4036">
            <v>0</v>
          </cell>
        </row>
        <row r="4037">
          <cell r="B4037" t="str">
            <v>GPR-EL05M13003</v>
          </cell>
        </row>
        <row r="4037">
          <cell r="W4037">
            <v>0</v>
          </cell>
        </row>
        <row r="4038">
          <cell r="B4038" t="str">
            <v>6900010080181</v>
          </cell>
        </row>
        <row r="4038">
          <cell r="W4038">
            <v>0</v>
          </cell>
        </row>
        <row r="4039">
          <cell r="B4039" t="str">
            <v>7317000000001</v>
          </cell>
        </row>
        <row r="4039">
          <cell r="W4039">
            <v>0</v>
          </cell>
        </row>
        <row r="4040">
          <cell r="B4040" t="str">
            <v>101514</v>
          </cell>
        </row>
        <row r="4040">
          <cell r="W4040">
            <v>0</v>
          </cell>
        </row>
        <row r="4041">
          <cell r="B4041" t="str">
            <v>6900010080177</v>
          </cell>
        </row>
        <row r="4041">
          <cell r="W4041">
            <v>0</v>
          </cell>
        </row>
        <row r="4042">
          <cell r="B4042" t="str">
            <v>6900010080115</v>
          </cell>
        </row>
        <row r="4042">
          <cell r="W4042">
            <v>0</v>
          </cell>
        </row>
        <row r="4043">
          <cell r="B4043" t="str">
            <v>0116628500</v>
          </cell>
        </row>
        <row r="4043">
          <cell r="W4043">
            <v>0</v>
          </cell>
        </row>
        <row r="4044">
          <cell r="B4044" t="str">
            <v>GPR-HO03S21001</v>
          </cell>
        </row>
        <row r="4044">
          <cell r="W4044">
            <v>0</v>
          </cell>
        </row>
        <row r="4045">
          <cell r="B4045" t="str">
            <v>011350000</v>
          </cell>
        </row>
        <row r="4045">
          <cell r="W4045">
            <v>0</v>
          </cell>
        </row>
        <row r="4046">
          <cell r="B4046" t="str">
            <v>100107</v>
          </cell>
        </row>
        <row r="4046">
          <cell r="W4046">
            <v>0</v>
          </cell>
        </row>
        <row r="4047">
          <cell r="B4047" t="str">
            <v>GPR-ME04R01001</v>
          </cell>
        </row>
        <row r="4047">
          <cell r="W4047">
            <v>0</v>
          </cell>
        </row>
        <row r="4048">
          <cell r="B4048" t="str">
            <v>100020</v>
          </cell>
        </row>
        <row r="4048">
          <cell r="W4048">
            <v>287</v>
          </cell>
        </row>
        <row r="4049">
          <cell r="B4049" t="str">
            <v>6900010080178</v>
          </cell>
        </row>
        <row r="4049">
          <cell r="W4049">
            <v>0</v>
          </cell>
        </row>
        <row r="4050">
          <cell r="B4050" t="str">
            <v>101513</v>
          </cell>
        </row>
        <row r="4050">
          <cell r="W4050">
            <v>0</v>
          </cell>
        </row>
        <row r="4051">
          <cell r="B4051" t="str">
            <v>6900003010295</v>
          </cell>
        </row>
        <row r="4051">
          <cell r="W4051">
            <v>0</v>
          </cell>
        </row>
        <row r="4052">
          <cell r="B4052" t="str">
            <v>6900010080116</v>
          </cell>
        </row>
        <row r="4052">
          <cell r="W4052">
            <v>0</v>
          </cell>
        </row>
        <row r="4053">
          <cell r="B4053" t="str">
            <v>0119231600</v>
          </cell>
        </row>
        <row r="4053">
          <cell r="W4053">
            <v>0</v>
          </cell>
        </row>
        <row r="4054">
          <cell r="B4054" t="str">
            <v>GPR-MB20M01001</v>
          </cell>
        </row>
        <row r="4054">
          <cell r="W4054">
            <v>0</v>
          </cell>
        </row>
        <row r="4055">
          <cell r="B4055" t="str">
            <v>101516</v>
          </cell>
        </row>
        <row r="4055">
          <cell r="W4055">
            <v>0</v>
          </cell>
        </row>
        <row r="4056">
          <cell r="B4056" t="str">
            <v>102154</v>
          </cell>
        </row>
        <row r="4056">
          <cell r="W4056">
            <v>0</v>
          </cell>
        </row>
        <row r="4057">
          <cell r="B4057" t="str">
            <v>6900010080179</v>
          </cell>
        </row>
        <row r="4057">
          <cell r="W4057">
            <v>0</v>
          </cell>
        </row>
        <row r="4058">
          <cell r="B4058" t="str">
            <v>6900010080117</v>
          </cell>
        </row>
        <row r="4058">
          <cell r="W4058">
            <v>0</v>
          </cell>
        </row>
        <row r="4059">
          <cell r="B4059" t="str">
            <v>0119232000</v>
          </cell>
        </row>
        <row r="4059">
          <cell r="W4059">
            <v>0</v>
          </cell>
        </row>
        <row r="4060">
          <cell r="B4060" t="str">
            <v>VPR-HO03C15001</v>
          </cell>
        </row>
        <row r="4060">
          <cell r="W4060">
            <v>0</v>
          </cell>
        </row>
        <row r="4061">
          <cell r="B4061" t="str">
            <v>100023</v>
          </cell>
        </row>
        <row r="4061">
          <cell r="W4061">
            <v>0</v>
          </cell>
        </row>
        <row r="4062">
          <cell r="B4062" t="str">
            <v>GPR-HD01S21014</v>
          </cell>
        </row>
        <row r="4062">
          <cell r="W4062">
            <v>0</v>
          </cell>
        </row>
        <row r="4063">
          <cell r="B4063" t="str">
            <v>100022</v>
          </cell>
        </row>
        <row r="4063">
          <cell r="W4063">
            <v>0</v>
          </cell>
        </row>
        <row r="4064">
          <cell r="B4064" t="str">
            <v>6900010080180</v>
          </cell>
        </row>
        <row r="4064">
          <cell r="W4064">
            <v>0</v>
          </cell>
        </row>
        <row r="4065">
          <cell r="B4065" t="str">
            <v>VPR-FD02L01001</v>
          </cell>
        </row>
        <row r="4065">
          <cell r="W4065">
            <v>0</v>
          </cell>
        </row>
        <row r="4066">
          <cell r="B4066" t="str">
            <v>101515</v>
          </cell>
        </row>
        <row r="4066">
          <cell r="W4066">
            <v>0</v>
          </cell>
        </row>
        <row r="4067">
          <cell r="B4067" t="str">
            <v>100240</v>
          </cell>
        </row>
        <row r="4067">
          <cell r="W4067">
            <v>0</v>
          </cell>
        </row>
        <row r="4068">
          <cell r="B4068" t="str">
            <v>6900010080201</v>
          </cell>
        </row>
        <row r="4068">
          <cell r="W4068">
            <v>0</v>
          </cell>
        </row>
        <row r="4069">
          <cell r="B4069" t="str">
            <v>GPR-SP25S21001</v>
          </cell>
        </row>
        <row r="4069">
          <cell r="W4069">
            <v>0</v>
          </cell>
        </row>
        <row r="4070">
          <cell r="B4070" t="str">
            <v>6900010080119</v>
          </cell>
        </row>
        <row r="4070">
          <cell r="W4070">
            <v>0</v>
          </cell>
        </row>
        <row r="4071">
          <cell r="B4071" t="str">
            <v>69000030103187</v>
          </cell>
        </row>
        <row r="4071">
          <cell r="W4071">
            <v>0</v>
          </cell>
        </row>
        <row r="4072">
          <cell r="B4072" t="str">
            <v>GPR-HO04O04001</v>
          </cell>
        </row>
        <row r="4072">
          <cell r="W4072">
            <v>0</v>
          </cell>
        </row>
        <row r="4073">
          <cell r="B4073" t="str">
            <v>101518</v>
          </cell>
        </row>
        <row r="4073">
          <cell r="W4073">
            <v>0</v>
          </cell>
        </row>
        <row r="4074">
          <cell r="B4074" t="str">
            <v>102427</v>
          </cell>
        </row>
        <row r="4074">
          <cell r="W4074">
            <v>0</v>
          </cell>
        </row>
        <row r="4075">
          <cell r="B4075" t="str">
            <v>6900010080182</v>
          </cell>
        </row>
        <row r="4075">
          <cell r="W4075">
            <v>0</v>
          </cell>
        </row>
        <row r="4076">
          <cell r="B4076" t="str">
            <v>0119228400</v>
          </cell>
        </row>
        <row r="4076">
          <cell r="W4076">
            <v>0</v>
          </cell>
        </row>
        <row r="4077">
          <cell r="B4077" t="str">
            <v>6900010080120</v>
          </cell>
        </row>
        <row r="4077">
          <cell r="W4077">
            <v>0</v>
          </cell>
        </row>
        <row r="4078">
          <cell r="B4078" t="str">
            <v>GPR-HD01S21015</v>
          </cell>
        </row>
        <row r="4078">
          <cell r="W4078">
            <v>0</v>
          </cell>
        </row>
        <row r="4079">
          <cell r="B4079" t="str">
            <v>100021</v>
          </cell>
        </row>
        <row r="4079">
          <cell r="W4079">
            <v>0</v>
          </cell>
        </row>
        <row r="4080">
          <cell r="B4080" t="str">
            <v>101517</v>
          </cell>
        </row>
        <row r="4080">
          <cell r="W4080">
            <v>0</v>
          </cell>
        </row>
        <row r="4081">
          <cell r="B4081" t="str">
            <v>6900010080183</v>
          </cell>
        </row>
        <row r="4081">
          <cell r="W4081">
            <v>0</v>
          </cell>
        </row>
        <row r="4082">
          <cell r="B4082" t="str">
            <v>6900010080122</v>
          </cell>
        </row>
        <row r="4082">
          <cell r="W4082">
            <v>0</v>
          </cell>
        </row>
        <row r="4083">
          <cell r="B4083" t="str">
            <v>0119830500</v>
          </cell>
        </row>
        <row r="4083">
          <cell r="W4083">
            <v>0</v>
          </cell>
        </row>
        <row r="4084">
          <cell r="B4084" t="str">
            <v>0119231900</v>
          </cell>
        </row>
        <row r="4084">
          <cell r="W4084">
            <v>0</v>
          </cell>
        </row>
        <row r="4085">
          <cell r="B4085" t="str">
            <v>3925900000007</v>
          </cell>
        </row>
        <row r="4085">
          <cell r="W4085">
            <v>0</v>
          </cell>
        </row>
        <row r="4086">
          <cell r="B4086" t="str">
            <v>6900003010291</v>
          </cell>
        </row>
        <row r="4086">
          <cell r="W4086">
            <v>0</v>
          </cell>
        </row>
        <row r="4087">
          <cell r="B4087" t="str">
            <v>GPR-HD01S21018</v>
          </cell>
        </row>
        <row r="4087">
          <cell r="W4087">
            <v>0</v>
          </cell>
        </row>
        <row r="4088">
          <cell r="B4088" t="str">
            <v>GPR-SP25M21001</v>
          </cell>
        </row>
        <row r="4088">
          <cell r="W4088">
            <v>0</v>
          </cell>
        </row>
        <row r="4089">
          <cell r="B4089" t="str">
            <v>GPR-EQ20Q14002</v>
          </cell>
        </row>
        <row r="4089">
          <cell r="W4089">
            <v>0</v>
          </cell>
        </row>
        <row r="4090">
          <cell r="B4090" t="str">
            <v>0112014900</v>
          </cell>
        </row>
        <row r="4090">
          <cell r="W4090">
            <v>0</v>
          </cell>
        </row>
        <row r="4091">
          <cell r="B4091" t="str">
            <v>101496</v>
          </cell>
        </row>
        <row r="4091">
          <cell r="W4091">
            <v>0</v>
          </cell>
        </row>
        <row r="4092">
          <cell r="B4092" t="str">
            <v>6900010080124</v>
          </cell>
        </row>
        <row r="4092">
          <cell r="W4092">
            <v>0</v>
          </cell>
        </row>
        <row r="4093">
          <cell r="B4093" t="str">
            <v>0118127600</v>
          </cell>
        </row>
        <row r="4093">
          <cell r="W4093">
            <v>0</v>
          </cell>
        </row>
        <row r="4094">
          <cell r="B4094" t="str">
            <v>GPR-SP18M21001</v>
          </cell>
        </row>
        <row r="4094">
          <cell r="W4094">
            <v>0</v>
          </cell>
        </row>
        <row r="4095">
          <cell r="B4095" t="str">
            <v>6900003010292</v>
          </cell>
        </row>
        <row r="4095">
          <cell r="W4095">
            <v>0</v>
          </cell>
        </row>
        <row r="4096">
          <cell r="B4096" t="str">
            <v>GPR-HD01S21017</v>
          </cell>
        </row>
        <row r="4096">
          <cell r="W4096">
            <v>0</v>
          </cell>
        </row>
        <row r="4097">
          <cell r="B4097" t="str">
            <v>GPR-HD04M21009</v>
          </cell>
        </row>
        <row r="4097">
          <cell r="W4097">
            <v>0</v>
          </cell>
        </row>
        <row r="4098">
          <cell r="B4098" t="str">
            <v>6900010080118</v>
          </cell>
        </row>
        <row r="4098">
          <cell r="W4098">
            <v>0</v>
          </cell>
        </row>
        <row r="4099">
          <cell r="B4099" t="str">
            <v>101498</v>
          </cell>
        </row>
        <row r="4099">
          <cell r="W4099">
            <v>0</v>
          </cell>
        </row>
        <row r="4100">
          <cell r="B4100" t="str">
            <v>GPR-HD04M21012</v>
          </cell>
        </row>
        <row r="4100">
          <cell r="W4100">
            <v>0</v>
          </cell>
        </row>
        <row r="4101">
          <cell r="B4101" t="str">
            <v>6900010080129</v>
          </cell>
        </row>
        <row r="4101">
          <cell r="W4101">
            <v>0</v>
          </cell>
        </row>
        <row r="4102">
          <cell r="B4102" t="str">
            <v>6900003010293</v>
          </cell>
        </row>
        <row r="4102">
          <cell r="W4102">
            <v>0</v>
          </cell>
        </row>
        <row r="4103">
          <cell r="B4103" t="str">
            <v>0118127700</v>
          </cell>
        </row>
        <row r="4103">
          <cell r="W4103">
            <v>0</v>
          </cell>
        </row>
        <row r="4104">
          <cell r="B4104" t="str">
            <v>GPR-EQ28L22001</v>
          </cell>
        </row>
        <row r="4104">
          <cell r="W4104">
            <v>0</v>
          </cell>
        </row>
        <row r="4105">
          <cell r="B4105" t="str">
            <v>GPR-SP25M21008</v>
          </cell>
        </row>
        <row r="4105">
          <cell r="W4105">
            <v>0</v>
          </cell>
        </row>
        <row r="4106">
          <cell r="B4106" t="str">
            <v>GPR-HD01S21016</v>
          </cell>
        </row>
        <row r="4106">
          <cell r="W4106">
            <v>0</v>
          </cell>
        </row>
        <row r="4107">
          <cell r="B4107" t="str">
            <v>101500</v>
          </cell>
        </row>
        <row r="4107">
          <cell r="W4107">
            <v>0</v>
          </cell>
        </row>
        <row r="4108">
          <cell r="B4108" t="str">
            <v>6900010080123</v>
          </cell>
        </row>
        <row r="4108">
          <cell r="W4108">
            <v>0</v>
          </cell>
        </row>
        <row r="4109">
          <cell r="B4109" t="str">
            <v>GPR-WD04I22001</v>
          </cell>
        </row>
        <row r="4109">
          <cell r="W4109">
            <v>0</v>
          </cell>
        </row>
        <row r="4110">
          <cell r="B4110" t="str">
            <v>GPR-HD04M21008</v>
          </cell>
        </row>
        <row r="4110">
          <cell r="W4110">
            <v>0</v>
          </cell>
        </row>
        <row r="4111">
          <cell r="B4111" t="str">
            <v>VPR-MB18A01001</v>
          </cell>
        </row>
        <row r="4111">
          <cell r="W4111">
            <v>0</v>
          </cell>
        </row>
        <row r="4112">
          <cell r="B4112" t="str">
            <v>GPR-OT02M21039</v>
          </cell>
        </row>
        <row r="4112">
          <cell r="W4112">
            <v>0</v>
          </cell>
        </row>
        <row r="4113">
          <cell r="B4113" t="str">
            <v>101495</v>
          </cell>
        </row>
        <row r="4113">
          <cell r="W4113">
            <v>0</v>
          </cell>
        </row>
        <row r="4114">
          <cell r="B4114" t="str">
            <v>6900010080130</v>
          </cell>
        </row>
        <row r="4114">
          <cell r="W4114">
            <v>0</v>
          </cell>
        </row>
        <row r="4115">
          <cell r="B4115" t="str">
            <v>GPR-HD01S21020</v>
          </cell>
        </row>
        <row r="4115">
          <cell r="W4115">
            <v>0</v>
          </cell>
        </row>
        <row r="4116">
          <cell r="B4116" t="str">
            <v>6900010080260</v>
          </cell>
        </row>
        <row r="4116">
          <cell r="W4116">
            <v>0</v>
          </cell>
        </row>
        <row r="4117">
          <cell r="B4117" t="str">
            <v>0119429200</v>
          </cell>
        </row>
        <row r="4117">
          <cell r="W4117">
            <v>0</v>
          </cell>
        </row>
        <row r="4118">
          <cell r="B4118" t="str">
            <v>GPR-OT02M21022</v>
          </cell>
        </row>
        <row r="4118">
          <cell r="W4118">
            <v>0</v>
          </cell>
        </row>
        <row r="4119">
          <cell r="B4119" t="str">
            <v>6900010080125</v>
          </cell>
        </row>
        <row r="4119">
          <cell r="W4119">
            <v>0</v>
          </cell>
        </row>
        <row r="4120">
          <cell r="B4120" t="str">
            <v>102241</v>
          </cell>
        </row>
        <row r="4120">
          <cell r="W4120">
            <v>0</v>
          </cell>
        </row>
        <row r="4121">
          <cell r="B4121" t="str">
            <v>0119429300</v>
          </cell>
        </row>
        <row r="4121">
          <cell r="W4121">
            <v>0</v>
          </cell>
        </row>
        <row r="4122">
          <cell r="B4122" t="str">
            <v>GPR-MB17M21003</v>
          </cell>
        </row>
        <row r="4122">
          <cell r="W4122">
            <v>0</v>
          </cell>
        </row>
        <row r="4123">
          <cell r="B4123" t="str">
            <v>101512</v>
          </cell>
        </row>
        <row r="4123">
          <cell r="W4123">
            <v>0</v>
          </cell>
        </row>
        <row r="4124">
          <cell r="B4124" t="str">
            <v>6900010080126</v>
          </cell>
        </row>
        <row r="4124">
          <cell r="W4124">
            <v>0</v>
          </cell>
        </row>
        <row r="4125">
          <cell r="B4125" t="str">
            <v>GPR-ME04N01005</v>
          </cell>
        </row>
        <row r="4125">
          <cell r="W4125">
            <v>0</v>
          </cell>
        </row>
        <row r="4126">
          <cell r="B4126" t="str">
            <v>VPR-EL03A02001</v>
          </cell>
        </row>
        <row r="4126">
          <cell r="W4126">
            <v>0</v>
          </cell>
        </row>
        <row r="4127">
          <cell r="B4127" t="str">
            <v>6900005050615</v>
          </cell>
        </row>
        <row r="4127">
          <cell r="W4127">
            <v>0</v>
          </cell>
        </row>
        <row r="4128">
          <cell r="B4128" t="str">
            <v>GPR-HD01S21021</v>
          </cell>
        </row>
        <row r="4128">
          <cell r="W4128">
            <v>0</v>
          </cell>
        </row>
        <row r="4129">
          <cell r="B4129" t="str">
            <v>6900010080127</v>
          </cell>
        </row>
        <row r="4129">
          <cell r="W4129">
            <v>0</v>
          </cell>
        </row>
        <row r="4130">
          <cell r="B4130" t="str">
            <v>GPR-ME04N01007</v>
          </cell>
        </row>
        <row r="4130">
          <cell r="W4130">
            <v>0</v>
          </cell>
        </row>
        <row r="4131">
          <cell r="B4131" t="str">
            <v>GPR-HO12M02002</v>
          </cell>
        </row>
        <row r="4131">
          <cell r="W4131">
            <v>0</v>
          </cell>
        </row>
        <row r="4132">
          <cell r="B4132" t="str">
            <v>GPR-AP11C02001</v>
          </cell>
        </row>
        <row r="4132">
          <cell r="W4132">
            <v>0</v>
          </cell>
        </row>
        <row r="4133">
          <cell r="B4133" t="str">
            <v>3816000000001</v>
          </cell>
        </row>
        <row r="4133">
          <cell r="W4133">
            <v>0</v>
          </cell>
        </row>
        <row r="4134">
          <cell r="B4134" t="str">
            <v>GPR-HS03R00001</v>
          </cell>
        </row>
        <row r="4134">
          <cell r="W4134">
            <v>0</v>
          </cell>
        </row>
        <row r="4135">
          <cell r="B4135" t="str">
            <v>74121000000142000000</v>
          </cell>
        </row>
        <row r="4135">
          <cell r="W4135">
            <v>0</v>
          </cell>
        </row>
        <row r="4136">
          <cell r="B4136" t="str">
            <v>6900010080128</v>
          </cell>
        </row>
        <row r="4136">
          <cell r="W4136">
            <v>0</v>
          </cell>
        </row>
        <row r="4137">
          <cell r="B4137" t="str">
            <v>GPR-EQ13C01002</v>
          </cell>
        </row>
        <row r="4137">
          <cell r="W4137">
            <v>0</v>
          </cell>
        </row>
        <row r="4138">
          <cell r="B4138" t="str">
            <v>172481102</v>
          </cell>
        </row>
        <row r="4138">
          <cell r="W4138">
            <v>0</v>
          </cell>
        </row>
        <row r="4139">
          <cell r="B4139" t="str">
            <v>GPR-MB17M21002</v>
          </cell>
        </row>
        <row r="4139">
          <cell r="W4139">
            <v>0</v>
          </cell>
        </row>
        <row r="4140">
          <cell r="B4140" t="str">
            <v>GPR-ME04L04002</v>
          </cell>
        </row>
        <row r="4140">
          <cell r="W4140">
            <v>0</v>
          </cell>
        </row>
        <row r="4141">
          <cell r="B4141" t="str">
            <v>GPR-HS07R00001</v>
          </cell>
        </row>
        <row r="4141">
          <cell r="W4141">
            <v>0</v>
          </cell>
        </row>
        <row r="4142">
          <cell r="B4142" t="str">
            <v>GPR-EQ13C01001</v>
          </cell>
        </row>
        <row r="4142">
          <cell r="W4142">
            <v>0</v>
          </cell>
        </row>
        <row r="4143">
          <cell r="B4143" t="str">
            <v>84818039900005</v>
          </cell>
        </row>
        <row r="4143">
          <cell r="W4143">
            <v>1</v>
          </cell>
        </row>
        <row r="4144">
          <cell r="B4144" t="str">
            <v>GPR-MB17M21001</v>
          </cell>
        </row>
        <row r="4144">
          <cell r="W4144">
            <v>0</v>
          </cell>
        </row>
        <row r="4145">
          <cell r="B4145" t="str">
            <v>GPR-ME04N01003</v>
          </cell>
        </row>
        <row r="4145">
          <cell r="W4145">
            <v>0</v>
          </cell>
        </row>
        <row r="4146">
          <cell r="B4146" t="str">
            <v>GPR-HD01S21022</v>
          </cell>
        </row>
        <row r="4146">
          <cell r="W4146">
            <v>0</v>
          </cell>
        </row>
        <row r="4147">
          <cell r="B4147" t="str">
            <v>84818080000003</v>
          </cell>
        </row>
        <row r="4147">
          <cell r="W4147">
            <v>-3866</v>
          </cell>
        </row>
        <row r="4148">
          <cell r="B4148" t="str">
            <v>GPR-WD04J03003</v>
          </cell>
        </row>
        <row r="4148">
          <cell r="W4148">
            <v>0</v>
          </cell>
        </row>
        <row r="4149">
          <cell r="B4149" t="str">
            <v>GPR-SP00M21033</v>
          </cell>
        </row>
        <row r="4149">
          <cell r="W4149">
            <v>0</v>
          </cell>
        </row>
        <row r="4150">
          <cell r="B4150" t="str">
            <v>GPR-EL24C02007</v>
          </cell>
        </row>
        <row r="4150">
          <cell r="W4150">
            <v>0</v>
          </cell>
        </row>
        <row r="4151">
          <cell r="B4151" t="str">
            <v>6900001010119</v>
          </cell>
        </row>
        <row r="4151">
          <cell r="W4151">
            <v>0</v>
          </cell>
        </row>
        <row r="4152">
          <cell r="B4152" t="str">
            <v>GPR-HD01S21023</v>
          </cell>
        </row>
        <row r="4152">
          <cell r="W4152">
            <v>0</v>
          </cell>
        </row>
        <row r="4153">
          <cell r="B4153" t="str">
            <v>GPR-ME04N01008</v>
          </cell>
        </row>
        <row r="4153">
          <cell r="W4153">
            <v>0</v>
          </cell>
        </row>
        <row r="4154">
          <cell r="B4154" t="str">
            <v>GPR-HD01S21024</v>
          </cell>
        </row>
        <row r="4154">
          <cell r="W4154">
            <v>0</v>
          </cell>
        </row>
        <row r="4155">
          <cell r="B4155" t="str">
            <v>VPR-SP31M21001</v>
          </cell>
        </row>
        <row r="4155">
          <cell r="W4155">
            <v>0</v>
          </cell>
        </row>
        <row r="4156">
          <cell r="B4156" t="str">
            <v>GPR-EQ13C01005</v>
          </cell>
        </row>
        <row r="4156">
          <cell r="W4156">
            <v>0</v>
          </cell>
        </row>
        <row r="4157">
          <cell r="B4157" t="str">
            <v>GPR-SP00M21034</v>
          </cell>
        </row>
        <row r="4157">
          <cell r="W4157">
            <v>0</v>
          </cell>
        </row>
        <row r="4158">
          <cell r="B4158" t="str">
            <v>6900001010118</v>
          </cell>
        </row>
        <row r="4158">
          <cell r="W4158">
            <v>0</v>
          </cell>
        </row>
        <row r="4159">
          <cell r="B4159" t="str">
            <v>GPR-EQ13C01004</v>
          </cell>
        </row>
        <row r="4159">
          <cell r="W4159">
            <v>0</v>
          </cell>
        </row>
        <row r="4160">
          <cell r="B4160" t="str">
            <v>102225</v>
          </cell>
        </row>
        <row r="4160">
          <cell r="W4160">
            <v>0</v>
          </cell>
        </row>
        <row r="4161">
          <cell r="B4161" t="str">
            <v>GPR-PT07M11001</v>
          </cell>
        </row>
        <row r="4161">
          <cell r="W4161">
            <v>0</v>
          </cell>
        </row>
        <row r="4162">
          <cell r="B4162" t="str">
            <v>GPR-ME04N01001</v>
          </cell>
        </row>
        <row r="4162">
          <cell r="W4162">
            <v>0</v>
          </cell>
        </row>
        <row r="4163">
          <cell r="B4163" t="str">
            <v>VPR-HO10M01001</v>
          </cell>
        </row>
        <row r="4163">
          <cell r="W4163">
            <v>0</v>
          </cell>
        </row>
        <row r="4164">
          <cell r="B4164" t="str">
            <v>GPR-SP00M02024</v>
          </cell>
        </row>
        <row r="4164">
          <cell r="W4164">
            <v>0</v>
          </cell>
        </row>
        <row r="4165">
          <cell r="B4165" t="str">
            <v>GPR-SP09M21015</v>
          </cell>
        </row>
        <row r="4165">
          <cell r="W4165">
            <v>0</v>
          </cell>
        </row>
        <row r="4166">
          <cell r="B4166" t="str">
            <v>GPR-MB19M21001</v>
          </cell>
        </row>
        <row r="4166">
          <cell r="W4166">
            <v>0</v>
          </cell>
        </row>
        <row r="4167">
          <cell r="B4167" t="str">
            <v>GPR-ME04N14001</v>
          </cell>
        </row>
        <row r="4167">
          <cell r="W4167">
            <v>0</v>
          </cell>
        </row>
        <row r="4168">
          <cell r="B4168" t="str">
            <v>6900010080262</v>
          </cell>
        </row>
        <row r="4168">
          <cell r="W4168">
            <v>0</v>
          </cell>
        </row>
        <row r="4169">
          <cell r="B4169" t="str">
            <v>GPR-EQ09P04001</v>
          </cell>
        </row>
        <row r="4169">
          <cell r="W4169">
            <v>0</v>
          </cell>
        </row>
        <row r="4170">
          <cell r="B4170" t="str">
            <v>GPR-HS02R00001</v>
          </cell>
        </row>
        <row r="4170">
          <cell r="W4170">
            <v>0</v>
          </cell>
        </row>
        <row r="4171">
          <cell r="B4171" t="str">
            <v>GPR-ME04N11003</v>
          </cell>
        </row>
        <row r="4171">
          <cell r="W4171">
            <v>0</v>
          </cell>
        </row>
        <row r="4172">
          <cell r="B4172" t="str">
            <v>0116620500</v>
          </cell>
        </row>
        <row r="4172">
          <cell r="W4172">
            <v>0</v>
          </cell>
        </row>
        <row r="4173">
          <cell r="B4173" t="str">
            <v>GPR-SP00M21030</v>
          </cell>
        </row>
        <row r="4173">
          <cell r="W4173">
            <v>0</v>
          </cell>
        </row>
        <row r="4174">
          <cell r="B4174" t="str">
            <v>GPR-GS04M21002</v>
          </cell>
        </row>
        <row r="4174">
          <cell r="W4174">
            <v>0</v>
          </cell>
        </row>
        <row r="4175">
          <cell r="B4175" t="str">
            <v>GPR-MB07M22003</v>
          </cell>
        </row>
        <row r="4175">
          <cell r="W4175">
            <v>0</v>
          </cell>
        </row>
        <row r="4176">
          <cell r="B4176" t="str">
            <v>GPR-SP16J04001</v>
          </cell>
        </row>
        <row r="4176">
          <cell r="W4176">
            <v>0</v>
          </cell>
        </row>
        <row r="4177">
          <cell r="B4177" t="str">
            <v>GPR-HS02R00002</v>
          </cell>
        </row>
        <row r="4177">
          <cell r="W4177">
            <v>0</v>
          </cell>
        </row>
        <row r="4178">
          <cell r="B4178" t="str">
            <v>VPR-SE04D13001</v>
          </cell>
        </row>
        <row r="4178">
          <cell r="W4178">
            <v>0</v>
          </cell>
        </row>
        <row r="4179">
          <cell r="B4179" t="str">
            <v>GPR-WD04J03001</v>
          </cell>
        </row>
        <row r="4179">
          <cell r="W4179">
            <v>0</v>
          </cell>
        </row>
        <row r="4180">
          <cell r="B4180" t="str">
            <v>8010030461</v>
          </cell>
        </row>
        <row r="4180">
          <cell r="W4180">
            <v>0</v>
          </cell>
        </row>
        <row r="4181">
          <cell r="B4181" t="str">
            <v>VPR-HO03S21003</v>
          </cell>
        </row>
        <row r="4181">
          <cell r="W4181">
            <v>0</v>
          </cell>
        </row>
        <row r="4182">
          <cell r="B4182" t="str">
            <v>GPR-HD08M14001</v>
          </cell>
        </row>
        <row r="4182">
          <cell r="W4182">
            <v>0</v>
          </cell>
        </row>
        <row r="4183">
          <cell r="B4183" t="str">
            <v>GPR-EL04C01004</v>
          </cell>
        </row>
        <row r="4183">
          <cell r="W4183">
            <v>0</v>
          </cell>
        </row>
        <row r="4184">
          <cell r="B4184" t="str">
            <v>GPR-EQ31C00001</v>
          </cell>
        </row>
        <row r="4184">
          <cell r="W4184">
            <v>0</v>
          </cell>
        </row>
        <row r="4185">
          <cell r="B4185" t="str">
            <v>GPR-HO12T02001</v>
          </cell>
        </row>
        <row r="4185">
          <cell r="W4185">
            <v>0</v>
          </cell>
        </row>
        <row r="4186">
          <cell r="B4186" t="str">
            <v>GPR-MB18A01003</v>
          </cell>
        </row>
        <row r="4186">
          <cell r="W4186">
            <v>0</v>
          </cell>
        </row>
        <row r="4187">
          <cell r="B4187" t="str">
            <v>GPR-HD01S21025</v>
          </cell>
        </row>
        <row r="4187">
          <cell r="W4187">
            <v>0</v>
          </cell>
        </row>
        <row r="4188">
          <cell r="B4188" t="str">
            <v>39259000000016</v>
          </cell>
        </row>
        <row r="4188">
          <cell r="W4188">
            <v>0</v>
          </cell>
        </row>
        <row r="4189">
          <cell r="B4189" t="str">
            <v>GPR-PT01M01002</v>
          </cell>
        </row>
        <row r="4189">
          <cell r="W4189">
            <v>0</v>
          </cell>
        </row>
        <row r="4190">
          <cell r="B4190" t="str">
            <v>GPR-EL18M01001</v>
          </cell>
        </row>
        <row r="4190">
          <cell r="W4190">
            <v>0</v>
          </cell>
        </row>
        <row r="4191">
          <cell r="B4191" t="str">
            <v>GPR-EL27M03001</v>
          </cell>
        </row>
        <row r="4191">
          <cell r="W4191">
            <v>0</v>
          </cell>
        </row>
        <row r="4192">
          <cell r="B4192" t="str">
            <v>GPR-SP28D01001</v>
          </cell>
        </row>
        <row r="4192">
          <cell r="W4192">
            <v>0</v>
          </cell>
        </row>
        <row r="4193">
          <cell r="B4193" t="str">
            <v>0117121100</v>
          </cell>
        </row>
        <row r="4193">
          <cell r="W4193">
            <v>0</v>
          </cell>
        </row>
        <row r="4194">
          <cell r="B4194" t="str">
            <v>GPR-EL06M02001</v>
          </cell>
        </row>
        <row r="4194">
          <cell r="W4194">
            <v>0</v>
          </cell>
        </row>
        <row r="4195">
          <cell r="B4195" t="str">
            <v>GPR-MB26D14001</v>
          </cell>
        </row>
        <row r="4195">
          <cell r="W4195">
            <v>0</v>
          </cell>
        </row>
        <row r="4196">
          <cell r="B4196" t="str">
            <v>VPR-SE04D33008</v>
          </cell>
        </row>
        <row r="4196">
          <cell r="W4196">
            <v>0</v>
          </cell>
        </row>
        <row r="4197">
          <cell r="B4197" t="str">
            <v>GPR-OT02M21040</v>
          </cell>
        </row>
        <row r="4197">
          <cell r="W4197">
            <v>0</v>
          </cell>
        </row>
        <row r="4198">
          <cell r="B4198" t="str">
            <v>GPR-SP12C21001</v>
          </cell>
        </row>
        <row r="4198">
          <cell r="W4198">
            <v>0</v>
          </cell>
        </row>
        <row r="4199">
          <cell r="B4199" t="str">
            <v>GPR-ME05D01002</v>
          </cell>
        </row>
        <row r="4199">
          <cell r="W4199">
            <v>0</v>
          </cell>
        </row>
        <row r="4200">
          <cell r="B4200" t="str">
            <v>GPR-PT02M15002</v>
          </cell>
        </row>
        <row r="4200">
          <cell r="W4200">
            <v>0</v>
          </cell>
        </row>
        <row r="4201">
          <cell r="B4201" t="str">
            <v>VPR-SE04D33007</v>
          </cell>
        </row>
        <row r="4201">
          <cell r="W4201">
            <v>0</v>
          </cell>
        </row>
        <row r="4202">
          <cell r="B4202" t="str">
            <v>GPR-SP17S21001</v>
          </cell>
        </row>
        <row r="4202">
          <cell r="W4202">
            <v>0</v>
          </cell>
        </row>
        <row r="4203">
          <cell r="B4203" t="str">
            <v>GPR-ME05D01003</v>
          </cell>
        </row>
        <row r="4203">
          <cell r="W4203">
            <v>0</v>
          </cell>
        </row>
        <row r="4204">
          <cell r="B4204" t="str">
            <v>6900010107013</v>
          </cell>
        </row>
        <row r="4204">
          <cell r="W4204">
            <v>0</v>
          </cell>
        </row>
        <row r="4205">
          <cell r="B4205" t="str">
            <v>VPR-SE04D33006</v>
          </cell>
        </row>
        <row r="4205">
          <cell r="W4205">
            <v>0</v>
          </cell>
        </row>
        <row r="4206">
          <cell r="B4206" t="str">
            <v>GPR-EQ24G00001</v>
          </cell>
        </row>
        <row r="4206">
          <cell r="W4206">
            <v>0</v>
          </cell>
        </row>
        <row r="4207">
          <cell r="B4207" t="str">
            <v>6900010080200</v>
          </cell>
        </row>
        <row r="4207">
          <cell r="W4207">
            <v>0</v>
          </cell>
        </row>
        <row r="4208">
          <cell r="B4208" t="str">
            <v>GPR-SP01M13001</v>
          </cell>
        </row>
        <row r="4208">
          <cell r="W4208">
            <v>0</v>
          </cell>
        </row>
        <row r="4209">
          <cell r="B4209" t="str">
            <v>VPR-SE04D33009</v>
          </cell>
        </row>
        <row r="4209">
          <cell r="W4209">
            <v>0</v>
          </cell>
        </row>
        <row r="4210">
          <cell r="B4210" t="str">
            <v>6900010080198</v>
          </cell>
        </row>
        <row r="4210">
          <cell r="W4210">
            <v>0</v>
          </cell>
        </row>
        <row r="4211">
          <cell r="B4211" t="str">
            <v>102556</v>
          </cell>
        </row>
        <row r="4211">
          <cell r="W4211">
            <v>0</v>
          </cell>
        </row>
        <row r="4212">
          <cell r="B4212" t="str">
            <v>GPR-EQ11O01001</v>
          </cell>
        </row>
        <row r="4212">
          <cell r="W4212">
            <v>0</v>
          </cell>
        </row>
        <row r="4213">
          <cell r="B4213" t="str">
            <v>6900010080207</v>
          </cell>
        </row>
        <row r="4213">
          <cell r="W4213">
            <v>0</v>
          </cell>
        </row>
        <row r="4214">
          <cell r="B4214" t="str">
            <v>GPR-WC01S21005</v>
          </cell>
        </row>
        <row r="4214">
          <cell r="W4214">
            <v>0</v>
          </cell>
        </row>
        <row r="4215">
          <cell r="B4215" t="str">
            <v>GPR-PT02M02002</v>
          </cell>
        </row>
        <row r="4215">
          <cell r="W4215">
            <v>0</v>
          </cell>
        </row>
        <row r="4216">
          <cell r="B4216" t="str">
            <v>100104</v>
          </cell>
        </row>
        <row r="4216">
          <cell r="W4216">
            <v>0</v>
          </cell>
        </row>
        <row r="4217">
          <cell r="B4217" t="str">
            <v>GPR-HO06L01002</v>
          </cell>
        </row>
        <row r="4217">
          <cell r="W4217">
            <v>0</v>
          </cell>
        </row>
        <row r="4218">
          <cell r="B4218" t="str">
            <v>6900010080209</v>
          </cell>
        </row>
        <row r="4218">
          <cell r="W4218">
            <v>0</v>
          </cell>
        </row>
        <row r="4219">
          <cell r="B4219" t="str">
            <v>GPR-PT09M21015</v>
          </cell>
        </row>
        <row r="4219">
          <cell r="W4219">
            <v>0</v>
          </cell>
        </row>
        <row r="4220">
          <cell r="B4220" t="str">
            <v>6900010080254</v>
          </cell>
        </row>
        <row r="4220">
          <cell r="W4220">
            <v>0</v>
          </cell>
        </row>
        <row r="4221">
          <cell r="B4221" t="str">
            <v>102557</v>
          </cell>
        </row>
        <row r="4221">
          <cell r="W4221">
            <v>0</v>
          </cell>
        </row>
        <row r="4222">
          <cell r="B4222" t="str">
            <v>GPR-EQ09P04002</v>
          </cell>
        </row>
        <row r="4222">
          <cell r="W4222">
            <v>0</v>
          </cell>
        </row>
        <row r="4223">
          <cell r="B4223" t="str">
            <v>GPR-EL05M13001</v>
          </cell>
        </row>
        <row r="4223">
          <cell r="W4223">
            <v>0</v>
          </cell>
        </row>
        <row r="4224">
          <cell r="B4224" t="str">
            <v>69000030103117</v>
          </cell>
        </row>
        <row r="4224">
          <cell r="W4224">
            <v>0</v>
          </cell>
        </row>
        <row r="4225">
          <cell r="B4225" t="str">
            <v>6900001010117</v>
          </cell>
        </row>
        <row r="4225">
          <cell r="W4225">
            <v>0</v>
          </cell>
        </row>
        <row r="4226">
          <cell r="B4226" t="str">
            <v>6900010080186</v>
          </cell>
        </row>
        <row r="4226">
          <cell r="W4226">
            <v>0</v>
          </cell>
        </row>
        <row r="4227">
          <cell r="B4227" t="str">
            <v>6900003010222</v>
          </cell>
        </row>
        <row r="4227">
          <cell r="W4227">
            <v>0</v>
          </cell>
        </row>
        <row r="4228">
          <cell r="B4228" t="str">
            <v>69000030103116</v>
          </cell>
        </row>
        <row r="4228">
          <cell r="W4228">
            <v>0</v>
          </cell>
        </row>
        <row r="4229">
          <cell r="B4229" t="str">
            <v>6900010080189</v>
          </cell>
        </row>
        <row r="4229">
          <cell r="W4229">
            <v>0</v>
          </cell>
        </row>
        <row r="4230">
          <cell r="B4230" t="str">
            <v>6900001010115</v>
          </cell>
        </row>
        <row r="4230">
          <cell r="W4230">
            <v>0</v>
          </cell>
        </row>
        <row r="4231">
          <cell r="B4231" t="str">
            <v>GPR-EL19C01001</v>
          </cell>
        </row>
        <row r="4231">
          <cell r="W4231">
            <v>0</v>
          </cell>
        </row>
        <row r="4232">
          <cell r="B4232" t="str">
            <v>GPR-SP25M21006</v>
          </cell>
        </row>
        <row r="4232">
          <cell r="W4232">
            <v>0</v>
          </cell>
        </row>
        <row r="4233">
          <cell r="B4233" t="str">
            <v>6900010080190</v>
          </cell>
        </row>
        <row r="4233">
          <cell r="W4233">
            <v>0</v>
          </cell>
        </row>
        <row r="4234">
          <cell r="B4234" t="str">
            <v>6900001010125</v>
          </cell>
        </row>
        <row r="4234">
          <cell r="W4234">
            <v>0</v>
          </cell>
        </row>
        <row r="4235">
          <cell r="B4235" t="str">
            <v>GPR-PT09M21013</v>
          </cell>
        </row>
        <row r="4235">
          <cell r="W4235">
            <v>0</v>
          </cell>
        </row>
        <row r="4236">
          <cell r="B4236" t="str">
            <v>GPR-HD02M00001</v>
          </cell>
        </row>
        <row r="4236">
          <cell r="W4236">
            <v>0</v>
          </cell>
        </row>
        <row r="4237">
          <cell r="B4237" t="str">
            <v>GPR-HD02M21001</v>
          </cell>
        </row>
        <row r="4237">
          <cell r="W4237">
            <v>0</v>
          </cell>
        </row>
        <row r="4238">
          <cell r="B4238" t="str">
            <v>GPR-PN04A21002</v>
          </cell>
        </row>
        <row r="4238">
          <cell r="W4238">
            <v>0</v>
          </cell>
        </row>
        <row r="4239">
          <cell r="B4239" t="str">
            <v>6900010080191</v>
          </cell>
        </row>
        <row r="4239">
          <cell r="W4239">
            <v>0</v>
          </cell>
        </row>
        <row r="4240">
          <cell r="B4240" t="str">
            <v>0118573800</v>
          </cell>
        </row>
        <row r="4240">
          <cell r="W4240">
            <v>0</v>
          </cell>
        </row>
        <row r="4241">
          <cell r="B4241" t="str">
            <v>VPR-SE04D33010</v>
          </cell>
        </row>
        <row r="4241">
          <cell r="W4241">
            <v>0</v>
          </cell>
        </row>
        <row r="4242">
          <cell r="B4242" t="str">
            <v>GPR-OT02M02017</v>
          </cell>
        </row>
        <row r="4242">
          <cell r="W4242">
            <v>0</v>
          </cell>
        </row>
        <row r="4243">
          <cell r="B4243" t="str">
            <v>GPR-EL04C02002</v>
          </cell>
        </row>
        <row r="4243">
          <cell r="W4243">
            <v>0</v>
          </cell>
        </row>
        <row r="4244">
          <cell r="B4244" t="str">
            <v>GPR-SP00M15001</v>
          </cell>
        </row>
        <row r="4244">
          <cell r="W4244">
            <v>0</v>
          </cell>
        </row>
        <row r="4245">
          <cell r="B4245" t="str">
            <v>GPR-HD01M21003</v>
          </cell>
        </row>
        <row r="4245">
          <cell r="W4245">
            <v>0</v>
          </cell>
        </row>
        <row r="4246">
          <cell r="B4246" t="str">
            <v>GPR-PT09M21012</v>
          </cell>
        </row>
        <row r="4246">
          <cell r="W4246">
            <v>0</v>
          </cell>
        </row>
        <row r="4247">
          <cell r="B4247" t="str">
            <v>GPR-SP00M21045</v>
          </cell>
        </row>
        <row r="4247">
          <cell r="W4247">
            <v>0</v>
          </cell>
        </row>
        <row r="4248">
          <cell r="B4248" t="str">
            <v>6900010080272</v>
          </cell>
        </row>
        <row r="4248">
          <cell r="W4248">
            <v>0</v>
          </cell>
        </row>
        <row r="4249">
          <cell r="B4249" t="str">
            <v>GPR-HD18M02001</v>
          </cell>
        </row>
        <row r="4249">
          <cell r="W4249">
            <v>0</v>
          </cell>
        </row>
        <row r="4250">
          <cell r="B4250" t="str">
            <v>GPR-SP00M02012</v>
          </cell>
        </row>
        <row r="4250">
          <cell r="W4250">
            <v>0</v>
          </cell>
        </row>
        <row r="4251">
          <cell r="B4251" t="str">
            <v>69000030103154</v>
          </cell>
        </row>
        <row r="4251">
          <cell r="W4251">
            <v>0</v>
          </cell>
        </row>
        <row r="4252">
          <cell r="B4252" t="str">
            <v>39259000000021</v>
          </cell>
        </row>
        <row r="4252">
          <cell r="W4252">
            <v>0</v>
          </cell>
        </row>
        <row r="4253">
          <cell r="B4253" t="str">
            <v>6900003010290</v>
          </cell>
        </row>
        <row r="4253">
          <cell r="W4253">
            <v>0</v>
          </cell>
        </row>
        <row r="4254">
          <cell r="B4254" t="str">
            <v>GPR-PT09M21011</v>
          </cell>
        </row>
        <row r="4254">
          <cell r="W4254">
            <v>0</v>
          </cell>
        </row>
        <row r="4255">
          <cell r="B4255" t="str">
            <v>GPR-HD02M21002</v>
          </cell>
        </row>
        <row r="4255">
          <cell r="W4255">
            <v>0</v>
          </cell>
        </row>
        <row r="4256">
          <cell r="B4256" t="str">
            <v>GPR-SP00M02022</v>
          </cell>
        </row>
        <row r="4256">
          <cell r="W4256">
            <v>0</v>
          </cell>
        </row>
        <row r="4257">
          <cell r="B4257" t="str">
            <v>GPR-HO03K00004</v>
          </cell>
        </row>
        <row r="4257">
          <cell r="W4257">
            <v>0</v>
          </cell>
        </row>
        <row r="4258">
          <cell r="B4258" t="str">
            <v>GPR-OT02M21053</v>
          </cell>
        </row>
        <row r="4258">
          <cell r="W4258">
            <v>0</v>
          </cell>
        </row>
        <row r="4259">
          <cell r="B4259" t="str">
            <v>GPR-SP00M21029</v>
          </cell>
        </row>
        <row r="4259">
          <cell r="W4259">
            <v>0</v>
          </cell>
        </row>
        <row r="4260">
          <cell r="B4260" t="str">
            <v>69000030103250</v>
          </cell>
        </row>
        <row r="4260">
          <cell r="W4260">
            <v>0</v>
          </cell>
        </row>
        <row r="4261">
          <cell r="B4261" t="str">
            <v>GPR-SE06C14001</v>
          </cell>
        </row>
        <row r="4261">
          <cell r="W4261">
            <v>0</v>
          </cell>
        </row>
        <row r="4262">
          <cell r="B4262" t="str">
            <v>GPR-EQ09P04003</v>
          </cell>
        </row>
        <row r="4262">
          <cell r="W4262">
            <v>0</v>
          </cell>
        </row>
        <row r="4263">
          <cell r="B4263" t="str">
            <v>6900003010213</v>
          </cell>
        </row>
        <row r="4263">
          <cell r="W4263">
            <v>0</v>
          </cell>
        </row>
        <row r="4264">
          <cell r="B4264" t="str">
            <v>GPR-SE06C11001</v>
          </cell>
        </row>
        <row r="4264">
          <cell r="W4264">
            <v>0</v>
          </cell>
        </row>
        <row r="4265">
          <cell r="B4265" t="str">
            <v>GPR-EQ26G00001</v>
          </cell>
        </row>
        <row r="4265">
          <cell r="W4265">
            <v>0</v>
          </cell>
        </row>
        <row r="4266">
          <cell r="B4266" t="str">
            <v>GPR-SP09M21019</v>
          </cell>
        </row>
        <row r="4266">
          <cell r="W4266">
            <v>0</v>
          </cell>
        </row>
        <row r="4267">
          <cell r="B4267" t="str">
            <v>GPR-LM01G01001</v>
          </cell>
        </row>
        <row r="4267">
          <cell r="W4267">
            <v>0</v>
          </cell>
        </row>
        <row r="4268">
          <cell r="B4268" t="str">
            <v>GPR-SP00M21049</v>
          </cell>
        </row>
        <row r="4268">
          <cell r="W4268">
            <v>0</v>
          </cell>
        </row>
        <row r="4269">
          <cell r="B4269" t="str">
            <v>GPR-SP09M21020</v>
          </cell>
        </row>
        <row r="4269">
          <cell r="W4269">
            <v>0</v>
          </cell>
        </row>
        <row r="4270">
          <cell r="B4270" t="str">
            <v>GPR-EQ26G00002</v>
          </cell>
        </row>
        <row r="4270">
          <cell r="W4270">
            <v>0</v>
          </cell>
        </row>
        <row r="4271">
          <cell r="B4271" t="str">
            <v>GPR-HD12C15001</v>
          </cell>
        </row>
        <row r="4271">
          <cell r="W4271">
            <v>0</v>
          </cell>
        </row>
        <row r="4272">
          <cell r="B4272" t="str">
            <v>A070045O02</v>
          </cell>
        </row>
        <row r="4272">
          <cell r="W4272">
            <v>0</v>
          </cell>
        </row>
        <row r="4273">
          <cell r="B4273" t="str">
            <v>GPR-SP00M13002</v>
          </cell>
        </row>
        <row r="4273">
          <cell r="W4273">
            <v>0</v>
          </cell>
        </row>
        <row r="4274">
          <cell r="B4274" t="str">
            <v>0116320100</v>
          </cell>
        </row>
        <row r="4274">
          <cell r="W4274">
            <v>0</v>
          </cell>
        </row>
        <row r="4275">
          <cell r="B4275" t="str">
            <v>GPR-MB24R02001</v>
          </cell>
        </row>
        <row r="4275">
          <cell r="W4275">
            <v>0</v>
          </cell>
        </row>
        <row r="4276">
          <cell r="B4276" t="str">
            <v>69000030103113</v>
          </cell>
        </row>
        <row r="4276">
          <cell r="W4276">
            <v>0</v>
          </cell>
        </row>
        <row r="4277">
          <cell r="B4277" t="str">
            <v>6900008070416</v>
          </cell>
        </row>
        <row r="4277">
          <cell r="W4277">
            <v>0</v>
          </cell>
        </row>
        <row r="4278">
          <cell r="B4278" t="str">
            <v>GPR-SP01M21044</v>
          </cell>
        </row>
        <row r="4278">
          <cell r="W4278">
            <v>0</v>
          </cell>
        </row>
        <row r="4279">
          <cell r="B4279" t="str">
            <v>A070044O01</v>
          </cell>
        </row>
        <row r="4279">
          <cell r="W4279">
            <v>0</v>
          </cell>
        </row>
        <row r="4280">
          <cell r="B4280" t="str">
            <v>GPR-HO11M01002</v>
          </cell>
        </row>
        <row r="4280">
          <cell r="W4280">
            <v>0</v>
          </cell>
        </row>
        <row r="4281">
          <cell r="B4281" t="str">
            <v>GPR-EL03M02002</v>
          </cell>
        </row>
        <row r="4281">
          <cell r="W4281">
            <v>0</v>
          </cell>
        </row>
        <row r="4282">
          <cell r="B4282" t="str">
            <v>GPR-EQ09P04004</v>
          </cell>
        </row>
        <row r="4282">
          <cell r="W4282">
            <v>0</v>
          </cell>
        </row>
        <row r="4283">
          <cell r="B4283" t="str">
            <v>GPR-SP01M21040</v>
          </cell>
        </row>
        <row r="4283">
          <cell r="W4283">
            <v>0</v>
          </cell>
        </row>
        <row r="4284">
          <cell r="B4284" t="str">
            <v>GPR-HO05D03001</v>
          </cell>
        </row>
        <row r="4284">
          <cell r="W4284">
            <v>0</v>
          </cell>
        </row>
        <row r="4285">
          <cell r="B4285" t="str">
            <v>GPR-EL03C01010</v>
          </cell>
        </row>
        <row r="4285">
          <cell r="W4285">
            <v>0</v>
          </cell>
        </row>
        <row r="4286">
          <cell r="B4286" t="str">
            <v>GPR-EQ28L22002</v>
          </cell>
        </row>
        <row r="4286">
          <cell r="W4286">
            <v>0</v>
          </cell>
        </row>
        <row r="4287">
          <cell r="B4287" t="str">
            <v>GPR-EQ07C02005</v>
          </cell>
        </row>
        <row r="4287">
          <cell r="W4287">
            <v>0</v>
          </cell>
        </row>
        <row r="4288">
          <cell r="B4288" t="str">
            <v>GPR-SP01M21042</v>
          </cell>
        </row>
        <row r="4288">
          <cell r="W4288">
            <v>0</v>
          </cell>
        </row>
        <row r="4289">
          <cell r="B4289" t="str">
            <v>69000030103161</v>
          </cell>
        </row>
        <row r="4289">
          <cell r="W4289">
            <v>0</v>
          </cell>
        </row>
        <row r="4290">
          <cell r="B4290" t="str">
            <v>GPR-EL03C01009</v>
          </cell>
        </row>
        <row r="4290">
          <cell r="W4290">
            <v>0</v>
          </cell>
        </row>
        <row r="4291">
          <cell r="B4291" t="str">
            <v>GPR-EQ16J15001</v>
          </cell>
        </row>
        <row r="4291">
          <cell r="W4291">
            <v>0</v>
          </cell>
        </row>
        <row r="4292">
          <cell r="B4292" t="str">
            <v>GPR-SP06A02002</v>
          </cell>
        </row>
        <row r="4292">
          <cell r="W4292">
            <v>0</v>
          </cell>
        </row>
        <row r="4293">
          <cell r="B4293" t="str">
            <v>GPR-SP01M21041</v>
          </cell>
        </row>
        <row r="4293">
          <cell r="W4293">
            <v>0</v>
          </cell>
        </row>
        <row r="4294">
          <cell r="B4294" t="str">
            <v>GPR-EL03C01007</v>
          </cell>
        </row>
        <row r="4294">
          <cell r="W4294">
            <v>0</v>
          </cell>
        </row>
        <row r="4295">
          <cell r="B4295" t="str">
            <v>GPR-MB38A21003</v>
          </cell>
        </row>
        <row r="4295">
          <cell r="W4295">
            <v>0</v>
          </cell>
        </row>
        <row r="4296">
          <cell r="B4296" t="str">
            <v>GPR-EL03C01008</v>
          </cell>
        </row>
        <row r="4296">
          <cell r="W4296">
            <v>0</v>
          </cell>
        </row>
        <row r="4297">
          <cell r="B4297" t="str">
            <v>GPR-SP01M21043</v>
          </cell>
        </row>
        <row r="4297">
          <cell r="W4297">
            <v>0</v>
          </cell>
        </row>
        <row r="4298">
          <cell r="B4298" t="str">
            <v>GPR-EL22C01001</v>
          </cell>
        </row>
        <row r="4298">
          <cell r="W4298">
            <v>0</v>
          </cell>
        </row>
        <row r="4299">
          <cell r="B4299" t="str">
            <v>GPR-EQ43D01002</v>
          </cell>
        </row>
        <row r="4299">
          <cell r="W4299">
            <v>0</v>
          </cell>
        </row>
        <row r="4300">
          <cell r="B4300" t="str">
            <v>6900003010294</v>
          </cell>
        </row>
        <row r="4300">
          <cell r="W4300">
            <v>0</v>
          </cell>
        </row>
        <row r="4301">
          <cell r="B4301" t="str">
            <v>GPR-PT02M13003</v>
          </cell>
        </row>
        <row r="4301">
          <cell r="W4301">
            <v>0</v>
          </cell>
        </row>
        <row r="4302">
          <cell r="B4302" t="str">
            <v>GPR-EL24C02005</v>
          </cell>
        </row>
        <row r="4302">
          <cell r="W4302">
            <v>0</v>
          </cell>
        </row>
        <row r="4303">
          <cell r="B4303" t="str">
            <v>GPR-EQ40D11001</v>
          </cell>
        </row>
        <row r="4303">
          <cell r="W4303">
            <v>0</v>
          </cell>
        </row>
        <row r="4304">
          <cell r="B4304" t="str">
            <v>GPR-MB14M21009</v>
          </cell>
        </row>
        <row r="4304">
          <cell r="W4304">
            <v>0</v>
          </cell>
        </row>
        <row r="4305">
          <cell r="B4305" t="str">
            <v>GPR-PT02M13004</v>
          </cell>
        </row>
        <row r="4305">
          <cell r="W4305">
            <v>0</v>
          </cell>
        </row>
        <row r="4306">
          <cell r="B4306" t="str">
            <v>GPR-MB14M21008</v>
          </cell>
        </row>
        <row r="4306">
          <cell r="W4306">
            <v>0</v>
          </cell>
        </row>
        <row r="4307">
          <cell r="B4307" t="str">
            <v>GPR-PL02M21002</v>
          </cell>
        </row>
        <row r="4307">
          <cell r="W4307">
            <v>0</v>
          </cell>
        </row>
        <row r="4308">
          <cell r="B4308" t="str">
            <v>GPR-OT02M21044</v>
          </cell>
        </row>
        <row r="4308">
          <cell r="W4308">
            <v>0</v>
          </cell>
        </row>
        <row r="4309">
          <cell r="B4309" t="str">
            <v>6900012090312</v>
          </cell>
        </row>
        <row r="4309">
          <cell r="W4309">
            <v>0</v>
          </cell>
        </row>
        <row r="4310">
          <cell r="B4310" t="str">
            <v>GPR-EQ28R02002</v>
          </cell>
        </row>
        <row r="4310">
          <cell r="W4310">
            <v>0</v>
          </cell>
        </row>
        <row r="4311">
          <cell r="B4311" t="str">
            <v>GPR-MB09A21001</v>
          </cell>
        </row>
        <row r="4311">
          <cell r="W4311">
            <v>0</v>
          </cell>
        </row>
        <row r="4312">
          <cell r="B4312" t="str">
            <v>GPR-PT10M13003</v>
          </cell>
        </row>
        <row r="4312">
          <cell r="W4312">
            <v>0</v>
          </cell>
        </row>
        <row r="4313">
          <cell r="B4313" t="str">
            <v>GPR-OT02M21048</v>
          </cell>
        </row>
        <row r="4313">
          <cell r="W4313">
            <v>0</v>
          </cell>
        </row>
        <row r="4314">
          <cell r="B4314" t="str">
            <v>GPR-HD01S21026</v>
          </cell>
        </row>
        <row r="4314">
          <cell r="W4314">
            <v>0</v>
          </cell>
        </row>
        <row r="4315">
          <cell r="B4315" t="str">
            <v>GPR-SP00M21047</v>
          </cell>
        </row>
        <row r="4315">
          <cell r="W4315">
            <v>0</v>
          </cell>
        </row>
        <row r="4316">
          <cell r="B4316" t="str">
            <v>GPR-MB38A03004</v>
          </cell>
        </row>
        <row r="4316">
          <cell r="W4316">
            <v>0</v>
          </cell>
        </row>
        <row r="4317">
          <cell r="B4317" t="str">
            <v>GPR-PN04A21003</v>
          </cell>
        </row>
        <row r="4317">
          <cell r="W4317">
            <v>0</v>
          </cell>
        </row>
        <row r="4318">
          <cell r="B4318" t="str">
            <v>6900005050614</v>
          </cell>
        </row>
        <row r="4318">
          <cell r="W4318">
            <v>0</v>
          </cell>
        </row>
        <row r="4319">
          <cell r="B4319" t="str">
            <v>6900005030125</v>
          </cell>
        </row>
        <row r="4319">
          <cell r="W4319">
            <v>0</v>
          </cell>
        </row>
        <row r="4320">
          <cell r="B4320" t="str">
            <v>GPR-EQ28R02017</v>
          </cell>
        </row>
        <row r="4320">
          <cell r="W4320">
            <v>0</v>
          </cell>
        </row>
        <row r="4321">
          <cell r="B4321" t="str">
            <v>GPR-OT02M21050</v>
          </cell>
        </row>
        <row r="4321">
          <cell r="W4321">
            <v>0</v>
          </cell>
        </row>
        <row r="4322">
          <cell r="B4322" t="str">
            <v>GPR-HO06C11001</v>
          </cell>
        </row>
        <row r="4322">
          <cell r="W4322">
            <v>0</v>
          </cell>
        </row>
        <row r="4323">
          <cell r="B4323" t="str">
            <v>GPR-EL05M02002</v>
          </cell>
        </row>
        <row r="4323">
          <cell r="W4323">
            <v>0</v>
          </cell>
        </row>
        <row r="4324">
          <cell r="B4324" t="str">
            <v>GPR-EQ28R02014</v>
          </cell>
        </row>
        <row r="4324">
          <cell r="W4324">
            <v>0</v>
          </cell>
        </row>
        <row r="4325">
          <cell r="B4325" t="str">
            <v>GPR-EQ41M14001</v>
          </cell>
        </row>
        <row r="4325">
          <cell r="W4325">
            <v>0</v>
          </cell>
        </row>
        <row r="4326">
          <cell r="B4326" t="str">
            <v>GPR-EL05M02001</v>
          </cell>
        </row>
        <row r="4326">
          <cell r="W4326">
            <v>0</v>
          </cell>
        </row>
        <row r="4327">
          <cell r="B4327" t="str">
            <v>VPR-SE04D15001</v>
          </cell>
        </row>
        <row r="4327">
          <cell r="W4327">
            <v>0</v>
          </cell>
        </row>
        <row r="4328">
          <cell r="B4328" t="str">
            <v>GPR-MB38A03003</v>
          </cell>
        </row>
        <row r="4328">
          <cell r="W4328">
            <v>0</v>
          </cell>
        </row>
        <row r="4329">
          <cell r="B4329" t="str">
            <v>GPR-EQ05D21002</v>
          </cell>
        </row>
        <row r="4329">
          <cell r="W4329">
            <v>0</v>
          </cell>
        </row>
        <row r="4330">
          <cell r="B4330" t="str">
            <v>6900012091329</v>
          </cell>
        </row>
        <row r="4330">
          <cell r="W4330">
            <v>0</v>
          </cell>
        </row>
        <row r="4331">
          <cell r="B4331" t="str">
            <v>GPR-MB38A03002</v>
          </cell>
        </row>
        <row r="4331">
          <cell r="W4331">
            <v>0</v>
          </cell>
        </row>
        <row r="4332">
          <cell r="B4332" t="str">
            <v>GPR-EQ05D21001</v>
          </cell>
        </row>
        <row r="4332">
          <cell r="W4332">
            <v>0</v>
          </cell>
        </row>
        <row r="4333">
          <cell r="B4333" t="str">
            <v>GPR-EQ28R02005</v>
          </cell>
        </row>
        <row r="4333">
          <cell r="W4333">
            <v>0</v>
          </cell>
        </row>
        <row r="4334">
          <cell r="B4334" t="str">
            <v>GPR-EQ28R02008</v>
          </cell>
        </row>
        <row r="4334">
          <cell r="W4334">
            <v>0</v>
          </cell>
        </row>
        <row r="4335">
          <cell r="B4335" t="str">
            <v>GPR-OT02M21052</v>
          </cell>
        </row>
        <row r="4335">
          <cell r="W4335">
            <v>0</v>
          </cell>
        </row>
        <row r="4336">
          <cell r="B4336" t="str">
            <v>102558</v>
          </cell>
        </row>
        <row r="4336">
          <cell r="W4336">
            <v>0</v>
          </cell>
        </row>
        <row r="4337">
          <cell r="B4337" t="str">
            <v>GPR-SP00M02006</v>
          </cell>
        </row>
        <row r="4337">
          <cell r="W4337">
            <v>0</v>
          </cell>
        </row>
        <row r="4338">
          <cell r="B4338" t="str">
            <v>0115819600</v>
          </cell>
        </row>
        <row r="4338">
          <cell r="W4338">
            <v>0</v>
          </cell>
        </row>
        <row r="4339">
          <cell r="B4339" t="str">
            <v>GPR-HO11M21001</v>
          </cell>
        </row>
        <row r="4339">
          <cell r="W4339">
            <v>0</v>
          </cell>
        </row>
        <row r="4340">
          <cell r="B4340" t="str">
            <v>GPR-EQ28R02011</v>
          </cell>
        </row>
        <row r="4340">
          <cell r="W4340">
            <v>0</v>
          </cell>
        </row>
        <row r="4341">
          <cell r="B4341" t="str">
            <v>VPR-SP24M02001</v>
          </cell>
        </row>
        <row r="4341">
          <cell r="W4341">
            <v>0</v>
          </cell>
        </row>
        <row r="4342">
          <cell r="B4342" t="str">
            <v>69000030103123</v>
          </cell>
        </row>
        <row r="4342">
          <cell r="W4342">
            <v>0</v>
          </cell>
        </row>
        <row r="4343">
          <cell r="B4343" t="str">
            <v>GPR-SP22M21002</v>
          </cell>
        </row>
        <row r="4343">
          <cell r="W4343">
            <v>0</v>
          </cell>
        </row>
        <row r="4344">
          <cell r="B4344" t="str">
            <v>8302410000007</v>
          </cell>
        </row>
        <row r="4344">
          <cell r="W4344">
            <v>0</v>
          </cell>
        </row>
        <row r="4345">
          <cell r="B4345" t="str">
            <v>GPR-EL03C02001</v>
          </cell>
        </row>
        <row r="4345">
          <cell r="W4345">
            <v>0</v>
          </cell>
        </row>
        <row r="4346">
          <cell r="B4346" t="str">
            <v>GPR-ME03C01005</v>
          </cell>
        </row>
        <row r="4346">
          <cell r="W4346">
            <v>0</v>
          </cell>
        </row>
        <row r="4347">
          <cell r="B4347" t="str">
            <v>830200100001</v>
          </cell>
        </row>
        <row r="4347">
          <cell r="W4347">
            <v>1</v>
          </cell>
        </row>
        <row r="4348">
          <cell r="B4348" t="str">
            <v>GPR-MB14M21004</v>
          </cell>
        </row>
        <row r="4348">
          <cell r="W4348">
            <v>0</v>
          </cell>
        </row>
        <row r="4349">
          <cell r="B4349" t="str">
            <v>GPR-GS02M01001</v>
          </cell>
        </row>
        <row r="4349">
          <cell r="W4349">
            <v>0</v>
          </cell>
        </row>
        <row r="4350">
          <cell r="B4350" t="str">
            <v>GPR-PT02M22001</v>
          </cell>
        </row>
        <row r="4350">
          <cell r="W4350">
            <v>0</v>
          </cell>
        </row>
        <row r="4351">
          <cell r="B4351" t="str">
            <v>8302410000006</v>
          </cell>
        </row>
        <row r="4351">
          <cell r="W4351">
            <v>0</v>
          </cell>
        </row>
        <row r="4352">
          <cell r="B4352" t="str">
            <v>830200100002</v>
          </cell>
        </row>
        <row r="4352">
          <cell r="W4352">
            <v>1</v>
          </cell>
        </row>
        <row r="4353">
          <cell r="B4353" t="str">
            <v>0115819200</v>
          </cell>
        </row>
        <row r="4353">
          <cell r="W4353">
            <v>0</v>
          </cell>
        </row>
        <row r="4354">
          <cell r="B4354" t="str">
            <v>GPR-OT02M21035</v>
          </cell>
        </row>
        <row r="4354">
          <cell r="W4354">
            <v>0</v>
          </cell>
        </row>
        <row r="4355">
          <cell r="B4355" t="str">
            <v>8302001000020</v>
          </cell>
        </row>
        <row r="4355">
          <cell r="W4355">
            <v>0</v>
          </cell>
        </row>
        <row r="4356">
          <cell r="B4356" t="str">
            <v>GPR-HO09C04001</v>
          </cell>
        </row>
        <row r="4356">
          <cell r="W4356">
            <v>0</v>
          </cell>
        </row>
        <row r="4357">
          <cell r="B4357" t="str">
            <v>8302001000021</v>
          </cell>
        </row>
        <row r="4357">
          <cell r="W4357">
            <v>0</v>
          </cell>
        </row>
        <row r="4358">
          <cell r="B4358" t="str">
            <v>VPR-HA02M21003</v>
          </cell>
        </row>
        <row r="4358">
          <cell r="W4358">
            <v>0</v>
          </cell>
        </row>
        <row r="4359">
          <cell r="B4359" t="str">
            <v>GPR-MB05R02002</v>
          </cell>
        </row>
        <row r="4359">
          <cell r="W4359">
            <v>0</v>
          </cell>
        </row>
        <row r="4360">
          <cell r="B4360" t="str">
            <v>0123841800</v>
          </cell>
        </row>
        <row r="4360">
          <cell r="W4360">
            <v>0</v>
          </cell>
        </row>
        <row r="4361">
          <cell r="B4361" t="str">
            <v>GPR-MB05R02001</v>
          </cell>
        </row>
        <row r="4361">
          <cell r="W4361">
            <v>0</v>
          </cell>
        </row>
        <row r="4362">
          <cell r="B4362" t="str">
            <v>GPR-SP00M02013</v>
          </cell>
        </row>
        <row r="4362">
          <cell r="W4362">
            <v>0</v>
          </cell>
        </row>
        <row r="4363">
          <cell r="B4363" t="str">
            <v>69000030103122</v>
          </cell>
        </row>
        <row r="4363">
          <cell r="W4363">
            <v>0</v>
          </cell>
        </row>
        <row r="4364">
          <cell r="B4364" t="str">
            <v>GPR-EL05M21005</v>
          </cell>
        </row>
        <row r="4364">
          <cell r="W4364">
            <v>0</v>
          </cell>
        </row>
        <row r="4365">
          <cell r="B4365" t="str">
            <v>GPR-OT02M02009</v>
          </cell>
        </row>
        <row r="4365">
          <cell r="W4365">
            <v>0</v>
          </cell>
        </row>
        <row r="4366">
          <cell r="B4366" t="str">
            <v>GPR-MB06R02001</v>
          </cell>
        </row>
        <row r="4366">
          <cell r="W4366">
            <v>0</v>
          </cell>
        </row>
        <row r="4367">
          <cell r="B4367" t="str">
            <v>GPR-OT02M21032</v>
          </cell>
        </row>
        <row r="4367">
          <cell r="W4367">
            <v>0</v>
          </cell>
        </row>
        <row r="4368">
          <cell r="B4368" t="str">
            <v>VPR-WD01M11001</v>
          </cell>
        </row>
        <row r="4368">
          <cell r="W4368">
            <v>0</v>
          </cell>
        </row>
        <row r="4369">
          <cell r="B4369" t="str">
            <v>GPR-ME04L01002</v>
          </cell>
        </row>
        <row r="4369">
          <cell r="W4369">
            <v>0</v>
          </cell>
        </row>
        <row r="4370">
          <cell r="B4370" t="str">
            <v>GPR-OT02M21027</v>
          </cell>
        </row>
        <row r="4370">
          <cell r="W4370">
            <v>0</v>
          </cell>
        </row>
        <row r="4371">
          <cell r="B4371" t="str">
            <v>GPR-ME04N02001</v>
          </cell>
        </row>
        <row r="4371">
          <cell r="W4371">
            <v>0</v>
          </cell>
        </row>
        <row r="4372">
          <cell r="B4372" t="str">
            <v>GPR-OT02M21024</v>
          </cell>
        </row>
        <row r="4372">
          <cell r="W4372">
            <v>0</v>
          </cell>
        </row>
        <row r="4373">
          <cell r="B4373" t="str">
            <v>GPR-WD01M02009</v>
          </cell>
        </row>
        <row r="4373">
          <cell r="W4373">
            <v>0</v>
          </cell>
        </row>
        <row r="4374">
          <cell r="B4374" t="str">
            <v>GPR-ME04N01009</v>
          </cell>
        </row>
        <row r="4374">
          <cell r="W4374">
            <v>0</v>
          </cell>
        </row>
        <row r="4375">
          <cell r="B4375" t="str">
            <v>102226</v>
          </cell>
        </row>
        <row r="4375">
          <cell r="W4375">
            <v>0</v>
          </cell>
        </row>
        <row r="4376">
          <cell r="B4376" t="str">
            <v>830200100006</v>
          </cell>
        </row>
        <row r="4376">
          <cell r="W4376">
            <v>-527</v>
          </cell>
        </row>
        <row r="4377">
          <cell r="B4377" t="str">
            <v>GPR-OT02M21020</v>
          </cell>
        </row>
        <row r="4377">
          <cell r="W4377">
            <v>0</v>
          </cell>
        </row>
        <row r="4378">
          <cell r="B4378" t="str">
            <v>GPR-ME04N01011</v>
          </cell>
        </row>
        <row r="4378">
          <cell r="W4378">
            <v>0</v>
          </cell>
        </row>
        <row r="4379">
          <cell r="B4379" t="str">
            <v>102472</v>
          </cell>
        </row>
        <row r="4379">
          <cell r="W4379">
            <v>0</v>
          </cell>
        </row>
        <row r="4380">
          <cell r="B4380" t="str">
            <v>GPR-EQ11M21002</v>
          </cell>
        </row>
        <row r="4380">
          <cell r="W4380">
            <v>0</v>
          </cell>
        </row>
        <row r="4381">
          <cell r="B4381" t="str">
            <v>GPR-ME04N11002</v>
          </cell>
        </row>
        <row r="4381">
          <cell r="W4381">
            <v>0</v>
          </cell>
        </row>
        <row r="4382">
          <cell r="B4382" t="str">
            <v>830200100005</v>
          </cell>
        </row>
        <row r="4382">
          <cell r="W4382">
            <v>0</v>
          </cell>
        </row>
        <row r="4383">
          <cell r="B4383" t="str">
            <v>GPR-PT09M21019</v>
          </cell>
        </row>
        <row r="4383">
          <cell r="W4383">
            <v>0</v>
          </cell>
        </row>
        <row r="4384">
          <cell r="B4384" t="str">
            <v>GPR-WD02M02004</v>
          </cell>
        </row>
        <row r="4384">
          <cell r="W4384">
            <v>0</v>
          </cell>
        </row>
        <row r="4385">
          <cell r="B4385" t="str">
            <v>GPR-ME04N04001</v>
          </cell>
        </row>
        <row r="4385">
          <cell r="W4385">
            <v>0</v>
          </cell>
        </row>
        <row r="4386">
          <cell r="B4386" t="str">
            <v>GPR-SP00M21039</v>
          </cell>
        </row>
        <row r="4386">
          <cell r="W4386">
            <v>0</v>
          </cell>
        </row>
        <row r="4387">
          <cell r="B4387" t="str">
            <v>GPR-WD07J02001</v>
          </cell>
        </row>
        <row r="4387">
          <cell r="W4387">
            <v>0</v>
          </cell>
        </row>
        <row r="4388">
          <cell r="B4388" t="str">
            <v>GPR-SP22S21002</v>
          </cell>
        </row>
        <row r="4388">
          <cell r="W4388">
            <v>0</v>
          </cell>
        </row>
        <row r="4389">
          <cell r="B4389" t="str">
            <v>GPR-LL02L00003</v>
          </cell>
        </row>
        <row r="4389">
          <cell r="W4389">
            <v>0</v>
          </cell>
        </row>
        <row r="4390">
          <cell r="B4390" t="str">
            <v>GPR-PP04C03001</v>
          </cell>
        </row>
        <row r="4390">
          <cell r="W4390">
            <v>0</v>
          </cell>
        </row>
        <row r="4391">
          <cell r="B4391" t="str">
            <v>GPR-MB02L11004</v>
          </cell>
        </row>
        <row r="4391">
          <cell r="W4391">
            <v>0</v>
          </cell>
        </row>
        <row r="4392">
          <cell r="B4392" t="str">
            <v>VPR-SP16M11001</v>
          </cell>
        </row>
        <row r="4392">
          <cell r="W4392">
            <v>0</v>
          </cell>
        </row>
        <row r="4393">
          <cell r="B4393" t="str">
            <v>6900010080199</v>
          </cell>
        </row>
        <row r="4393">
          <cell r="W4393">
            <v>0</v>
          </cell>
        </row>
        <row r="4394">
          <cell r="B4394" t="str">
            <v>GPR-EL15M21001</v>
          </cell>
        </row>
        <row r="4394">
          <cell r="W4394">
            <v>0</v>
          </cell>
        </row>
        <row r="4395">
          <cell r="B4395" t="str">
            <v>GPR-EL23C02004</v>
          </cell>
        </row>
        <row r="4395">
          <cell r="W4395">
            <v>0</v>
          </cell>
        </row>
        <row r="4396">
          <cell r="B4396" t="str">
            <v>6900005050616</v>
          </cell>
        </row>
        <row r="4396">
          <cell r="W4396">
            <v>1</v>
          </cell>
        </row>
        <row r="4397">
          <cell r="B4397" t="str">
            <v>GPR-EL05M21006</v>
          </cell>
        </row>
        <row r="4397">
          <cell r="W4397">
            <v>0</v>
          </cell>
        </row>
        <row r="4398">
          <cell r="B4398" t="str">
            <v>GPR-LL02L21001</v>
          </cell>
        </row>
        <row r="4398">
          <cell r="W4398">
            <v>0</v>
          </cell>
        </row>
        <row r="4399">
          <cell r="B4399" t="str">
            <v>6900010080192</v>
          </cell>
        </row>
        <row r="4399">
          <cell r="W4399">
            <v>0</v>
          </cell>
        </row>
        <row r="4400">
          <cell r="B4400" t="str">
            <v>6900008071216</v>
          </cell>
        </row>
        <row r="4400">
          <cell r="W4400">
            <v>0</v>
          </cell>
        </row>
        <row r="4401">
          <cell r="B4401" t="str">
            <v>GPR-SP30M21004</v>
          </cell>
        </row>
        <row r="4401">
          <cell r="W4401">
            <v>0</v>
          </cell>
        </row>
        <row r="4402">
          <cell r="B4402" t="str">
            <v>0118526200</v>
          </cell>
        </row>
        <row r="4402">
          <cell r="W4402">
            <v>0</v>
          </cell>
        </row>
        <row r="4403">
          <cell r="B4403" t="str">
            <v>GPR-SP22M21007</v>
          </cell>
        </row>
        <row r="4403">
          <cell r="W4403">
            <v>0</v>
          </cell>
        </row>
        <row r="4404">
          <cell r="B4404" t="str">
            <v>69000030103251</v>
          </cell>
        </row>
        <row r="4404">
          <cell r="W4404">
            <v>0</v>
          </cell>
        </row>
        <row r="4405">
          <cell r="B4405" t="str">
            <v>GPR-EL05M21004</v>
          </cell>
        </row>
        <row r="4405">
          <cell r="W4405">
            <v>0</v>
          </cell>
        </row>
        <row r="4406">
          <cell r="B4406" t="str">
            <v>6900010080193</v>
          </cell>
        </row>
        <row r="4406">
          <cell r="W4406">
            <v>0</v>
          </cell>
        </row>
        <row r="4407">
          <cell r="B4407" t="str">
            <v>GPR-EL23C02003</v>
          </cell>
        </row>
        <row r="4407">
          <cell r="W4407">
            <v>0</v>
          </cell>
        </row>
        <row r="4408">
          <cell r="B4408" t="str">
            <v>0112315200</v>
          </cell>
        </row>
        <row r="4408">
          <cell r="W4408">
            <v>0</v>
          </cell>
        </row>
        <row r="4409">
          <cell r="B4409" t="str">
            <v>GPR-MB11C04001</v>
          </cell>
        </row>
        <row r="4409">
          <cell r="W4409">
            <v>0</v>
          </cell>
        </row>
        <row r="4410">
          <cell r="B4410" t="str">
            <v>6900010080194</v>
          </cell>
        </row>
        <row r="4410">
          <cell r="W4410">
            <v>0</v>
          </cell>
        </row>
        <row r="4411">
          <cell r="B4411" t="str">
            <v>GPR-EL24C02006</v>
          </cell>
        </row>
        <row r="4411">
          <cell r="W4411">
            <v>0</v>
          </cell>
        </row>
        <row r="4412">
          <cell r="B4412" t="str">
            <v>GPR-MB02L01009</v>
          </cell>
        </row>
        <row r="4412">
          <cell r="W4412">
            <v>0</v>
          </cell>
        </row>
        <row r="4413">
          <cell r="B4413" t="str">
            <v>6900012090313</v>
          </cell>
        </row>
        <row r="4413">
          <cell r="W4413">
            <v>0</v>
          </cell>
        </row>
        <row r="4414">
          <cell r="B4414" t="str">
            <v>6900010080195</v>
          </cell>
        </row>
        <row r="4414">
          <cell r="W4414">
            <v>0</v>
          </cell>
        </row>
        <row r="4415">
          <cell r="B4415" t="str">
            <v>GPR-SP30M21005</v>
          </cell>
        </row>
        <row r="4415">
          <cell r="W4415">
            <v>0</v>
          </cell>
        </row>
        <row r="4416">
          <cell r="B4416" t="str">
            <v>6900010080196</v>
          </cell>
        </row>
        <row r="4416">
          <cell r="W4416">
            <v>0</v>
          </cell>
        </row>
        <row r="4417">
          <cell r="B4417" t="str">
            <v>GPR-MB16L00003</v>
          </cell>
        </row>
        <row r="4417">
          <cell r="W4417">
            <v>0</v>
          </cell>
        </row>
        <row r="4418">
          <cell r="B4418" t="str">
            <v>GPR-EQ31C00007</v>
          </cell>
        </row>
        <row r="4418">
          <cell r="W4418">
            <v>0</v>
          </cell>
        </row>
        <row r="4419">
          <cell r="B4419" t="str">
            <v>GPR-SP30M21002</v>
          </cell>
        </row>
        <row r="4419">
          <cell r="W4419">
            <v>0</v>
          </cell>
        </row>
        <row r="4420">
          <cell r="B4420" t="str">
            <v>GPR-MB11C04003</v>
          </cell>
        </row>
        <row r="4420">
          <cell r="W4420">
            <v>0</v>
          </cell>
        </row>
        <row r="4421">
          <cell r="B4421" t="str">
            <v>GPR-ME04N11001</v>
          </cell>
        </row>
        <row r="4421">
          <cell r="W4421">
            <v>0</v>
          </cell>
        </row>
        <row r="4422">
          <cell r="B4422" t="str">
            <v>GPR-EQ18O04003</v>
          </cell>
        </row>
        <row r="4422">
          <cell r="W4422">
            <v>0</v>
          </cell>
        </row>
        <row r="4423">
          <cell r="B4423" t="str">
            <v>GPR-MB02L01010</v>
          </cell>
        </row>
        <row r="4423">
          <cell r="W4423">
            <v>0</v>
          </cell>
        </row>
        <row r="4424">
          <cell r="B4424" t="str">
            <v>GPR-EL14C01001</v>
          </cell>
        </row>
        <row r="4424">
          <cell r="W4424">
            <v>0</v>
          </cell>
        </row>
        <row r="4425">
          <cell r="B4425" t="str">
            <v>GPR-SP30M21006</v>
          </cell>
        </row>
        <row r="4425">
          <cell r="W4425">
            <v>0</v>
          </cell>
        </row>
        <row r="4426">
          <cell r="B4426" t="str">
            <v>6900010080197</v>
          </cell>
        </row>
        <row r="4426">
          <cell r="W4426">
            <v>0</v>
          </cell>
        </row>
        <row r="4427">
          <cell r="B4427" t="str">
            <v>GPR-MB18A01002</v>
          </cell>
        </row>
        <row r="4427">
          <cell r="W4427">
            <v>0</v>
          </cell>
        </row>
        <row r="4428">
          <cell r="B4428" t="str">
            <v>GPR-MB11C04002</v>
          </cell>
        </row>
        <row r="4428">
          <cell r="W4428">
            <v>0</v>
          </cell>
        </row>
        <row r="4429">
          <cell r="B4429" t="str">
            <v>GPR-MB02L01008</v>
          </cell>
        </row>
        <row r="4429">
          <cell r="W4429">
            <v>0</v>
          </cell>
        </row>
        <row r="4430">
          <cell r="B4430" t="str">
            <v>GPR-WD02M02003</v>
          </cell>
        </row>
        <row r="4430">
          <cell r="W4430">
            <v>0</v>
          </cell>
        </row>
        <row r="4431">
          <cell r="B4431" t="str">
            <v>GPR-MB21B01001</v>
          </cell>
        </row>
        <row r="4431">
          <cell r="W4431">
            <v>0</v>
          </cell>
        </row>
        <row r="4432">
          <cell r="B4432" t="str">
            <v>GPR-EQ47C01002</v>
          </cell>
        </row>
        <row r="4432">
          <cell r="W4432">
            <v>0</v>
          </cell>
        </row>
        <row r="4433">
          <cell r="B4433" t="str">
            <v>GPR-EQ47C01003</v>
          </cell>
        </row>
        <row r="4433">
          <cell r="W4433">
            <v>0</v>
          </cell>
        </row>
        <row r="4434">
          <cell r="B4434" t="str">
            <v>GPR-EQ47C01004</v>
          </cell>
        </row>
        <row r="4434">
          <cell r="W4434">
            <v>0</v>
          </cell>
        </row>
        <row r="4435">
          <cell r="B4435" t="str">
            <v>GPR-PT03E01004</v>
          </cell>
        </row>
        <row r="4435">
          <cell r="W4435">
            <v>0</v>
          </cell>
        </row>
        <row r="4436">
          <cell r="B4436" t="str">
            <v>GPR-EQ47C01005</v>
          </cell>
        </row>
        <row r="4436">
          <cell r="W4436">
            <v>0</v>
          </cell>
        </row>
        <row r="4437">
          <cell r="B4437" t="str">
            <v>GPR-WC02C02001</v>
          </cell>
        </row>
        <row r="4437">
          <cell r="W4437">
            <v>0</v>
          </cell>
        </row>
        <row r="4438">
          <cell r="B4438" t="str">
            <v>GPR-SP02M21002</v>
          </cell>
        </row>
        <row r="4438">
          <cell r="W4438">
            <v>0</v>
          </cell>
        </row>
        <row r="4439">
          <cell r="B4439" t="str">
            <v>GPR-MB11R02001</v>
          </cell>
        </row>
        <row r="4439">
          <cell r="W4439">
            <v>0</v>
          </cell>
        </row>
        <row r="4440">
          <cell r="B4440" t="str">
            <v>GPR-PT09M21024</v>
          </cell>
        </row>
        <row r="4440">
          <cell r="W4440">
            <v>0</v>
          </cell>
        </row>
        <row r="4441">
          <cell r="B4441" t="str">
            <v>GPR-SP30M21003</v>
          </cell>
        </row>
        <row r="4441">
          <cell r="W4441">
            <v>0</v>
          </cell>
        </row>
        <row r="4442">
          <cell r="B4442" t="str">
            <v>GPR-EQ00N04001</v>
          </cell>
        </row>
        <row r="4442">
          <cell r="W4442">
            <v>0</v>
          </cell>
        </row>
        <row r="4443">
          <cell r="B4443" t="str">
            <v>102383</v>
          </cell>
        </row>
        <row r="4443">
          <cell r="W4443">
            <v>0</v>
          </cell>
        </row>
        <row r="4444">
          <cell r="B4444" t="str">
            <v>GPR-SP42R02001</v>
          </cell>
        </row>
        <row r="4444">
          <cell r="W4444">
            <v>0</v>
          </cell>
        </row>
        <row r="4445">
          <cell r="B4445" t="str">
            <v>VPR-OS03P33001</v>
          </cell>
        </row>
        <row r="4445">
          <cell r="W4445">
            <v>0</v>
          </cell>
        </row>
        <row r="4446">
          <cell r="B4446" t="str">
            <v>GPR-SE01N01001</v>
          </cell>
        </row>
        <row r="4446">
          <cell r="W4446">
            <v>0</v>
          </cell>
        </row>
        <row r="4447">
          <cell r="B4447" t="str">
            <v>39259000000014</v>
          </cell>
        </row>
        <row r="4447">
          <cell r="W4447">
            <v>0</v>
          </cell>
        </row>
        <row r="4448">
          <cell r="B4448" t="str">
            <v>GPR-PT03D01001</v>
          </cell>
        </row>
        <row r="4448">
          <cell r="W4448">
            <v>0</v>
          </cell>
        </row>
        <row r="4449">
          <cell r="B4449" t="str">
            <v>GPR-PT03D01002</v>
          </cell>
        </row>
        <row r="4449">
          <cell r="W4449">
            <v>0</v>
          </cell>
        </row>
        <row r="4450">
          <cell r="B4450" t="str">
            <v>GPR-PT03E01003</v>
          </cell>
        </row>
        <row r="4450">
          <cell r="W4450">
            <v>0</v>
          </cell>
        </row>
        <row r="4451">
          <cell r="B4451" t="str">
            <v>GPR-PT10C00002</v>
          </cell>
        </row>
        <row r="4451">
          <cell r="W4451">
            <v>0</v>
          </cell>
        </row>
        <row r="4452">
          <cell r="B4452" t="str">
            <v>VPR-SE04D11002</v>
          </cell>
        </row>
        <row r="4452">
          <cell r="W4452">
            <v>0</v>
          </cell>
        </row>
        <row r="4453">
          <cell r="B4453" t="str">
            <v>GPR-SP42R02002</v>
          </cell>
        </row>
        <row r="4453">
          <cell r="W4453">
            <v>0</v>
          </cell>
        </row>
        <row r="4454">
          <cell r="B4454" t="str">
            <v>GPR-SP00M02029</v>
          </cell>
        </row>
        <row r="4454">
          <cell r="W4454">
            <v>0</v>
          </cell>
        </row>
        <row r="4455">
          <cell r="B4455" t="str">
            <v>GPR-PT03E01001</v>
          </cell>
        </row>
        <row r="4455">
          <cell r="W4455">
            <v>0</v>
          </cell>
        </row>
        <row r="4456">
          <cell r="B4456" t="str">
            <v>GPR-SP00M02021</v>
          </cell>
        </row>
        <row r="4456">
          <cell r="W4456">
            <v>0</v>
          </cell>
        </row>
        <row r="4457">
          <cell r="B4457" t="str">
            <v>6900003010911</v>
          </cell>
        </row>
        <row r="4457">
          <cell r="W4457">
            <v>0</v>
          </cell>
        </row>
        <row r="4458">
          <cell r="B4458" t="str">
            <v>5609000000019311301</v>
          </cell>
        </row>
        <row r="4458">
          <cell r="W4458">
            <v>0</v>
          </cell>
        </row>
        <row r="4459">
          <cell r="B4459" t="str">
            <v>GPR-SP00M21042</v>
          </cell>
        </row>
        <row r="4459">
          <cell r="W4459">
            <v>0</v>
          </cell>
        </row>
        <row r="4460">
          <cell r="B4460" t="str">
            <v>GPR-SP00M02027</v>
          </cell>
        </row>
        <row r="4460">
          <cell r="W4460">
            <v>0</v>
          </cell>
        </row>
        <row r="4461">
          <cell r="B4461" t="str">
            <v>GPR-EQ08D14002</v>
          </cell>
        </row>
        <row r="4461">
          <cell r="W4461">
            <v>0</v>
          </cell>
        </row>
        <row r="4462">
          <cell r="B4462" t="str">
            <v>GPR-EL36C02001</v>
          </cell>
        </row>
        <row r="4462">
          <cell r="W4462">
            <v>0</v>
          </cell>
        </row>
        <row r="4463">
          <cell r="B4463" t="str">
            <v>GPR-EL36C02002</v>
          </cell>
        </row>
        <row r="4463">
          <cell r="W4463">
            <v>0</v>
          </cell>
        </row>
        <row r="4464">
          <cell r="B4464" t="str">
            <v>GPR-EL10M02002</v>
          </cell>
        </row>
        <row r="4464">
          <cell r="W4464">
            <v>0</v>
          </cell>
        </row>
        <row r="4465">
          <cell r="B4465" t="str">
            <v>GPR-EL10C02002</v>
          </cell>
        </row>
        <row r="4465">
          <cell r="W4465">
            <v>0</v>
          </cell>
        </row>
        <row r="4466">
          <cell r="B4466" t="str">
            <v>VPR-SP34M11001</v>
          </cell>
        </row>
        <row r="4466">
          <cell r="W4466">
            <v>0</v>
          </cell>
        </row>
        <row r="4467">
          <cell r="B4467" t="str">
            <v>GPR-PT11M21010</v>
          </cell>
        </row>
        <row r="4467">
          <cell r="W4467">
            <v>0</v>
          </cell>
        </row>
        <row r="4468">
          <cell r="B4468" t="str">
            <v>GPR-OT02M02005</v>
          </cell>
        </row>
        <row r="4468">
          <cell r="W4468">
            <v>0</v>
          </cell>
        </row>
        <row r="4469">
          <cell r="B4469" t="str">
            <v>GPR-MB14H13001</v>
          </cell>
        </row>
        <row r="4469">
          <cell r="W4469">
            <v>0</v>
          </cell>
        </row>
        <row r="4470">
          <cell r="B4470" t="str">
            <v>GPR-SP11J02001</v>
          </cell>
        </row>
        <row r="4470">
          <cell r="W4470">
            <v>0</v>
          </cell>
        </row>
        <row r="4471">
          <cell r="B4471" t="str">
            <v>GPR-SP11J02002</v>
          </cell>
        </row>
        <row r="4471">
          <cell r="W4471">
            <v>0</v>
          </cell>
        </row>
        <row r="4472">
          <cell r="B4472" t="str">
            <v>GPR-SP11J02004</v>
          </cell>
        </row>
        <row r="4472">
          <cell r="W4472">
            <v>0</v>
          </cell>
        </row>
        <row r="4473">
          <cell r="B4473" t="str">
            <v>GPR-MB17M11001</v>
          </cell>
        </row>
        <row r="4473">
          <cell r="W4473">
            <v>0</v>
          </cell>
        </row>
        <row r="4474">
          <cell r="B4474" t="str">
            <v>GPR-TE02C12001</v>
          </cell>
        </row>
        <row r="4474">
          <cell r="W4474">
            <v>0</v>
          </cell>
        </row>
        <row r="4475">
          <cell r="B4475" t="str">
            <v>69000030103144</v>
          </cell>
        </row>
        <row r="4475">
          <cell r="W4475">
            <v>0</v>
          </cell>
        </row>
        <row r="4476">
          <cell r="B4476" t="str">
            <v>GPR-OT02M02016</v>
          </cell>
        </row>
        <row r="4476">
          <cell r="W4476">
            <v>0</v>
          </cell>
        </row>
        <row r="4477">
          <cell r="B4477" t="str">
            <v>GPR-SP11J02003</v>
          </cell>
        </row>
        <row r="4477">
          <cell r="W4477">
            <v>0</v>
          </cell>
        </row>
        <row r="4478">
          <cell r="B4478" t="str">
            <v>GPR-OT02A21001</v>
          </cell>
        </row>
        <row r="4478">
          <cell r="W4478">
            <v>0</v>
          </cell>
        </row>
        <row r="4479">
          <cell r="B4479" t="str">
            <v>GPR-OT02A21002</v>
          </cell>
        </row>
        <row r="4479">
          <cell r="W4479">
            <v>0</v>
          </cell>
        </row>
        <row r="4480">
          <cell r="B4480" t="str">
            <v>GPR-EQ01C02001</v>
          </cell>
        </row>
        <row r="4480">
          <cell r="W4480">
            <v>0</v>
          </cell>
        </row>
        <row r="4481">
          <cell r="B4481" t="str">
            <v>GPR-HO10C01003</v>
          </cell>
        </row>
        <row r="4481">
          <cell r="W4481">
            <v>0</v>
          </cell>
        </row>
        <row r="4482">
          <cell r="B4482" t="str">
            <v>GPR-HO10C01002</v>
          </cell>
        </row>
        <row r="4482">
          <cell r="W4482">
            <v>0</v>
          </cell>
        </row>
        <row r="4483">
          <cell r="B4483" t="str">
            <v>GPR-HO11C01001</v>
          </cell>
        </row>
        <row r="4483">
          <cell r="W4483">
            <v>0</v>
          </cell>
        </row>
        <row r="4484">
          <cell r="B4484" t="str">
            <v>GPR-PL02A21001</v>
          </cell>
        </row>
        <row r="4484">
          <cell r="W4484">
            <v>0</v>
          </cell>
        </row>
        <row r="4485">
          <cell r="B4485" t="str">
            <v>69000030103179</v>
          </cell>
        </row>
        <row r="4485">
          <cell r="W4485">
            <v>0</v>
          </cell>
        </row>
        <row r="4486">
          <cell r="B4486" t="str">
            <v>GPR-SP00M21005</v>
          </cell>
        </row>
        <row r="4486">
          <cell r="W4486">
            <v>0</v>
          </cell>
        </row>
        <row r="4487">
          <cell r="B4487" t="str">
            <v>GPR-LM02G01002</v>
          </cell>
        </row>
        <row r="4487">
          <cell r="W4487">
            <v>0</v>
          </cell>
        </row>
        <row r="4488">
          <cell r="B4488" t="str">
            <v>GPR-MB22N03001</v>
          </cell>
        </row>
        <row r="4488">
          <cell r="W4488">
            <v>0</v>
          </cell>
        </row>
        <row r="4489">
          <cell r="B4489" t="str">
            <v>69000030103177</v>
          </cell>
        </row>
        <row r="4489">
          <cell r="W4489">
            <v>0</v>
          </cell>
        </row>
        <row r="4490">
          <cell r="B4490" t="str">
            <v>6900010080275</v>
          </cell>
        </row>
        <row r="4490">
          <cell r="W4490">
            <v>0</v>
          </cell>
        </row>
        <row r="4491">
          <cell r="B4491" t="str">
            <v>GPR-PT04M12002</v>
          </cell>
        </row>
        <row r="4491">
          <cell r="W4491">
            <v>0</v>
          </cell>
        </row>
        <row r="4492">
          <cell r="B4492" t="str">
            <v>GPR-PT04M12001</v>
          </cell>
        </row>
        <row r="4492">
          <cell r="W4492">
            <v>0</v>
          </cell>
        </row>
        <row r="4493">
          <cell r="B4493" t="str">
            <v>GPR-PT04M12007</v>
          </cell>
        </row>
        <row r="4493">
          <cell r="W4493">
            <v>0</v>
          </cell>
        </row>
        <row r="4494">
          <cell r="B4494" t="str">
            <v>GPR-PT04M12008</v>
          </cell>
        </row>
        <row r="4494">
          <cell r="W4494">
            <v>0</v>
          </cell>
        </row>
        <row r="4495">
          <cell r="B4495" t="str">
            <v>GPR-PT04M12005</v>
          </cell>
        </row>
        <row r="4495">
          <cell r="W4495">
            <v>0</v>
          </cell>
        </row>
        <row r="4496">
          <cell r="B4496" t="str">
            <v>GPR-PT04M12006</v>
          </cell>
        </row>
        <row r="4496">
          <cell r="W4496">
            <v>0</v>
          </cell>
        </row>
        <row r="4497">
          <cell r="B4497" t="str">
            <v>GPR-PT04M12003</v>
          </cell>
        </row>
        <row r="4497">
          <cell r="W4497">
            <v>0</v>
          </cell>
        </row>
        <row r="4498">
          <cell r="B4498" t="str">
            <v>GPR-PT04M13002</v>
          </cell>
        </row>
        <row r="4498">
          <cell r="W4498">
            <v>0</v>
          </cell>
        </row>
        <row r="4499">
          <cell r="B4499" t="str">
            <v>GPR-PT04M02001</v>
          </cell>
        </row>
        <row r="4499">
          <cell r="W4499">
            <v>0</v>
          </cell>
        </row>
        <row r="4500">
          <cell r="B4500" t="str">
            <v>100827</v>
          </cell>
        </row>
        <row r="4500">
          <cell r="W4500">
            <v>0</v>
          </cell>
        </row>
        <row r="4501">
          <cell r="B4501" t="str">
            <v>GPR-SP18M21002</v>
          </cell>
        </row>
        <row r="4501">
          <cell r="W4501">
            <v>0</v>
          </cell>
        </row>
        <row r="4502">
          <cell r="B4502" t="str">
            <v>69000030103170</v>
          </cell>
        </row>
        <row r="4502">
          <cell r="W4502">
            <v>0</v>
          </cell>
        </row>
        <row r="4503">
          <cell r="B4503" t="str">
            <v>GPR-HD04M02007</v>
          </cell>
        </row>
        <row r="4503">
          <cell r="W4503">
            <v>0</v>
          </cell>
        </row>
        <row r="4504">
          <cell r="B4504" t="str">
            <v>69000030103214</v>
          </cell>
        </row>
        <row r="4504">
          <cell r="W4504">
            <v>0</v>
          </cell>
        </row>
        <row r="4505">
          <cell r="B4505" t="str">
            <v>VPR-EQ00M21001</v>
          </cell>
        </row>
        <row r="4505">
          <cell r="W4505">
            <v>0</v>
          </cell>
        </row>
        <row r="4506">
          <cell r="B4506" t="str">
            <v>102560</v>
          </cell>
        </row>
        <row r="4506">
          <cell r="W4506">
            <v>0</v>
          </cell>
        </row>
        <row r="4507">
          <cell r="B4507" t="str">
            <v>GPR-SE01R11001</v>
          </cell>
        </row>
        <row r="4507">
          <cell r="W4507">
            <v>0</v>
          </cell>
        </row>
        <row r="4508">
          <cell r="B4508" t="str">
            <v>GPR-SP10M21001</v>
          </cell>
        </row>
        <row r="4508">
          <cell r="W4508">
            <v>0</v>
          </cell>
        </row>
        <row r="4509">
          <cell r="B4509" t="str">
            <v>GPR-PL02E02001</v>
          </cell>
        </row>
        <row r="4509">
          <cell r="W4509">
            <v>0</v>
          </cell>
        </row>
        <row r="4510">
          <cell r="B4510" t="str">
            <v>GPR-HD04M02005</v>
          </cell>
        </row>
        <row r="4510">
          <cell r="W4510">
            <v>0</v>
          </cell>
        </row>
        <row r="4511">
          <cell r="B4511" t="str">
            <v>VPR-HO07O04001</v>
          </cell>
        </row>
        <row r="4511">
          <cell r="W4511">
            <v>0</v>
          </cell>
        </row>
        <row r="4512">
          <cell r="B4512" t="str">
            <v>GPR-OS03V01001</v>
          </cell>
        </row>
        <row r="4512">
          <cell r="W4512">
            <v>0</v>
          </cell>
        </row>
        <row r="4513">
          <cell r="B4513" t="str">
            <v>GPR-SP16M21006</v>
          </cell>
        </row>
        <row r="4513">
          <cell r="W4513">
            <v>0</v>
          </cell>
        </row>
        <row r="4514">
          <cell r="B4514" t="str">
            <v>GPR-PT11C02002</v>
          </cell>
        </row>
        <row r="4514">
          <cell r="W4514">
            <v>0</v>
          </cell>
        </row>
        <row r="4515">
          <cell r="B4515" t="str">
            <v>GPR-MB23S21001</v>
          </cell>
        </row>
        <row r="4515">
          <cell r="W4515">
            <v>0</v>
          </cell>
        </row>
        <row r="4516">
          <cell r="B4516" t="str">
            <v>GPR-PT05M22001</v>
          </cell>
        </row>
        <row r="4516">
          <cell r="W4516">
            <v>0</v>
          </cell>
        </row>
        <row r="4517">
          <cell r="B4517" t="str">
            <v>GPR-PT05M22002</v>
          </cell>
        </row>
        <row r="4517">
          <cell r="W4517">
            <v>0</v>
          </cell>
        </row>
        <row r="4518">
          <cell r="B4518" t="str">
            <v>GPR-PT10M22001</v>
          </cell>
        </row>
        <row r="4518">
          <cell r="W4518">
            <v>0</v>
          </cell>
        </row>
        <row r="4519">
          <cell r="B4519" t="str">
            <v>VPR-SP17M01001</v>
          </cell>
        </row>
        <row r="4519">
          <cell r="W4519">
            <v>0</v>
          </cell>
        </row>
        <row r="4520">
          <cell r="B4520" t="str">
            <v>GPR-PT09M21021</v>
          </cell>
        </row>
        <row r="4520">
          <cell r="W4520">
            <v>0</v>
          </cell>
        </row>
        <row r="4521">
          <cell r="B4521" t="str">
            <v>GPR-SP03M21001</v>
          </cell>
        </row>
        <row r="4521">
          <cell r="W4521">
            <v>0</v>
          </cell>
        </row>
        <row r="4522">
          <cell r="B4522" t="str">
            <v>6900011043033</v>
          </cell>
        </row>
        <row r="4522">
          <cell r="W4522">
            <v>0</v>
          </cell>
        </row>
        <row r="4523">
          <cell r="B4523" t="str">
            <v>GPR-MB22Q01001</v>
          </cell>
        </row>
        <row r="4523">
          <cell r="W4523">
            <v>0</v>
          </cell>
        </row>
        <row r="4524">
          <cell r="B4524" t="str">
            <v>GPR-SA05K01001</v>
          </cell>
        </row>
        <row r="4524">
          <cell r="W4524">
            <v>0</v>
          </cell>
        </row>
        <row r="4525">
          <cell r="B4525" t="str">
            <v>GPR-AP08D01001</v>
          </cell>
        </row>
        <row r="4525">
          <cell r="W4525">
            <v>0</v>
          </cell>
        </row>
        <row r="4526">
          <cell r="B4526" t="str">
            <v>GPR-OT02M21042</v>
          </cell>
        </row>
        <row r="4526">
          <cell r="W4526">
            <v>0</v>
          </cell>
        </row>
        <row r="4527">
          <cell r="B4527" t="str">
            <v>GPR-SP00M02035</v>
          </cell>
        </row>
        <row r="4527">
          <cell r="W4527">
            <v>0</v>
          </cell>
        </row>
        <row r="4528">
          <cell r="B4528" t="str">
            <v>GPR-OT02M02004</v>
          </cell>
        </row>
        <row r="4528">
          <cell r="W4528">
            <v>0</v>
          </cell>
        </row>
        <row r="4529">
          <cell r="B4529" t="str">
            <v>0115919700</v>
          </cell>
        </row>
        <row r="4529">
          <cell r="W4529">
            <v>0</v>
          </cell>
        </row>
        <row r="4530">
          <cell r="B4530" t="str">
            <v>GPR-SP25M02002</v>
          </cell>
        </row>
        <row r="4530">
          <cell r="W4530">
            <v>0</v>
          </cell>
        </row>
        <row r="4531">
          <cell r="B4531" t="str">
            <v>GPR-TE01S21004</v>
          </cell>
        </row>
        <row r="4531">
          <cell r="W4531">
            <v>0</v>
          </cell>
        </row>
        <row r="4532">
          <cell r="B4532" t="str">
            <v>GPR-TE01S21007</v>
          </cell>
        </row>
        <row r="4532">
          <cell r="W4532">
            <v>0</v>
          </cell>
        </row>
        <row r="4533">
          <cell r="B4533" t="str">
            <v>GPR-TE01S21006</v>
          </cell>
        </row>
        <row r="4533">
          <cell r="W4533">
            <v>0</v>
          </cell>
        </row>
        <row r="4534">
          <cell r="B4534" t="str">
            <v>8110010448</v>
          </cell>
        </row>
        <row r="4534">
          <cell r="W4534">
            <v>0</v>
          </cell>
        </row>
        <row r="4535">
          <cell r="B4535" t="str">
            <v>GPR-TE01S21012</v>
          </cell>
        </row>
        <row r="4535">
          <cell r="W4535">
            <v>0</v>
          </cell>
        </row>
        <row r="4536">
          <cell r="B4536" t="str">
            <v>GPR-TE01S21011</v>
          </cell>
        </row>
        <row r="4536">
          <cell r="W4536">
            <v>0</v>
          </cell>
        </row>
        <row r="4537">
          <cell r="B4537" t="str">
            <v>GPR-TE01S21009</v>
          </cell>
        </row>
        <row r="4537">
          <cell r="W4537">
            <v>0</v>
          </cell>
        </row>
        <row r="4538">
          <cell r="B4538" t="str">
            <v>GPR-TE01S21008</v>
          </cell>
        </row>
        <row r="4538">
          <cell r="W4538">
            <v>0</v>
          </cell>
        </row>
        <row r="4539">
          <cell r="B4539" t="str">
            <v>GPR-TE01S21002</v>
          </cell>
        </row>
        <row r="4539">
          <cell r="W4539">
            <v>0</v>
          </cell>
        </row>
        <row r="4540">
          <cell r="B4540" t="str">
            <v>GPR-TE01S21001</v>
          </cell>
        </row>
        <row r="4540">
          <cell r="W4540">
            <v>0</v>
          </cell>
        </row>
        <row r="4541">
          <cell r="B4541" t="str">
            <v>GPR-TE01S21014</v>
          </cell>
        </row>
        <row r="4541">
          <cell r="W4541">
            <v>0</v>
          </cell>
        </row>
        <row r="4542">
          <cell r="B4542" t="str">
            <v>GPR-TE01S21013</v>
          </cell>
        </row>
        <row r="4542">
          <cell r="W4542">
            <v>0</v>
          </cell>
        </row>
        <row r="4543">
          <cell r="B4543" t="str">
            <v>VPR-SP10M11002</v>
          </cell>
        </row>
        <row r="4543">
          <cell r="W4543">
            <v>0</v>
          </cell>
        </row>
        <row r="4544">
          <cell r="B4544" t="str">
            <v>GPR-TE01S21005</v>
          </cell>
        </row>
        <row r="4544">
          <cell r="W4544">
            <v>0</v>
          </cell>
        </row>
        <row r="4545">
          <cell r="B4545" t="str">
            <v>GPR-TE01S21016</v>
          </cell>
        </row>
        <row r="4545">
          <cell r="W4545">
            <v>0</v>
          </cell>
        </row>
        <row r="4546">
          <cell r="B4546" t="str">
            <v>GPR-HD19M02011</v>
          </cell>
        </row>
        <row r="4546">
          <cell r="W4546">
            <v>0</v>
          </cell>
        </row>
        <row r="4547">
          <cell r="B4547" t="str">
            <v>GPR-SP00M21041</v>
          </cell>
        </row>
        <row r="4547">
          <cell r="W4547">
            <v>0</v>
          </cell>
        </row>
        <row r="4548">
          <cell r="B4548" t="str">
            <v>GPR-SP25M02001</v>
          </cell>
        </row>
        <row r="4548">
          <cell r="W4548">
            <v>0</v>
          </cell>
        </row>
        <row r="4549">
          <cell r="B4549" t="str">
            <v>3920991000002</v>
          </cell>
        </row>
        <row r="4549">
          <cell r="W4549">
            <v>-228</v>
          </cell>
        </row>
        <row r="4550">
          <cell r="B4550" t="str">
            <v>GPR-SP22A21003</v>
          </cell>
        </row>
        <row r="4550">
          <cell r="W4550">
            <v>0</v>
          </cell>
        </row>
        <row r="4551">
          <cell r="B4551" t="str">
            <v>VPR-HO13O04002</v>
          </cell>
        </row>
        <row r="4551">
          <cell r="W4551">
            <v>0</v>
          </cell>
        </row>
        <row r="4552">
          <cell r="B4552" t="str">
            <v>102243</v>
          </cell>
        </row>
        <row r="4552">
          <cell r="W4552">
            <v>0</v>
          </cell>
        </row>
        <row r="4553">
          <cell r="B4553" t="str">
            <v>VPR-HS07C00001</v>
          </cell>
        </row>
        <row r="4553">
          <cell r="W4553">
            <v>0</v>
          </cell>
        </row>
        <row r="4554">
          <cell r="B4554" t="str">
            <v>VPR-PT01M21001</v>
          </cell>
        </row>
        <row r="4554">
          <cell r="W4554">
            <v>0</v>
          </cell>
        </row>
        <row r="4555">
          <cell r="B4555" t="str">
            <v>VPR-PT01M21002</v>
          </cell>
        </row>
        <row r="4555">
          <cell r="W4555">
            <v>0</v>
          </cell>
        </row>
        <row r="4556">
          <cell r="B4556" t="str">
            <v>VPR-PT01M21003</v>
          </cell>
        </row>
        <row r="4556">
          <cell r="W4556">
            <v>0</v>
          </cell>
        </row>
        <row r="4557">
          <cell r="B4557" t="str">
            <v>GPR-LL02L33001</v>
          </cell>
        </row>
        <row r="4557">
          <cell r="W4557">
            <v>0</v>
          </cell>
        </row>
        <row r="4558">
          <cell r="B4558" t="str">
            <v>VPR-SP08M21001</v>
          </cell>
        </row>
        <row r="4558">
          <cell r="W4558">
            <v>0</v>
          </cell>
        </row>
        <row r="4559">
          <cell r="B4559" t="str">
            <v>VPR-MB17A21001</v>
          </cell>
        </row>
        <row r="4559">
          <cell r="W4559">
            <v>0</v>
          </cell>
        </row>
        <row r="4560">
          <cell r="B4560" t="str">
            <v>GPR-EQ09A33001</v>
          </cell>
        </row>
        <row r="4560">
          <cell r="W4560">
            <v>0</v>
          </cell>
        </row>
        <row r="4561">
          <cell r="B4561" t="str">
            <v>VPR-LL04L00004</v>
          </cell>
        </row>
        <row r="4561">
          <cell r="W4561">
            <v>0</v>
          </cell>
        </row>
        <row r="4562">
          <cell r="B4562" t="str">
            <v>GPR-PT09M02007</v>
          </cell>
        </row>
        <row r="4562">
          <cell r="W4562">
            <v>0</v>
          </cell>
        </row>
        <row r="4563">
          <cell r="B4563" t="str">
            <v>GPR-EQ28R02023</v>
          </cell>
        </row>
        <row r="4563">
          <cell r="W4563">
            <v>0</v>
          </cell>
        </row>
        <row r="4564">
          <cell r="B4564" t="str">
            <v>GPR-EQ28R02024</v>
          </cell>
        </row>
        <row r="4564">
          <cell r="W4564">
            <v>0</v>
          </cell>
        </row>
        <row r="4565">
          <cell r="B4565" t="str">
            <v>GPR-EL27M33001</v>
          </cell>
        </row>
        <row r="4565">
          <cell r="W4565">
            <v>-2</v>
          </cell>
        </row>
        <row r="4566">
          <cell r="B4566" t="str">
            <v>GPR-EL14M13002</v>
          </cell>
        </row>
        <row r="4566">
          <cell r="W4566">
            <v>0</v>
          </cell>
        </row>
        <row r="4567">
          <cell r="B4567" t="str">
            <v>GPR-EL14M13003</v>
          </cell>
        </row>
        <row r="4567">
          <cell r="W4567">
            <v>0</v>
          </cell>
        </row>
        <row r="4568">
          <cell r="B4568" t="str">
            <v>GPR-EL14M02002</v>
          </cell>
        </row>
        <row r="4568">
          <cell r="W4568">
            <v>0</v>
          </cell>
        </row>
        <row r="4569">
          <cell r="B4569" t="str">
            <v>GPR-PT10M33001</v>
          </cell>
        </row>
        <row r="4569">
          <cell r="W4569">
            <v>0</v>
          </cell>
        </row>
        <row r="4570">
          <cell r="B4570" t="str">
            <v>GPR-CL01D02001</v>
          </cell>
        </row>
        <row r="4570">
          <cell r="W4570">
            <v>0</v>
          </cell>
        </row>
        <row r="4571">
          <cell r="B4571" t="str">
            <v>GPR-HS03M33001</v>
          </cell>
        </row>
        <row r="4571">
          <cell r="W4571">
            <v>0</v>
          </cell>
        </row>
        <row r="4572">
          <cell r="B4572" t="str">
            <v>GPR-EL27M33007</v>
          </cell>
        </row>
        <row r="4572">
          <cell r="W4572">
            <v>0</v>
          </cell>
        </row>
        <row r="4573">
          <cell r="B4573" t="str">
            <v>8010030249</v>
          </cell>
        </row>
        <row r="4573">
          <cell r="W4573">
            <v>0</v>
          </cell>
        </row>
        <row r="4574">
          <cell r="B4574" t="str">
            <v>GPR-EL14M01002</v>
          </cell>
        </row>
        <row r="4574">
          <cell r="W4574">
            <v>0</v>
          </cell>
        </row>
        <row r="4575">
          <cell r="B4575" t="str">
            <v>GPR-LM07M33001</v>
          </cell>
        </row>
        <row r="4575">
          <cell r="W4575">
            <v>0</v>
          </cell>
        </row>
        <row r="4576">
          <cell r="B4576" t="str">
            <v>GPR-WD02M21002</v>
          </cell>
        </row>
        <row r="4576">
          <cell r="W4576">
            <v>0</v>
          </cell>
        </row>
        <row r="4577">
          <cell r="B4577" t="str">
            <v>GPR-PT02M33002</v>
          </cell>
        </row>
        <row r="4577">
          <cell r="W4577">
            <v>0</v>
          </cell>
        </row>
        <row r="4578">
          <cell r="B4578" t="str">
            <v>GPR-PT11M21015</v>
          </cell>
        </row>
        <row r="4578">
          <cell r="W4578">
            <v>0</v>
          </cell>
        </row>
        <row r="4579">
          <cell r="B4579" t="str">
            <v>GPR-PT11M21020</v>
          </cell>
        </row>
        <row r="4579">
          <cell r="W4579">
            <v>0</v>
          </cell>
        </row>
        <row r="4580">
          <cell r="B4580" t="str">
            <v>VPR-HO03A02001</v>
          </cell>
        </row>
        <row r="4580">
          <cell r="W4580">
            <v>0</v>
          </cell>
        </row>
        <row r="4581">
          <cell r="B4581" t="str">
            <v>GPR-HO13T33001</v>
          </cell>
        </row>
        <row r="4581">
          <cell r="W4581">
            <v>0</v>
          </cell>
        </row>
        <row r="4582">
          <cell r="B4582" t="str">
            <v>GPR-PP04C01041</v>
          </cell>
        </row>
        <row r="4582">
          <cell r="W4582">
            <v>0</v>
          </cell>
        </row>
        <row r="4583">
          <cell r="B4583" t="str">
            <v>VPR-EL05C02001</v>
          </cell>
        </row>
        <row r="4583">
          <cell r="W4583">
            <v>0</v>
          </cell>
        </row>
        <row r="4584">
          <cell r="B4584" t="str">
            <v>GPR-SE06D33002</v>
          </cell>
        </row>
        <row r="4584">
          <cell r="W4584">
            <v>0</v>
          </cell>
        </row>
        <row r="4585">
          <cell r="B4585" t="str">
            <v>102244</v>
          </cell>
        </row>
        <row r="4585">
          <cell r="W4585">
            <v>0</v>
          </cell>
        </row>
        <row r="4586">
          <cell r="B4586" t="str">
            <v>GPR-PT02M33003</v>
          </cell>
        </row>
        <row r="4586">
          <cell r="W4586">
            <v>0</v>
          </cell>
        </row>
        <row r="4587">
          <cell r="B4587" t="str">
            <v>GPR-EL03C01014</v>
          </cell>
        </row>
        <row r="4587">
          <cell r="W4587">
            <v>0</v>
          </cell>
        </row>
        <row r="4588">
          <cell r="B4588" t="str">
            <v>GPR-EQ07R02001</v>
          </cell>
        </row>
        <row r="4588">
          <cell r="W4588">
            <v>0</v>
          </cell>
        </row>
        <row r="4589">
          <cell r="B4589" t="str">
            <v>GPR-EL31G00001</v>
          </cell>
        </row>
        <row r="4589">
          <cell r="W4589">
            <v>0</v>
          </cell>
        </row>
        <row r="4590">
          <cell r="B4590" t="str">
            <v>GPR-EL38G00005</v>
          </cell>
        </row>
        <row r="4590">
          <cell r="W4590">
            <v>0</v>
          </cell>
        </row>
        <row r="4591">
          <cell r="B4591" t="str">
            <v>GPR-EL38G00006</v>
          </cell>
        </row>
        <row r="4591">
          <cell r="W4591">
            <v>0</v>
          </cell>
        </row>
        <row r="4592">
          <cell r="B4592" t="str">
            <v>GPR-EL38G00007</v>
          </cell>
        </row>
        <row r="4592">
          <cell r="W4592">
            <v>0</v>
          </cell>
        </row>
        <row r="4593">
          <cell r="B4593" t="str">
            <v>GPR-EL03M21002</v>
          </cell>
        </row>
        <row r="4593">
          <cell r="W4593">
            <v>0</v>
          </cell>
        </row>
        <row r="4594">
          <cell r="B4594" t="str">
            <v>GPR-EL18M02003</v>
          </cell>
        </row>
        <row r="4594">
          <cell r="W4594">
            <v>0</v>
          </cell>
        </row>
        <row r="4595">
          <cell r="B4595" t="str">
            <v>GPR-EL14M33002</v>
          </cell>
        </row>
        <row r="4595">
          <cell r="W4595">
            <v>0</v>
          </cell>
        </row>
        <row r="4596">
          <cell r="B4596" t="str">
            <v>GPR-PT11M21016</v>
          </cell>
        </row>
        <row r="4596">
          <cell r="W4596">
            <v>0</v>
          </cell>
        </row>
        <row r="4597">
          <cell r="B4597" t="str">
            <v>GPR-EL14M02003</v>
          </cell>
        </row>
        <row r="4597">
          <cell r="W4597">
            <v>0</v>
          </cell>
        </row>
        <row r="4598">
          <cell r="B4598" t="str">
            <v>GPR-PT11M21021</v>
          </cell>
        </row>
        <row r="4598">
          <cell r="W4598">
            <v>0</v>
          </cell>
        </row>
        <row r="4599">
          <cell r="B4599" t="str">
            <v>GPR-LM01G01007</v>
          </cell>
        </row>
        <row r="4599">
          <cell r="W4599">
            <v>0</v>
          </cell>
        </row>
        <row r="4600">
          <cell r="B4600" t="str">
            <v>GPR-AP03R33001</v>
          </cell>
        </row>
        <row r="4600">
          <cell r="W4600">
            <v>0</v>
          </cell>
        </row>
        <row r="4601">
          <cell r="B4601" t="str">
            <v>GPR-AP03R33002</v>
          </cell>
        </row>
        <row r="4601">
          <cell r="W4601">
            <v>0</v>
          </cell>
        </row>
        <row r="4602">
          <cell r="B4602" t="str">
            <v>GPR-MB05R02005</v>
          </cell>
        </row>
        <row r="4602">
          <cell r="W4602">
            <v>0</v>
          </cell>
        </row>
        <row r="4603">
          <cell r="B4603" t="str">
            <v>GPR-EL14M33001</v>
          </cell>
        </row>
        <row r="4603">
          <cell r="W4603">
            <v>0</v>
          </cell>
        </row>
        <row r="4604">
          <cell r="B4604" t="str">
            <v>GPR-PT02M02004</v>
          </cell>
        </row>
        <row r="4604">
          <cell r="W4604">
            <v>0</v>
          </cell>
        </row>
        <row r="4605">
          <cell r="B4605" t="str">
            <v>GPR-PT11M21017</v>
          </cell>
        </row>
        <row r="4605">
          <cell r="W4605">
            <v>0</v>
          </cell>
        </row>
        <row r="4606">
          <cell r="B4606" t="str">
            <v>VPR-HO12T11001</v>
          </cell>
        </row>
        <row r="4606">
          <cell r="W4606">
            <v>0</v>
          </cell>
        </row>
        <row r="4607">
          <cell r="B4607" t="str">
            <v>VPR-OS10G00001</v>
          </cell>
        </row>
        <row r="4607">
          <cell r="W4607">
            <v>0</v>
          </cell>
        </row>
        <row r="4608">
          <cell r="B4608" t="str">
            <v>GPR-HO06D33001</v>
          </cell>
        </row>
        <row r="4608">
          <cell r="W4608">
            <v>0</v>
          </cell>
        </row>
        <row r="4609">
          <cell r="B4609" t="str">
            <v>GPR-HO03A00001</v>
          </cell>
        </row>
        <row r="4609">
          <cell r="W4609">
            <v>0</v>
          </cell>
        </row>
        <row r="4610">
          <cell r="B4610" t="str">
            <v>GPR-WC02E15001</v>
          </cell>
        </row>
        <row r="4610">
          <cell r="W4610">
            <v>0</v>
          </cell>
        </row>
        <row r="4611">
          <cell r="B4611" t="str">
            <v>GPR-EL14M14001</v>
          </cell>
        </row>
        <row r="4611">
          <cell r="W4611">
            <v>0</v>
          </cell>
        </row>
        <row r="4612">
          <cell r="B4612" t="str">
            <v>GPR-WC02E02001</v>
          </cell>
        </row>
        <row r="4612">
          <cell r="W4612">
            <v>0</v>
          </cell>
        </row>
        <row r="4613">
          <cell r="B4613" t="str">
            <v>102563</v>
          </cell>
        </row>
        <row r="4613">
          <cell r="W4613">
            <v>-8</v>
          </cell>
        </row>
        <row r="4614">
          <cell r="B4614" t="str">
            <v>GPR-EL14M01001</v>
          </cell>
        </row>
        <row r="4614">
          <cell r="W4614">
            <v>0</v>
          </cell>
        </row>
        <row r="4615">
          <cell r="B4615" t="str">
            <v>GPR-MB08L13002</v>
          </cell>
        </row>
        <row r="4615">
          <cell r="W4615">
            <v>0</v>
          </cell>
        </row>
        <row r="4616">
          <cell r="B4616" t="str">
            <v>GPR-EL14M02004</v>
          </cell>
        </row>
        <row r="4616">
          <cell r="W4616">
            <v>0</v>
          </cell>
        </row>
        <row r="4617">
          <cell r="B4617" t="str">
            <v>GPR-EL14M15001</v>
          </cell>
        </row>
        <row r="4617">
          <cell r="W4617">
            <v>0</v>
          </cell>
        </row>
        <row r="4618">
          <cell r="B4618" t="str">
            <v>GPR-EL14C33001</v>
          </cell>
        </row>
        <row r="4618">
          <cell r="W4618">
            <v>0</v>
          </cell>
        </row>
        <row r="4619">
          <cell r="B4619" t="str">
            <v>GPR-SP22M21011</v>
          </cell>
        </row>
        <row r="4619">
          <cell r="W4619">
            <v>0</v>
          </cell>
        </row>
        <row r="4620">
          <cell r="B4620" t="str">
            <v>GPR-SP22M21012</v>
          </cell>
        </row>
        <row r="4620">
          <cell r="W4620">
            <v>0</v>
          </cell>
        </row>
        <row r="4621">
          <cell r="B4621" t="str">
            <v>GPR-SP02M22001</v>
          </cell>
        </row>
        <row r="4621">
          <cell r="W4621">
            <v>0</v>
          </cell>
        </row>
        <row r="4622">
          <cell r="B4622" t="str">
            <v>GPR-SP02M22002</v>
          </cell>
        </row>
        <row r="4622">
          <cell r="W4622">
            <v>0</v>
          </cell>
        </row>
        <row r="4623">
          <cell r="B4623" t="str">
            <v>GPR-MB34C33003</v>
          </cell>
        </row>
        <row r="4623">
          <cell r="W4623">
            <v>0</v>
          </cell>
        </row>
        <row r="4624">
          <cell r="B4624" t="str">
            <v>GPR-MB34C33004</v>
          </cell>
        </row>
        <row r="4624">
          <cell r="W4624">
            <v>0</v>
          </cell>
        </row>
        <row r="4625">
          <cell r="B4625" t="str">
            <v>GPR-MB34C33005</v>
          </cell>
        </row>
        <row r="4625">
          <cell r="W4625">
            <v>0</v>
          </cell>
        </row>
        <row r="4626">
          <cell r="B4626" t="str">
            <v>GPR-PT04M33001</v>
          </cell>
        </row>
        <row r="4626">
          <cell r="W4626">
            <v>0</v>
          </cell>
        </row>
        <row r="4627">
          <cell r="B4627" t="str">
            <v>GPR-SP22M21010</v>
          </cell>
        </row>
        <row r="4627">
          <cell r="W4627">
            <v>0</v>
          </cell>
        </row>
        <row r="4628">
          <cell r="B4628" t="str">
            <v>GPR-PT11M21018</v>
          </cell>
        </row>
        <row r="4628">
          <cell r="W4628">
            <v>0</v>
          </cell>
        </row>
        <row r="4629">
          <cell r="B4629" t="str">
            <v>VPR-HO13T01001</v>
          </cell>
        </row>
        <row r="4629">
          <cell r="W4629">
            <v>0</v>
          </cell>
        </row>
        <row r="4630">
          <cell r="B4630" t="str">
            <v>VPR-FD02L00001</v>
          </cell>
        </row>
        <row r="4630">
          <cell r="W4630">
            <v>0</v>
          </cell>
        </row>
        <row r="4631">
          <cell r="B4631" t="str">
            <v>8010030261</v>
          </cell>
        </row>
        <row r="4631">
          <cell r="W4631">
            <v>0</v>
          </cell>
        </row>
        <row r="4632">
          <cell r="B4632" t="str">
            <v>GPR-EQ08D33001</v>
          </cell>
        </row>
        <row r="4632">
          <cell r="W4632">
            <v>0</v>
          </cell>
        </row>
        <row r="4633">
          <cell r="B4633" t="str">
            <v>8010031151</v>
          </cell>
        </row>
        <row r="4633">
          <cell r="W4633">
            <v>0</v>
          </cell>
        </row>
        <row r="4634">
          <cell r="B4634" t="str">
            <v>VPR-PT11M33001</v>
          </cell>
        </row>
        <row r="4634">
          <cell r="W4634">
            <v>0</v>
          </cell>
        </row>
        <row r="4635">
          <cell r="B4635" t="str">
            <v>GPR-PT02M13019</v>
          </cell>
        </row>
        <row r="4635">
          <cell r="W4635">
            <v>0</v>
          </cell>
        </row>
        <row r="4636">
          <cell r="B4636" t="str">
            <v>GPR-MB02L33002</v>
          </cell>
        </row>
        <row r="4636">
          <cell r="W4636">
            <v>0</v>
          </cell>
        </row>
        <row r="4637">
          <cell r="B4637" t="str">
            <v>GPR-SP22A21004</v>
          </cell>
        </row>
        <row r="4637">
          <cell r="W4637">
            <v>0</v>
          </cell>
        </row>
        <row r="4638">
          <cell r="B4638" t="str">
            <v>GPR-MB34C33008</v>
          </cell>
        </row>
        <row r="4638">
          <cell r="W4638">
            <v>0</v>
          </cell>
        </row>
        <row r="4639">
          <cell r="B4639" t="str">
            <v>GPR-MB34C33009</v>
          </cell>
        </row>
        <row r="4639">
          <cell r="W4639">
            <v>0</v>
          </cell>
        </row>
        <row r="4640">
          <cell r="B4640" t="str">
            <v>GPR-MB34C33010</v>
          </cell>
        </row>
        <row r="4640">
          <cell r="W4640">
            <v>0</v>
          </cell>
        </row>
        <row r="4641">
          <cell r="B4641" t="str">
            <v>GPR-MB34C33011</v>
          </cell>
        </row>
        <row r="4641">
          <cell r="W4641">
            <v>0</v>
          </cell>
        </row>
        <row r="4642">
          <cell r="B4642" t="str">
            <v>GPR-EQ47C00001</v>
          </cell>
        </row>
        <row r="4642">
          <cell r="W4642">
            <v>0</v>
          </cell>
        </row>
        <row r="4643">
          <cell r="B4643" t="str">
            <v>GPR-EQ47C00002</v>
          </cell>
        </row>
        <row r="4643">
          <cell r="W4643">
            <v>0</v>
          </cell>
        </row>
        <row r="4644">
          <cell r="B4644" t="str">
            <v>GPR-EQ47C00003</v>
          </cell>
        </row>
        <row r="4644">
          <cell r="W4644">
            <v>0</v>
          </cell>
        </row>
        <row r="4645">
          <cell r="B4645" t="str">
            <v>GPR-EQ47C00004</v>
          </cell>
        </row>
        <row r="4645">
          <cell r="W4645">
            <v>0</v>
          </cell>
        </row>
        <row r="4646">
          <cell r="B4646" t="str">
            <v>GPR-EQ47C00005</v>
          </cell>
        </row>
        <row r="4646">
          <cell r="W4646">
            <v>0</v>
          </cell>
        </row>
        <row r="4647">
          <cell r="B4647" t="str">
            <v>GPR-EQ47C00006</v>
          </cell>
        </row>
        <row r="4647">
          <cell r="W4647">
            <v>0</v>
          </cell>
        </row>
        <row r="4648">
          <cell r="B4648" t="str">
            <v>GPR-HS06M21001</v>
          </cell>
        </row>
        <row r="4648">
          <cell r="W4648">
            <v>0</v>
          </cell>
        </row>
        <row r="4649">
          <cell r="B4649" t="str">
            <v>GPR-EQ33M21003</v>
          </cell>
        </row>
        <row r="4649">
          <cell r="W4649">
            <v>0</v>
          </cell>
        </row>
        <row r="4650">
          <cell r="B4650" t="str">
            <v>GPR-EQ33M21004</v>
          </cell>
        </row>
        <row r="4650">
          <cell r="W4650">
            <v>0</v>
          </cell>
        </row>
        <row r="4651">
          <cell r="B4651" t="str">
            <v>GPR-HD08M33001</v>
          </cell>
        </row>
        <row r="4651">
          <cell r="W4651">
            <v>0</v>
          </cell>
        </row>
        <row r="4652">
          <cell r="B4652" t="str">
            <v>GPR-HD01M02003</v>
          </cell>
        </row>
        <row r="4652">
          <cell r="W4652">
            <v>0</v>
          </cell>
        </row>
        <row r="4653">
          <cell r="B4653" t="str">
            <v>GPR-EL23M02002</v>
          </cell>
        </row>
        <row r="4653">
          <cell r="W4653">
            <v>0</v>
          </cell>
        </row>
        <row r="4654">
          <cell r="B4654" t="str">
            <v>GPR-EL26C02001</v>
          </cell>
        </row>
        <row r="4654">
          <cell r="W4654">
            <v>0</v>
          </cell>
        </row>
        <row r="4655">
          <cell r="B4655" t="str">
            <v>GPR-EL04C02003</v>
          </cell>
        </row>
        <row r="4655">
          <cell r="W4655">
            <v>0</v>
          </cell>
        </row>
        <row r="4656">
          <cell r="B4656" t="str">
            <v>GPR-EL04C02004</v>
          </cell>
        </row>
        <row r="4656">
          <cell r="W4656">
            <v>0</v>
          </cell>
        </row>
        <row r="4657">
          <cell r="B4657" t="str">
            <v>GPR-BT02H02001</v>
          </cell>
        </row>
        <row r="4657">
          <cell r="W4657">
            <v>0</v>
          </cell>
        </row>
        <row r="4658">
          <cell r="B4658" t="str">
            <v>GPR-SP02M33001</v>
          </cell>
        </row>
        <row r="4658">
          <cell r="W4658">
            <v>0</v>
          </cell>
        </row>
        <row r="4659">
          <cell r="B4659" t="str">
            <v>GPR-HD04M33001</v>
          </cell>
        </row>
        <row r="4659">
          <cell r="W4659">
            <v>0</v>
          </cell>
        </row>
        <row r="4660">
          <cell r="B4660" t="str">
            <v>GPR-OS07S21001</v>
          </cell>
        </row>
        <row r="4660">
          <cell r="W4660">
            <v>0</v>
          </cell>
        </row>
        <row r="4661">
          <cell r="B4661" t="str">
            <v>GPR-OS02H03001</v>
          </cell>
        </row>
        <row r="4661">
          <cell r="W4661">
            <v>0</v>
          </cell>
        </row>
        <row r="4662">
          <cell r="B4662" t="str">
            <v>GPR-OS02H03002</v>
          </cell>
        </row>
        <row r="4662">
          <cell r="W4662">
            <v>0</v>
          </cell>
        </row>
        <row r="4663">
          <cell r="B4663" t="str">
            <v>GPR-WC02M33001</v>
          </cell>
        </row>
        <row r="4663">
          <cell r="W4663">
            <v>0</v>
          </cell>
        </row>
        <row r="4664">
          <cell r="B4664" t="str">
            <v>GPR-WC02M33002</v>
          </cell>
        </row>
        <row r="4664">
          <cell r="W4664">
            <v>0</v>
          </cell>
        </row>
        <row r="4665">
          <cell r="B4665" t="str">
            <v>GPR-WC02M33003</v>
          </cell>
        </row>
        <row r="4665">
          <cell r="W4665">
            <v>0</v>
          </cell>
        </row>
        <row r="4666">
          <cell r="B4666" t="str">
            <v>GPR-WC02M33004</v>
          </cell>
        </row>
        <row r="4666">
          <cell r="W4666">
            <v>0</v>
          </cell>
        </row>
        <row r="4667">
          <cell r="B4667" t="str">
            <v>GPR-WC02M33005</v>
          </cell>
        </row>
        <row r="4667">
          <cell r="W4667">
            <v>0</v>
          </cell>
        </row>
        <row r="4668">
          <cell r="B4668" t="str">
            <v>GPR-WC02M33006</v>
          </cell>
        </row>
        <row r="4668">
          <cell r="W4668">
            <v>0</v>
          </cell>
        </row>
        <row r="4669">
          <cell r="B4669" t="str">
            <v>GPR-EL14C02002</v>
          </cell>
        </row>
        <row r="4669">
          <cell r="W4669">
            <v>0</v>
          </cell>
        </row>
        <row r="4670">
          <cell r="B4670" t="str">
            <v>GPR-EL14C03001</v>
          </cell>
        </row>
        <row r="4670">
          <cell r="W4670">
            <v>0</v>
          </cell>
        </row>
        <row r="4671">
          <cell r="B4671" t="str">
            <v>GPR-EL14C03002</v>
          </cell>
        </row>
        <row r="4671">
          <cell r="W4671">
            <v>0</v>
          </cell>
        </row>
        <row r="4672">
          <cell r="B4672" t="str">
            <v>GPR-EL25C00001</v>
          </cell>
        </row>
        <row r="4672">
          <cell r="W4672">
            <v>0</v>
          </cell>
        </row>
        <row r="4673">
          <cell r="B4673" t="str">
            <v>GPR-EL26C02002</v>
          </cell>
        </row>
        <row r="4673">
          <cell r="W4673">
            <v>0</v>
          </cell>
        </row>
        <row r="4674">
          <cell r="B4674" t="str">
            <v>GPR-WC01E22001</v>
          </cell>
        </row>
        <row r="4674">
          <cell r="W4674">
            <v>0</v>
          </cell>
        </row>
        <row r="4675">
          <cell r="B4675" t="str">
            <v>GPR-ME03C01008</v>
          </cell>
        </row>
        <row r="4675">
          <cell r="W4675">
            <v>0</v>
          </cell>
        </row>
        <row r="4676">
          <cell r="B4676" t="str">
            <v>GPR-ME03E01001</v>
          </cell>
        </row>
        <row r="4676">
          <cell r="W4676">
            <v>0</v>
          </cell>
        </row>
        <row r="4677">
          <cell r="B4677" t="str">
            <v>GPR-ME03E01002</v>
          </cell>
        </row>
        <row r="4677">
          <cell r="W4677">
            <v>0</v>
          </cell>
        </row>
        <row r="4678">
          <cell r="B4678" t="str">
            <v>GPR-MB02L02005</v>
          </cell>
        </row>
        <row r="4678">
          <cell r="W4678">
            <v>0</v>
          </cell>
        </row>
        <row r="4679">
          <cell r="B4679" t="str">
            <v>GPR-MB02L13008</v>
          </cell>
        </row>
        <row r="4679">
          <cell r="W4679">
            <v>0</v>
          </cell>
        </row>
        <row r="4680">
          <cell r="B4680" t="str">
            <v>GPR-MB02L11007</v>
          </cell>
        </row>
        <row r="4680">
          <cell r="W4680">
            <v>0</v>
          </cell>
        </row>
        <row r="4681">
          <cell r="B4681" t="str">
            <v>GPR-MB02L15005</v>
          </cell>
        </row>
        <row r="4681">
          <cell r="W4681">
            <v>0</v>
          </cell>
        </row>
        <row r="4682">
          <cell r="B4682" t="str">
            <v>GPR-MB02L14009</v>
          </cell>
        </row>
        <row r="4682">
          <cell r="W4682">
            <v>0</v>
          </cell>
        </row>
        <row r="4683">
          <cell r="B4683" t="str">
            <v>GPR-MB02L01023</v>
          </cell>
        </row>
        <row r="4683">
          <cell r="W4683">
            <v>0</v>
          </cell>
        </row>
        <row r="4684">
          <cell r="B4684" t="str">
            <v>GPR-EL10M33001</v>
          </cell>
        </row>
        <row r="4684">
          <cell r="W4684">
            <v>0</v>
          </cell>
        </row>
        <row r="4685">
          <cell r="B4685" t="str">
            <v>GPR-EL27M33005</v>
          </cell>
        </row>
        <row r="4685">
          <cell r="W4685">
            <v>-2</v>
          </cell>
        </row>
        <row r="4686">
          <cell r="B4686" t="str">
            <v>GPR-EL27M33002</v>
          </cell>
        </row>
        <row r="4686">
          <cell r="W4686">
            <v>0</v>
          </cell>
        </row>
        <row r="4687">
          <cell r="B4687" t="str">
            <v>GPR-EL27M33003</v>
          </cell>
        </row>
        <row r="4687">
          <cell r="W4687">
            <v>0</v>
          </cell>
        </row>
        <row r="4688">
          <cell r="B4688" t="str">
            <v>GPR-EL27M33004</v>
          </cell>
        </row>
        <row r="4688">
          <cell r="W4688">
            <v>0</v>
          </cell>
        </row>
        <row r="4689">
          <cell r="B4689" t="str">
            <v>GPR-PT04M33002</v>
          </cell>
        </row>
        <row r="4689">
          <cell r="W4689">
            <v>0</v>
          </cell>
        </row>
        <row r="4690">
          <cell r="B4690" t="str">
            <v>GPR-PT11M21019</v>
          </cell>
        </row>
        <row r="4690">
          <cell r="W4690">
            <v>0</v>
          </cell>
        </row>
        <row r="4691">
          <cell r="B4691" t="str">
            <v>VPR-HO13D33001</v>
          </cell>
        </row>
        <row r="4691">
          <cell r="W4691">
            <v>0</v>
          </cell>
        </row>
        <row r="4692">
          <cell r="B4692" t="str">
            <v>CP-PKMK-3M</v>
          </cell>
        </row>
        <row r="4692">
          <cell r="W4692">
            <v>0</v>
          </cell>
        </row>
        <row r="4693">
          <cell r="B4693" t="str">
            <v>GPR-OT02L22001</v>
          </cell>
        </row>
        <row r="4693">
          <cell r="W4693">
            <v>0</v>
          </cell>
        </row>
        <row r="4694">
          <cell r="B4694" t="str">
            <v>VPR-EQ42R02001</v>
          </cell>
        </row>
        <row r="4694">
          <cell r="W4694">
            <v>0</v>
          </cell>
        </row>
        <row r="4695">
          <cell r="B4695" t="str">
            <v>GPR-PT02M13020</v>
          </cell>
        </row>
        <row r="4695">
          <cell r="W4695">
            <v>0</v>
          </cell>
        </row>
        <row r="4696">
          <cell r="B4696" t="str">
            <v>GPR-PT02M13018</v>
          </cell>
        </row>
        <row r="4696">
          <cell r="W4696">
            <v>0</v>
          </cell>
        </row>
        <row r="4697">
          <cell r="B4697" t="str">
            <v>GPR-SE06D33003</v>
          </cell>
        </row>
        <row r="4697">
          <cell r="W4697">
            <v>0</v>
          </cell>
        </row>
        <row r="4698">
          <cell r="B4698" t="str">
            <v>GPR-HO12T04001</v>
          </cell>
        </row>
        <row r="4698">
          <cell r="W4698">
            <v>0</v>
          </cell>
        </row>
        <row r="4699">
          <cell r="B4699" t="str">
            <v>GPR-HO03O04001</v>
          </cell>
        </row>
        <row r="4699">
          <cell r="W4699">
            <v>0</v>
          </cell>
        </row>
        <row r="4700">
          <cell r="B4700" t="str">
            <v>GPR-OS03P01004</v>
          </cell>
        </row>
        <row r="4700">
          <cell r="W4700">
            <v>0</v>
          </cell>
        </row>
        <row r="4701">
          <cell r="B4701" t="str">
            <v>GPR-EQ36G04001</v>
          </cell>
        </row>
        <row r="4701">
          <cell r="W4701">
            <v>0</v>
          </cell>
        </row>
        <row r="4702">
          <cell r="B4702" t="str">
            <v>GPR-HD07C01001</v>
          </cell>
        </row>
        <row r="4702">
          <cell r="W4702">
            <v>0</v>
          </cell>
        </row>
        <row r="4703">
          <cell r="B4703" t="str">
            <v>GPR-ME05O04002</v>
          </cell>
        </row>
        <row r="4703">
          <cell r="W4703">
            <v>0</v>
          </cell>
        </row>
        <row r="4704">
          <cell r="B4704" t="str">
            <v>GPR-HO03A21002</v>
          </cell>
        </row>
        <row r="4704">
          <cell r="W4704">
            <v>0</v>
          </cell>
        </row>
        <row r="4705">
          <cell r="B4705" t="str">
            <v>GPR-HD28A21002</v>
          </cell>
        </row>
        <row r="4705">
          <cell r="W4705">
            <v>0</v>
          </cell>
        </row>
        <row r="4706">
          <cell r="B4706" t="str">
            <v>GPR-HD28A21003</v>
          </cell>
        </row>
        <row r="4706">
          <cell r="W4706">
            <v>0</v>
          </cell>
        </row>
        <row r="4707">
          <cell r="B4707" t="str">
            <v>GPR-MB08L01001</v>
          </cell>
        </row>
        <row r="4707">
          <cell r="W4707">
            <v>0</v>
          </cell>
        </row>
        <row r="4708">
          <cell r="B4708" t="str">
            <v>GPR-MB08L01002</v>
          </cell>
        </row>
        <row r="4708">
          <cell r="W4708">
            <v>0</v>
          </cell>
        </row>
        <row r="4709">
          <cell r="B4709" t="str">
            <v>GPR-MB08L01003</v>
          </cell>
        </row>
        <row r="4709">
          <cell r="W4709">
            <v>0</v>
          </cell>
        </row>
        <row r="4710">
          <cell r="B4710" t="str">
            <v>GPR-PT01M33001</v>
          </cell>
        </row>
        <row r="4710">
          <cell r="W4710">
            <v>0</v>
          </cell>
        </row>
        <row r="4711">
          <cell r="B4711" t="str">
            <v>VPR-PL02A21001</v>
          </cell>
        </row>
        <row r="4711">
          <cell r="W4711">
            <v>0</v>
          </cell>
        </row>
        <row r="4712">
          <cell r="B4712" t="str">
            <v>GPR-SA04M21001</v>
          </cell>
        </row>
        <row r="4712">
          <cell r="W4712">
            <v>0</v>
          </cell>
        </row>
        <row r="4713">
          <cell r="B4713" t="str">
            <v>GPR-HO12T00001</v>
          </cell>
        </row>
        <row r="4713">
          <cell r="W4713">
            <v>0</v>
          </cell>
        </row>
        <row r="4714">
          <cell r="B4714" t="str">
            <v>GPR-LL04L00002</v>
          </cell>
        </row>
        <row r="4714">
          <cell r="W4714">
            <v>0</v>
          </cell>
        </row>
        <row r="4715">
          <cell r="B4715" t="str">
            <v>GPR-MB37T01001</v>
          </cell>
        </row>
        <row r="4715">
          <cell r="W4715">
            <v>0</v>
          </cell>
        </row>
        <row r="4716">
          <cell r="B4716" t="str">
            <v>GPR-EQ36G01001</v>
          </cell>
        </row>
        <row r="4716">
          <cell r="W4716">
            <v>0</v>
          </cell>
        </row>
        <row r="4717">
          <cell r="B4717" t="str">
            <v>GPR-EQ36G04002</v>
          </cell>
        </row>
        <row r="4717">
          <cell r="W4717">
            <v>0</v>
          </cell>
        </row>
        <row r="4718">
          <cell r="B4718" t="str">
            <v>GPR-ME05O04001</v>
          </cell>
        </row>
        <row r="4718">
          <cell r="W4718">
            <v>0</v>
          </cell>
        </row>
        <row r="4719">
          <cell r="B4719" t="str">
            <v>GPR-SP22A21005</v>
          </cell>
        </row>
        <row r="4719">
          <cell r="W4719">
            <v>0</v>
          </cell>
        </row>
        <row r="4720">
          <cell r="B4720" t="str">
            <v>GPR-HO03A21001</v>
          </cell>
        </row>
        <row r="4720">
          <cell r="W4720">
            <v>0</v>
          </cell>
        </row>
        <row r="4721">
          <cell r="B4721" t="str">
            <v>GPR-HD28A21001</v>
          </cell>
        </row>
        <row r="4721">
          <cell r="W4721">
            <v>0</v>
          </cell>
        </row>
        <row r="4722">
          <cell r="B4722" t="str">
            <v>GPR-EL27M33006</v>
          </cell>
        </row>
        <row r="4722">
          <cell r="W4722">
            <v>0</v>
          </cell>
        </row>
        <row r="4723">
          <cell r="B4723" t="str">
            <v>GPR-PT11M03001</v>
          </cell>
        </row>
        <row r="4723">
          <cell r="W4723">
            <v>0</v>
          </cell>
        </row>
        <row r="4724">
          <cell r="B4724" t="str">
            <v>GPR-HS04M21001</v>
          </cell>
        </row>
        <row r="4724">
          <cell r="W4724">
            <v>0</v>
          </cell>
        </row>
        <row r="4725">
          <cell r="B4725" t="str">
            <v>GPR-PL02A33001</v>
          </cell>
        </row>
        <row r="4725">
          <cell r="W4725">
            <v>0</v>
          </cell>
        </row>
        <row r="4726">
          <cell r="B4726" t="str">
            <v>GPR-MB38A04001</v>
          </cell>
        </row>
        <row r="4726">
          <cell r="W4726">
            <v>0</v>
          </cell>
        </row>
        <row r="4727">
          <cell r="B4727" t="str">
            <v>GPR-SP03M22001</v>
          </cell>
        </row>
        <row r="4727">
          <cell r="W4727">
            <v>0</v>
          </cell>
        </row>
        <row r="4728">
          <cell r="B4728" t="str">
            <v>GPR-PL02A33002</v>
          </cell>
        </row>
        <row r="4728">
          <cell r="W4728">
            <v>0</v>
          </cell>
        </row>
        <row r="4729">
          <cell r="B4729" t="str">
            <v>GPR-MB02L33003</v>
          </cell>
        </row>
        <row r="4729">
          <cell r="W4729">
            <v>0</v>
          </cell>
        </row>
        <row r="4730">
          <cell r="B4730" t="str">
            <v>GPR-HD01M21016</v>
          </cell>
        </row>
        <row r="4730">
          <cell r="W4730">
            <v>0</v>
          </cell>
        </row>
        <row r="4731">
          <cell r="B4731" t="str">
            <v>GPR-HO12T02002</v>
          </cell>
        </row>
        <row r="4731">
          <cell r="W4731">
            <v>0</v>
          </cell>
        </row>
        <row r="4732">
          <cell r="B4732" t="str">
            <v>GPR-MB08L01004</v>
          </cell>
        </row>
        <row r="4732">
          <cell r="W4732">
            <v>0</v>
          </cell>
        </row>
        <row r="4733">
          <cell r="B4733" t="str">
            <v>GPR-MB08L01005</v>
          </cell>
        </row>
        <row r="4733">
          <cell r="W4733">
            <v>0</v>
          </cell>
        </row>
        <row r="4734">
          <cell r="B4734" t="str">
            <v>GPR-EQ46A21001</v>
          </cell>
        </row>
        <row r="4734">
          <cell r="W4734">
            <v>0</v>
          </cell>
        </row>
        <row r="4735">
          <cell r="B4735" t="str">
            <v>GPR-EQ46A21002</v>
          </cell>
        </row>
        <row r="4735">
          <cell r="W4735">
            <v>0</v>
          </cell>
        </row>
        <row r="4736">
          <cell r="B4736" t="str">
            <v>GPR-EQ46A21003</v>
          </cell>
        </row>
        <row r="4736">
          <cell r="W4736">
            <v>0</v>
          </cell>
        </row>
        <row r="4737">
          <cell r="B4737" t="str">
            <v>GPR-EQ46A21004</v>
          </cell>
        </row>
        <row r="4737">
          <cell r="W4737">
            <v>0</v>
          </cell>
        </row>
        <row r="4738">
          <cell r="B4738" t="str">
            <v>GPR-EQ27A21006</v>
          </cell>
        </row>
        <row r="4738">
          <cell r="W4738">
            <v>0</v>
          </cell>
        </row>
        <row r="4739">
          <cell r="B4739" t="str">
            <v>GPR-OS03L02002</v>
          </cell>
        </row>
        <row r="4739">
          <cell r="W4739">
            <v>0</v>
          </cell>
        </row>
        <row r="4740">
          <cell r="B4740" t="str">
            <v>GPR-HD04M33002</v>
          </cell>
        </row>
        <row r="4740">
          <cell r="W4740">
            <v>0</v>
          </cell>
        </row>
        <row r="4741">
          <cell r="B4741" t="str">
            <v>GPR-PT01M13002</v>
          </cell>
        </row>
        <row r="4741">
          <cell r="W4741">
            <v>0</v>
          </cell>
        </row>
        <row r="4742">
          <cell r="B4742" t="str">
            <v>GPR-PT02M33004</v>
          </cell>
        </row>
        <row r="4742">
          <cell r="W4742">
            <v>0</v>
          </cell>
        </row>
        <row r="4743">
          <cell r="B4743" t="str">
            <v>GPR-PT02S33001</v>
          </cell>
        </row>
        <row r="4743">
          <cell r="W4743">
            <v>0</v>
          </cell>
        </row>
        <row r="4744">
          <cell r="B4744" t="str">
            <v>GPR-HD08M33002</v>
          </cell>
        </row>
        <row r="4744">
          <cell r="W4744">
            <v>0</v>
          </cell>
        </row>
        <row r="4745">
          <cell r="B4745" t="str">
            <v>GPR-EQ37M33001</v>
          </cell>
        </row>
        <row r="4745">
          <cell r="W4745">
            <v>0</v>
          </cell>
        </row>
        <row r="4746">
          <cell r="B4746" t="str">
            <v>GPR-MB02L00004</v>
          </cell>
        </row>
        <row r="4746">
          <cell r="W4746">
            <v>0</v>
          </cell>
        </row>
        <row r="4747">
          <cell r="B4747" t="str">
            <v>GPR-OS11P33001</v>
          </cell>
        </row>
        <row r="4747">
          <cell r="W4747">
            <v>0</v>
          </cell>
        </row>
        <row r="4748">
          <cell r="B4748" t="str">
            <v>GPR-OS03C02001</v>
          </cell>
        </row>
        <row r="4748">
          <cell r="W4748">
            <v>0</v>
          </cell>
        </row>
        <row r="4749">
          <cell r="B4749" t="str">
            <v>GPR-OS03M33001</v>
          </cell>
        </row>
        <row r="4749">
          <cell r="W4749">
            <v>0</v>
          </cell>
        </row>
        <row r="4750">
          <cell r="B4750" t="str">
            <v>GPR-OS03L01001</v>
          </cell>
        </row>
        <row r="4750">
          <cell r="W4750">
            <v>0</v>
          </cell>
        </row>
        <row r="4751">
          <cell r="B4751" t="str">
            <v>GPR-OS03P33001</v>
          </cell>
        </row>
        <row r="4751">
          <cell r="W4751">
            <v>0</v>
          </cell>
        </row>
        <row r="4752">
          <cell r="B4752" t="str">
            <v>GPR-OS03A33001</v>
          </cell>
        </row>
        <row r="4752">
          <cell r="W4752">
            <v>0</v>
          </cell>
        </row>
        <row r="4753">
          <cell r="B4753" t="str">
            <v>GPR-OS03P33002</v>
          </cell>
        </row>
        <row r="4753">
          <cell r="W4753">
            <v>0</v>
          </cell>
        </row>
        <row r="4754">
          <cell r="B4754" t="str">
            <v>GPR-OS04D33001</v>
          </cell>
        </row>
        <row r="4754">
          <cell r="W4754">
            <v>0</v>
          </cell>
        </row>
        <row r="4755">
          <cell r="B4755" t="str">
            <v>GPR-OS04D33002</v>
          </cell>
        </row>
        <row r="4755">
          <cell r="W4755">
            <v>0</v>
          </cell>
        </row>
        <row r="4756">
          <cell r="B4756" t="str">
            <v>GPR-OS04D33003</v>
          </cell>
        </row>
        <row r="4756">
          <cell r="W4756">
            <v>0</v>
          </cell>
        </row>
        <row r="4757">
          <cell r="B4757" t="str">
            <v>GPR-EL34C02001</v>
          </cell>
        </row>
        <row r="4757">
          <cell r="W4757">
            <v>0</v>
          </cell>
        </row>
        <row r="4758">
          <cell r="B4758" t="str">
            <v>GPR-EQ35P04001</v>
          </cell>
        </row>
        <row r="4758">
          <cell r="W4758">
            <v>0</v>
          </cell>
        </row>
        <row r="4759">
          <cell r="B4759" t="str">
            <v>GPR-PT09M22001</v>
          </cell>
        </row>
        <row r="4759">
          <cell r="W4759">
            <v>0</v>
          </cell>
        </row>
        <row r="4760">
          <cell r="B4760" t="str">
            <v>GPR-HD07M21001</v>
          </cell>
        </row>
        <row r="4760">
          <cell r="W4760">
            <v>0</v>
          </cell>
        </row>
        <row r="4761">
          <cell r="B4761" t="str">
            <v>GPR-MB02L00005</v>
          </cell>
        </row>
        <row r="4761">
          <cell r="W4761">
            <v>0</v>
          </cell>
        </row>
        <row r="4762">
          <cell r="B4762" t="str">
            <v>GPR-OS03M02002</v>
          </cell>
        </row>
        <row r="4762">
          <cell r="W4762">
            <v>0</v>
          </cell>
        </row>
        <row r="4763">
          <cell r="B4763" t="str">
            <v>GPR-OS02A33001</v>
          </cell>
        </row>
        <row r="4763">
          <cell r="W4763">
            <v>0</v>
          </cell>
        </row>
        <row r="4764">
          <cell r="B4764" t="str">
            <v>GPR-OS06C33001</v>
          </cell>
        </row>
        <row r="4764">
          <cell r="W4764">
            <v>0</v>
          </cell>
        </row>
        <row r="4765">
          <cell r="B4765" t="str">
            <v>GPR-OS10P15001</v>
          </cell>
        </row>
        <row r="4765">
          <cell r="W4765">
            <v>0</v>
          </cell>
        </row>
        <row r="4766">
          <cell r="B4766" t="str">
            <v>GPR-OS11C00002</v>
          </cell>
        </row>
        <row r="4766">
          <cell r="W4766">
            <v>0</v>
          </cell>
        </row>
        <row r="4767">
          <cell r="B4767" t="str">
            <v>GPR-EQ43D33001</v>
          </cell>
        </row>
        <row r="4767">
          <cell r="W4767">
            <v>0</v>
          </cell>
        </row>
        <row r="4768">
          <cell r="B4768" t="str">
            <v>GPR-OS11C33001</v>
          </cell>
        </row>
        <row r="4768">
          <cell r="W4768">
            <v>0</v>
          </cell>
        </row>
        <row r="4769">
          <cell r="B4769" t="str">
            <v>GPR-SE10M21001</v>
          </cell>
        </row>
        <row r="4769">
          <cell r="W4769">
            <v>0</v>
          </cell>
        </row>
        <row r="4770">
          <cell r="B4770" t="str">
            <v>GPR-PT05M11001</v>
          </cell>
        </row>
        <row r="4770">
          <cell r="W4770">
            <v>0</v>
          </cell>
        </row>
        <row r="4771">
          <cell r="B4771" t="str">
            <v>GPR-PT05M11002</v>
          </cell>
        </row>
        <row r="4771">
          <cell r="W4771">
            <v>0</v>
          </cell>
        </row>
        <row r="4772">
          <cell r="B4772" t="str">
            <v>GPR-PT05M11003</v>
          </cell>
        </row>
        <row r="4772">
          <cell r="W4772">
            <v>0</v>
          </cell>
        </row>
        <row r="4773">
          <cell r="B4773" t="str">
            <v>GPR-SP02M33002</v>
          </cell>
        </row>
        <row r="4773">
          <cell r="W4773">
            <v>0</v>
          </cell>
        </row>
        <row r="4774">
          <cell r="B4774" t="str">
            <v>GPR-SP50M21001</v>
          </cell>
        </row>
        <row r="4774">
          <cell r="W4774">
            <v>0</v>
          </cell>
        </row>
        <row r="4775">
          <cell r="B4775" t="str">
            <v>GPR-PT03R33001</v>
          </cell>
        </row>
        <row r="4775">
          <cell r="W4775">
            <v>0</v>
          </cell>
        </row>
        <row r="4776">
          <cell r="B4776" t="str">
            <v>GPR-EQ09A21001</v>
          </cell>
        </row>
        <row r="4776">
          <cell r="W4776">
            <v>0</v>
          </cell>
        </row>
        <row r="4777">
          <cell r="B4777" t="str">
            <v>GPR-SP22A21006</v>
          </cell>
        </row>
        <row r="4777">
          <cell r="W4777">
            <v>0</v>
          </cell>
        </row>
        <row r="4778">
          <cell r="B4778" t="str">
            <v>GPR-EQ01S11001</v>
          </cell>
        </row>
        <row r="4778">
          <cell r="W4778">
            <v>0</v>
          </cell>
        </row>
        <row r="4779">
          <cell r="B4779" t="str">
            <v>GPR-MB20S21001</v>
          </cell>
        </row>
        <row r="4779">
          <cell r="W4779">
            <v>0</v>
          </cell>
        </row>
        <row r="4780">
          <cell r="B4780" t="str">
            <v>GPR-EL27M02002</v>
          </cell>
        </row>
        <row r="4780">
          <cell r="W4780">
            <v>0</v>
          </cell>
        </row>
        <row r="4781">
          <cell r="B4781" t="str">
            <v>GPR-OT01G01001</v>
          </cell>
        </row>
        <row r="4781">
          <cell r="W4781">
            <v>0</v>
          </cell>
        </row>
        <row r="4782">
          <cell r="B4782" t="str">
            <v>GPR-HD01M02006</v>
          </cell>
        </row>
        <row r="4782">
          <cell r="W4782">
            <v>0</v>
          </cell>
        </row>
        <row r="4783">
          <cell r="B4783" t="str">
            <v>GPR-HD01M02007</v>
          </cell>
        </row>
        <row r="4783">
          <cell r="W4783">
            <v>0</v>
          </cell>
        </row>
        <row r="4784">
          <cell r="B4784" t="str">
            <v>GPR-SP02R02001</v>
          </cell>
        </row>
        <row r="4784">
          <cell r="W4784">
            <v>0</v>
          </cell>
        </row>
        <row r="4785">
          <cell r="B4785" t="str">
            <v>GPR-EQ09C33001</v>
          </cell>
        </row>
        <row r="4785">
          <cell r="W4785">
            <v>0</v>
          </cell>
        </row>
        <row r="4786">
          <cell r="B4786" t="str">
            <v>GPR-PT03M21006</v>
          </cell>
        </row>
        <row r="4786">
          <cell r="W4786">
            <v>0</v>
          </cell>
        </row>
        <row r="4787">
          <cell r="B4787" t="str">
            <v>GPR-PT03M21007</v>
          </cell>
        </row>
        <row r="4787">
          <cell r="W4787">
            <v>0</v>
          </cell>
        </row>
        <row r="4788">
          <cell r="B4788" t="str">
            <v>GPR-PT03M21008</v>
          </cell>
        </row>
        <row r="4788">
          <cell r="W4788">
            <v>0</v>
          </cell>
        </row>
        <row r="4789">
          <cell r="B4789" t="str">
            <v>GPR-HD01M02004</v>
          </cell>
        </row>
        <row r="4789">
          <cell r="W4789">
            <v>0</v>
          </cell>
        </row>
        <row r="4790">
          <cell r="B4790" t="str">
            <v>GPR-HD01M02005</v>
          </cell>
        </row>
        <row r="4790">
          <cell r="W4790">
            <v>0</v>
          </cell>
        </row>
        <row r="4791">
          <cell r="B4791" t="str">
            <v>GPR-HD01M21015</v>
          </cell>
        </row>
        <row r="4791">
          <cell r="W4791">
            <v>0</v>
          </cell>
        </row>
        <row r="4792">
          <cell r="B4792" t="str">
            <v>GPR-MB10S21004</v>
          </cell>
        </row>
        <row r="4792">
          <cell r="W4792">
            <v>0</v>
          </cell>
        </row>
        <row r="4793">
          <cell r="B4793" t="str">
            <v>GPR-WC02I33001</v>
          </cell>
        </row>
        <row r="4793">
          <cell r="W4793">
            <v>0</v>
          </cell>
        </row>
        <row r="4794">
          <cell r="B4794" t="str">
            <v>GPR-WC02I33002</v>
          </cell>
        </row>
        <row r="4794">
          <cell r="W4794">
            <v>0</v>
          </cell>
        </row>
        <row r="4795">
          <cell r="B4795" t="str">
            <v>GPR-WC02I33003</v>
          </cell>
        </row>
        <row r="4795">
          <cell r="W4795">
            <v>0</v>
          </cell>
        </row>
        <row r="4796">
          <cell r="B4796" t="str">
            <v>GPR-OS03P33003</v>
          </cell>
        </row>
        <row r="4796">
          <cell r="W4796">
            <v>0</v>
          </cell>
        </row>
        <row r="4797">
          <cell r="B4797" t="str">
            <v>GPR-ME05P33001</v>
          </cell>
        </row>
        <row r="4797">
          <cell r="W4797">
            <v>0</v>
          </cell>
        </row>
        <row r="4798">
          <cell r="B4798" t="str">
            <v>GPR-ME05P33002</v>
          </cell>
        </row>
        <row r="4798">
          <cell r="W4798">
            <v>0</v>
          </cell>
        </row>
        <row r="4799">
          <cell r="B4799" t="str">
            <v>GPR-ME05P33003</v>
          </cell>
        </row>
        <row r="4799">
          <cell r="W4799">
            <v>0</v>
          </cell>
        </row>
        <row r="4800">
          <cell r="B4800" t="str">
            <v>GPR-ME05P33004</v>
          </cell>
        </row>
        <row r="4800">
          <cell r="W4800">
            <v>0</v>
          </cell>
        </row>
        <row r="4801">
          <cell r="B4801" t="str">
            <v>GPR-ME05P33005</v>
          </cell>
        </row>
        <row r="4801">
          <cell r="W4801">
            <v>0</v>
          </cell>
        </row>
        <row r="4802">
          <cell r="B4802" t="str">
            <v>GPR-ME03C01009</v>
          </cell>
        </row>
        <row r="4802">
          <cell r="W4802">
            <v>0</v>
          </cell>
        </row>
        <row r="4803">
          <cell r="B4803" t="str">
            <v>GPR-ME03C01010</v>
          </cell>
        </row>
        <row r="4803">
          <cell r="W4803">
            <v>0</v>
          </cell>
        </row>
        <row r="4804">
          <cell r="B4804" t="str">
            <v>GPR-ME03C01011</v>
          </cell>
        </row>
        <row r="4804">
          <cell r="W4804">
            <v>0</v>
          </cell>
        </row>
        <row r="4805">
          <cell r="B4805" t="str">
            <v>GPR-ME03G00001</v>
          </cell>
        </row>
        <row r="4805">
          <cell r="W4805">
            <v>0</v>
          </cell>
        </row>
        <row r="4806">
          <cell r="B4806" t="str">
            <v>GPR-ME03G00002</v>
          </cell>
        </row>
        <row r="4806">
          <cell r="W4806">
            <v>0</v>
          </cell>
        </row>
        <row r="4807">
          <cell r="B4807" t="str">
            <v>GPR-ME03G00003</v>
          </cell>
        </row>
        <row r="4807">
          <cell r="W4807">
            <v>0</v>
          </cell>
        </row>
        <row r="4808">
          <cell r="B4808" t="str">
            <v>GPR-ME03G01001</v>
          </cell>
        </row>
        <row r="4808">
          <cell r="W4808">
            <v>0</v>
          </cell>
        </row>
        <row r="4809">
          <cell r="B4809" t="str">
            <v>GPR-ME03G04001</v>
          </cell>
        </row>
        <row r="4809">
          <cell r="W4809">
            <v>0</v>
          </cell>
        </row>
        <row r="4810">
          <cell r="B4810" t="str">
            <v>GPR-ME03G00004</v>
          </cell>
        </row>
        <row r="4810">
          <cell r="W4810">
            <v>0</v>
          </cell>
        </row>
        <row r="4811">
          <cell r="B4811" t="str">
            <v>GPR-ME03G00005</v>
          </cell>
        </row>
        <row r="4811">
          <cell r="W4811">
            <v>0</v>
          </cell>
        </row>
        <row r="4812">
          <cell r="B4812" t="str">
            <v>GPR-ME03G00006</v>
          </cell>
        </row>
        <row r="4812">
          <cell r="W4812">
            <v>0</v>
          </cell>
        </row>
        <row r="4813">
          <cell r="B4813" t="str">
            <v>GPR-ME03G01002</v>
          </cell>
        </row>
        <row r="4813">
          <cell r="W4813">
            <v>0</v>
          </cell>
        </row>
        <row r="4814">
          <cell r="B4814" t="str">
            <v>GPR-ME03C01012</v>
          </cell>
        </row>
        <row r="4814">
          <cell r="W4814">
            <v>0</v>
          </cell>
        </row>
        <row r="4815">
          <cell r="B4815" t="str">
            <v>GPR-ME03G01003</v>
          </cell>
        </row>
        <row r="4815">
          <cell r="W4815">
            <v>0</v>
          </cell>
        </row>
        <row r="4816">
          <cell r="B4816" t="str">
            <v>GPR-ME03G01004</v>
          </cell>
        </row>
        <row r="4816">
          <cell r="W4816">
            <v>0</v>
          </cell>
        </row>
        <row r="4817">
          <cell r="B4817" t="str">
            <v>GPR-ME03G01005</v>
          </cell>
        </row>
        <row r="4817">
          <cell r="W4817">
            <v>0</v>
          </cell>
        </row>
        <row r="4818">
          <cell r="B4818" t="str">
            <v>102339</v>
          </cell>
        </row>
        <row r="4818">
          <cell r="W4818">
            <v>35</v>
          </cell>
        </row>
        <row r="4819">
          <cell r="B4819" t="str">
            <v>GPR-PP01M02003</v>
          </cell>
        </row>
        <row r="4819">
          <cell r="W4819">
            <v>0</v>
          </cell>
        </row>
        <row r="4820">
          <cell r="B4820" t="str">
            <v>GPR-ME03C00001</v>
          </cell>
        </row>
        <row r="4820">
          <cell r="W4820">
            <v>0</v>
          </cell>
        </row>
        <row r="4821">
          <cell r="B4821" t="str">
            <v>GPR-ME03C00002</v>
          </cell>
        </row>
        <row r="4821">
          <cell r="W4821">
            <v>0</v>
          </cell>
        </row>
        <row r="4822">
          <cell r="B4822" t="str">
            <v>GPR-ME03M21002</v>
          </cell>
        </row>
        <row r="4822">
          <cell r="W4822">
            <v>0</v>
          </cell>
        </row>
        <row r="4823">
          <cell r="B4823" t="str">
            <v>GPR-ME03C00003</v>
          </cell>
        </row>
        <row r="4823">
          <cell r="W4823">
            <v>0</v>
          </cell>
        </row>
        <row r="4824">
          <cell r="B4824" t="str">
            <v>GPR-ME03C00004</v>
          </cell>
        </row>
        <row r="4824">
          <cell r="W4824">
            <v>0</v>
          </cell>
        </row>
        <row r="4825">
          <cell r="B4825" t="str">
            <v>GPR-OS03P33004</v>
          </cell>
        </row>
        <row r="4825">
          <cell r="W4825">
            <v>0</v>
          </cell>
        </row>
        <row r="4826">
          <cell r="B4826" t="str">
            <v>GPR-ME03M21003</v>
          </cell>
        </row>
        <row r="4826">
          <cell r="W4826">
            <v>0</v>
          </cell>
        </row>
        <row r="4827">
          <cell r="B4827" t="str">
            <v>GPR-ME03M21004</v>
          </cell>
        </row>
        <row r="4827">
          <cell r="W4827">
            <v>0</v>
          </cell>
        </row>
        <row r="4828">
          <cell r="B4828" t="str">
            <v>GPR-ME03M21005</v>
          </cell>
        </row>
        <row r="4828">
          <cell r="W4828">
            <v>0</v>
          </cell>
        </row>
        <row r="4829">
          <cell r="B4829" t="str">
            <v>GPR-SP12J03001</v>
          </cell>
        </row>
        <row r="4829">
          <cell r="W4829">
            <v>0</v>
          </cell>
        </row>
        <row r="4830">
          <cell r="B4830" t="str">
            <v>GPR-ME03G04002</v>
          </cell>
        </row>
        <row r="4830">
          <cell r="W4830">
            <v>0</v>
          </cell>
        </row>
        <row r="4831">
          <cell r="B4831" t="str">
            <v>GPR-ME03G04003</v>
          </cell>
        </row>
        <row r="4831">
          <cell r="W4831">
            <v>0</v>
          </cell>
        </row>
        <row r="4832">
          <cell r="B4832" t="str">
            <v>GPR-EQ53M33001</v>
          </cell>
        </row>
        <row r="4832">
          <cell r="W4832">
            <v>0</v>
          </cell>
        </row>
        <row r="4833">
          <cell r="B4833" t="str">
            <v>GPR-EL10M33002</v>
          </cell>
        </row>
        <row r="4833">
          <cell r="W4833">
            <v>0</v>
          </cell>
        </row>
        <row r="4834">
          <cell r="B4834" t="str">
            <v>GPR-SA05K01002</v>
          </cell>
        </row>
        <row r="4834">
          <cell r="W4834">
            <v>0</v>
          </cell>
        </row>
        <row r="4835">
          <cell r="B4835" t="str">
            <v>GPR-SA02M21001</v>
          </cell>
        </row>
        <row r="4835">
          <cell r="W4835">
            <v>0</v>
          </cell>
        </row>
        <row r="4836">
          <cell r="B4836" t="str">
            <v>GPR-SA04K01002</v>
          </cell>
        </row>
        <row r="4836">
          <cell r="W4836">
            <v>0</v>
          </cell>
        </row>
        <row r="4837">
          <cell r="B4837" t="str">
            <v>GPR-OS06P33001</v>
          </cell>
        </row>
        <row r="4837">
          <cell r="W4837">
            <v>0</v>
          </cell>
        </row>
        <row r="4838">
          <cell r="B4838" t="str">
            <v>GPR-LL04L00003</v>
          </cell>
        </row>
        <row r="4838">
          <cell r="W4838">
            <v>0</v>
          </cell>
        </row>
        <row r="4839">
          <cell r="B4839" t="str">
            <v>GPR-HD13M33001</v>
          </cell>
        </row>
        <row r="4839">
          <cell r="W4839">
            <v>0</v>
          </cell>
        </row>
        <row r="4840">
          <cell r="B4840" t="str">
            <v>GPR-WC01M21006</v>
          </cell>
        </row>
        <row r="4840">
          <cell r="W4840">
            <v>0</v>
          </cell>
        </row>
        <row r="4841">
          <cell r="B4841" t="str">
            <v>GPR-SP02M02002</v>
          </cell>
        </row>
        <row r="4841">
          <cell r="W4841">
            <v>0</v>
          </cell>
        </row>
        <row r="4842">
          <cell r="B4842" t="str">
            <v>GPR-SP02M02005</v>
          </cell>
        </row>
        <row r="4842">
          <cell r="W4842">
            <v>0</v>
          </cell>
        </row>
        <row r="4843">
          <cell r="B4843" t="str">
            <v>GPR-SP25M01001</v>
          </cell>
        </row>
        <row r="4843">
          <cell r="W4843">
            <v>0</v>
          </cell>
        </row>
        <row r="4844">
          <cell r="B4844" t="str">
            <v>GPR-PN06C33011</v>
          </cell>
        </row>
        <row r="4844">
          <cell r="W4844">
            <v>0</v>
          </cell>
        </row>
        <row r="4845">
          <cell r="B4845" t="str">
            <v>0110312</v>
          </cell>
        </row>
        <row r="4845">
          <cell r="W4845">
            <v>0</v>
          </cell>
        </row>
        <row r="4846">
          <cell r="B4846" t="str">
            <v>GPR-MB32E01001</v>
          </cell>
        </row>
        <row r="4846">
          <cell r="W4846">
            <v>-100</v>
          </cell>
        </row>
        <row r="4847">
          <cell r="B4847" t="str">
            <v>GPR-EQ01S11002</v>
          </cell>
        </row>
        <row r="4847">
          <cell r="W4847">
            <v>0</v>
          </cell>
        </row>
        <row r="4848">
          <cell r="B4848" t="str">
            <v>GPR-EQ07P14001</v>
          </cell>
        </row>
        <row r="4848">
          <cell r="W4848">
            <v>0</v>
          </cell>
        </row>
        <row r="4849">
          <cell r="B4849" t="str">
            <v>GPR-HO06S33002</v>
          </cell>
        </row>
        <row r="4849">
          <cell r="W4849">
            <v>0</v>
          </cell>
        </row>
        <row r="4850">
          <cell r="B4850" t="str">
            <v>GPR-MB13M21013</v>
          </cell>
        </row>
        <row r="4850">
          <cell r="W4850">
            <v>0</v>
          </cell>
        </row>
        <row r="4851">
          <cell r="B4851" t="str">
            <v>GPR-EQ34M01001</v>
          </cell>
        </row>
        <row r="4851">
          <cell r="W4851">
            <v>0</v>
          </cell>
        </row>
        <row r="4852">
          <cell r="B4852" t="str">
            <v>GPR-EL14M01003</v>
          </cell>
        </row>
        <row r="4852">
          <cell r="W4852">
            <v>0</v>
          </cell>
        </row>
        <row r="4853">
          <cell r="B4853" t="str">
            <v>GPR-EL14M01004</v>
          </cell>
        </row>
        <row r="4853">
          <cell r="W4853">
            <v>0</v>
          </cell>
        </row>
        <row r="4854">
          <cell r="B4854" t="str">
            <v>GPR-PT03M21009</v>
          </cell>
        </row>
        <row r="4854">
          <cell r="W4854">
            <v>0</v>
          </cell>
        </row>
        <row r="4855">
          <cell r="B4855" t="str">
            <v>GPR-PT03M21010</v>
          </cell>
        </row>
        <row r="4855">
          <cell r="W4855">
            <v>0</v>
          </cell>
        </row>
        <row r="4856">
          <cell r="B4856" t="str">
            <v>GPR-PT03M21011</v>
          </cell>
        </row>
        <row r="4856">
          <cell r="W4856">
            <v>0</v>
          </cell>
        </row>
        <row r="4857">
          <cell r="B4857" t="str">
            <v>GPR-PT01M02003</v>
          </cell>
        </row>
        <row r="4857">
          <cell r="W4857">
            <v>0</v>
          </cell>
        </row>
        <row r="4858">
          <cell r="B4858" t="str">
            <v>GPR-ME01N15001</v>
          </cell>
        </row>
        <row r="4858">
          <cell r="W4858">
            <v>0</v>
          </cell>
        </row>
        <row r="4859">
          <cell r="B4859" t="str">
            <v>GPR-CL04E33001</v>
          </cell>
        </row>
        <row r="4859">
          <cell r="W4859">
            <v>0</v>
          </cell>
        </row>
        <row r="4860">
          <cell r="B4860" t="str">
            <v>GPR-WC01M21007</v>
          </cell>
        </row>
        <row r="4860">
          <cell r="W4860">
            <v>0</v>
          </cell>
        </row>
        <row r="4861">
          <cell r="B4861" t="str">
            <v>GPR-SP02M02003</v>
          </cell>
        </row>
        <row r="4861">
          <cell r="W4861">
            <v>0</v>
          </cell>
        </row>
        <row r="4862">
          <cell r="B4862" t="str">
            <v>GPR-SP02M02006</v>
          </cell>
        </row>
        <row r="4862">
          <cell r="W4862">
            <v>0</v>
          </cell>
        </row>
        <row r="4863">
          <cell r="B4863" t="str">
            <v>GPR-MB25S21007</v>
          </cell>
        </row>
        <row r="4863">
          <cell r="W4863">
            <v>0</v>
          </cell>
        </row>
        <row r="4864">
          <cell r="B4864" t="str">
            <v>GPR-PP04C01042</v>
          </cell>
        </row>
        <row r="4864">
          <cell r="W4864">
            <v>0</v>
          </cell>
        </row>
        <row r="4865">
          <cell r="B4865" t="str">
            <v>GPR-PP03C01010</v>
          </cell>
        </row>
        <row r="4865">
          <cell r="W4865">
            <v>0</v>
          </cell>
        </row>
        <row r="4866">
          <cell r="B4866" t="str">
            <v>GPR-LM01G00002</v>
          </cell>
        </row>
        <row r="4866">
          <cell r="W4866">
            <v>0</v>
          </cell>
        </row>
        <row r="4867">
          <cell r="B4867" t="str">
            <v>GPR-EL03C33001</v>
          </cell>
        </row>
        <row r="4867">
          <cell r="W4867">
            <v>0</v>
          </cell>
        </row>
        <row r="4868">
          <cell r="B4868" t="str">
            <v>GPR-EL03C33002</v>
          </cell>
        </row>
        <row r="4868">
          <cell r="W4868">
            <v>0</v>
          </cell>
        </row>
        <row r="4869">
          <cell r="B4869" t="str">
            <v>GPR-EL03C33003</v>
          </cell>
        </row>
        <row r="4869">
          <cell r="W4869">
            <v>0</v>
          </cell>
        </row>
        <row r="4870">
          <cell r="B4870" t="str">
            <v>GPR-EL03C33004</v>
          </cell>
        </row>
        <row r="4870">
          <cell r="W4870">
            <v>0</v>
          </cell>
        </row>
        <row r="4871">
          <cell r="B4871" t="str">
            <v>GPR-MB13M21008</v>
          </cell>
        </row>
        <row r="4871">
          <cell r="W4871">
            <v>0</v>
          </cell>
        </row>
        <row r="4872">
          <cell r="B4872" t="str">
            <v>GPR-WC01M03001</v>
          </cell>
        </row>
        <row r="4872">
          <cell r="W4872">
            <v>0</v>
          </cell>
        </row>
        <row r="4873">
          <cell r="B4873" t="str">
            <v>GPR-WC01M21005</v>
          </cell>
        </row>
        <row r="4873">
          <cell r="W4873">
            <v>0</v>
          </cell>
        </row>
        <row r="4874">
          <cell r="B4874" t="str">
            <v>GPR-SP02M02001</v>
          </cell>
        </row>
        <row r="4874">
          <cell r="W4874">
            <v>0</v>
          </cell>
        </row>
        <row r="4875">
          <cell r="B4875" t="str">
            <v>GPR-MB07H33002</v>
          </cell>
        </row>
        <row r="4875">
          <cell r="W4875">
            <v>0</v>
          </cell>
        </row>
        <row r="4876">
          <cell r="B4876" t="str">
            <v>GPR-SP02M02004</v>
          </cell>
        </row>
        <row r="4876">
          <cell r="W4876">
            <v>0</v>
          </cell>
        </row>
        <row r="4877">
          <cell r="B4877" t="str">
            <v>GPR-SP02M02007</v>
          </cell>
        </row>
        <row r="4877">
          <cell r="W4877">
            <v>0</v>
          </cell>
        </row>
        <row r="4878">
          <cell r="B4878" t="str">
            <v>GPR-MB38H33001</v>
          </cell>
        </row>
        <row r="4878">
          <cell r="W4878">
            <v>0</v>
          </cell>
        </row>
        <row r="4879">
          <cell r="B4879" t="str">
            <v>CP-UPST-002</v>
          </cell>
        </row>
        <row r="4879">
          <cell r="W4879">
            <v>2000</v>
          </cell>
        </row>
        <row r="4880">
          <cell r="B4880" t="str">
            <v>GPR-MB43B33001</v>
          </cell>
        </row>
        <row r="4880">
          <cell r="W4880">
            <v>0</v>
          </cell>
        </row>
        <row r="4881">
          <cell r="B4881" t="str">
            <v>GPR-EQ28S33001</v>
          </cell>
        </row>
        <row r="4881">
          <cell r="W4881">
            <v>0</v>
          </cell>
        </row>
        <row r="4882">
          <cell r="B4882" t="str">
            <v>GPR-HO06C33001</v>
          </cell>
        </row>
        <row r="4882">
          <cell r="W4882">
            <v>0</v>
          </cell>
        </row>
        <row r="4883">
          <cell r="B4883" t="str">
            <v>GPR-HO06S01001</v>
          </cell>
        </row>
        <row r="4883">
          <cell r="W4883">
            <v>0</v>
          </cell>
        </row>
        <row r="4884">
          <cell r="B4884" t="str">
            <v>GPR-PP04C01043</v>
          </cell>
        </row>
        <row r="4884">
          <cell r="W4884">
            <v>0</v>
          </cell>
        </row>
        <row r="4885">
          <cell r="B4885" t="str">
            <v>GPR-MB07H33001</v>
          </cell>
        </row>
        <row r="4885">
          <cell r="W4885">
            <v>0</v>
          </cell>
        </row>
        <row r="4886">
          <cell r="B4886" t="str">
            <v>102181</v>
          </cell>
        </row>
        <row r="4886">
          <cell r="W4886">
            <v>0</v>
          </cell>
        </row>
        <row r="4887">
          <cell r="B4887" t="str">
            <v>GPR-EL14G33001</v>
          </cell>
        </row>
        <row r="4887">
          <cell r="W4887">
            <v>0</v>
          </cell>
        </row>
        <row r="4888">
          <cell r="B4888" t="str">
            <v>GPR-PP05C01001</v>
          </cell>
        </row>
        <row r="4888">
          <cell r="W4888">
            <v>0</v>
          </cell>
        </row>
        <row r="4889">
          <cell r="B4889" t="str">
            <v>GPR-PP10C01002</v>
          </cell>
        </row>
        <row r="4889">
          <cell r="W4889">
            <v>0</v>
          </cell>
        </row>
        <row r="4890">
          <cell r="B4890" t="str">
            <v>GPR-PP04S21001</v>
          </cell>
        </row>
        <row r="4890">
          <cell r="W4890">
            <v>0</v>
          </cell>
        </row>
        <row r="4891">
          <cell r="B4891" t="str">
            <v>GPR-PN06C33009</v>
          </cell>
        </row>
        <row r="4891">
          <cell r="W4891">
            <v>0</v>
          </cell>
        </row>
        <row r="4892">
          <cell r="B4892" t="str">
            <v>CP-ACSH-001</v>
          </cell>
        </row>
        <row r="4892">
          <cell r="W4892">
            <v>0</v>
          </cell>
        </row>
        <row r="4893">
          <cell r="B4893" t="str">
            <v>102190</v>
          </cell>
        </row>
        <row r="4893">
          <cell r="W4893">
            <v>0</v>
          </cell>
        </row>
        <row r="4894">
          <cell r="B4894" t="str">
            <v>GPR-SP22A21001</v>
          </cell>
        </row>
        <row r="4894">
          <cell r="W4894">
            <v>0</v>
          </cell>
        </row>
        <row r="4895">
          <cell r="B4895" t="str">
            <v>102387</v>
          </cell>
        </row>
        <row r="4895">
          <cell r="W4895">
            <v>0</v>
          </cell>
        </row>
        <row r="4896">
          <cell r="B4896" t="str">
            <v>7610900000014740000</v>
          </cell>
        </row>
        <row r="4896">
          <cell r="W4896">
            <v>0</v>
          </cell>
        </row>
        <row r="4897">
          <cell r="B4897" t="str">
            <v>GPR-AP09D33001</v>
          </cell>
        </row>
        <row r="4897">
          <cell r="W4897">
            <v>0</v>
          </cell>
        </row>
        <row r="4898">
          <cell r="B4898" t="str">
            <v>6900005030126</v>
          </cell>
        </row>
        <row r="4898">
          <cell r="W4898">
            <v>0</v>
          </cell>
        </row>
        <row r="4899">
          <cell r="B4899" t="str">
            <v>GPR-HO06C01001</v>
          </cell>
        </row>
        <row r="4899">
          <cell r="W4899">
            <v>0</v>
          </cell>
        </row>
        <row r="4900">
          <cell r="B4900" t="str">
            <v>GPR-HO06K01001</v>
          </cell>
        </row>
        <row r="4900">
          <cell r="W4900">
            <v>0</v>
          </cell>
        </row>
        <row r="4901">
          <cell r="B4901" t="str">
            <v>GPR-EQ08D33002</v>
          </cell>
        </row>
        <row r="4901">
          <cell r="W4901">
            <v>0</v>
          </cell>
        </row>
        <row r="4902">
          <cell r="B4902" t="str">
            <v>GPR-GS10E01006</v>
          </cell>
        </row>
        <row r="4902">
          <cell r="W4902">
            <v>0</v>
          </cell>
        </row>
        <row r="4903">
          <cell r="B4903" t="str">
            <v>GPR-EQ28R02025</v>
          </cell>
        </row>
        <row r="4903">
          <cell r="W4903">
            <v>0</v>
          </cell>
        </row>
        <row r="4904">
          <cell r="B4904" t="str">
            <v>GPR-EQ28R02026</v>
          </cell>
        </row>
        <row r="4904">
          <cell r="W4904">
            <v>0</v>
          </cell>
        </row>
        <row r="4905">
          <cell r="B4905" t="str">
            <v>GPR-EQ28R02027</v>
          </cell>
        </row>
        <row r="4905">
          <cell r="W4905">
            <v>0</v>
          </cell>
        </row>
        <row r="4906">
          <cell r="B4906" t="str">
            <v>GPR-EQ28R02028</v>
          </cell>
        </row>
        <row r="4906">
          <cell r="W4906">
            <v>0</v>
          </cell>
        </row>
        <row r="4907">
          <cell r="B4907" t="str">
            <v>GPR-EQ28R02029</v>
          </cell>
        </row>
        <row r="4907">
          <cell r="W4907">
            <v>0</v>
          </cell>
        </row>
        <row r="4908">
          <cell r="B4908" t="str">
            <v>GPR-EQ28R02030</v>
          </cell>
        </row>
        <row r="4908">
          <cell r="W4908">
            <v>0</v>
          </cell>
        </row>
        <row r="4909">
          <cell r="B4909" t="str">
            <v>GPR-EQ28R02031</v>
          </cell>
        </row>
        <row r="4909">
          <cell r="W4909">
            <v>0</v>
          </cell>
        </row>
        <row r="4910">
          <cell r="B4910" t="str">
            <v>GPR-EQ28R02032</v>
          </cell>
        </row>
        <row r="4910">
          <cell r="W4910">
            <v>0</v>
          </cell>
        </row>
        <row r="4911">
          <cell r="B4911" t="str">
            <v>GPR-EQ28R02033</v>
          </cell>
        </row>
        <row r="4911">
          <cell r="W4911">
            <v>0</v>
          </cell>
        </row>
        <row r="4912">
          <cell r="B4912" t="str">
            <v>GPR-EQ18C33001</v>
          </cell>
        </row>
        <row r="4912">
          <cell r="W4912">
            <v>0</v>
          </cell>
        </row>
        <row r="4913">
          <cell r="B4913" t="str">
            <v>GPR-HO04O33001</v>
          </cell>
        </row>
        <row r="4913">
          <cell r="W4913">
            <v>0</v>
          </cell>
        </row>
        <row r="4914">
          <cell r="B4914" t="str">
            <v>GPR-HO03M21003</v>
          </cell>
        </row>
        <row r="4914">
          <cell r="W4914">
            <v>0</v>
          </cell>
        </row>
        <row r="4915">
          <cell r="B4915" t="str">
            <v>GPR-HO03M21004</v>
          </cell>
        </row>
        <row r="4915">
          <cell r="W4915">
            <v>0</v>
          </cell>
        </row>
        <row r="4916">
          <cell r="B4916" t="str">
            <v>GPR-HO03C33001</v>
          </cell>
        </row>
        <row r="4916">
          <cell r="W4916">
            <v>0</v>
          </cell>
        </row>
        <row r="4917">
          <cell r="B4917" t="str">
            <v>GPR-HO03M33001</v>
          </cell>
        </row>
        <row r="4917">
          <cell r="W4917">
            <v>0</v>
          </cell>
        </row>
        <row r="4918">
          <cell r="B4918" t="str">
            <v>GPR-SE03M02002</v>
          </cell>
        </row>
        <row r="4918">
          <cell r="W4918">
            <v>0</v>
          </cell>
        </row>
        <row r="4919">
          <cell r="B4919" t="str">
            <v>GPR-SE03M33001</v>
          </cell>
        </row>
        <row r="4919">
          <cell r="W4919">
            <v>0</v>
          </cell>
        </row>
        <row r="4920">
          <cell r="B4920" t="str">
            <v>GPR-SE03M33002</v>
          </cell>
        </row>
        <row r="4920">
          <cell r="W4920">
            <v>0</v>
          </cell>
        </row>
        <row r="4921">
          <cell r="B4921" t="str">
            <v>102564</v>
          </cell>
        </row>
        <row r="4921">
          <cell r="W4921">
            <v>0</v>
          </cell>
        </row>
        <row r="4922">
          <cell r="B4922" t="str">
            <v>GPR-SE03C33001</v>
          </cell>
        </row>
        <row r="4922">
          <cell r="W4922">
            <v>0</v>
          </cell>
        </row>
        <row r="4923">
          <cell r="B4923" t="str">
            <v>102359</v>
          </cell>
        </row>
        <row r="4923">
          <cell r="W4923">
            <v>0</v>
          </cell>
        </row>
        <row r="4924">
          <cell r="B4924" t="str">
            <v>GPR-OT02L22002</v>
          </cell>
        </row>
        <row r="4924">
          <cell r="W4924">
            <v>0</v>
          </cell>
        </row>
        <row r="4925">
          <cell r="B4925" t="str">
            <v>GPR-HD12M33001</v>
          </cell>
        </row>
        <row r="4925">
          <cell r="W4925">
            <v>0</v>
          </cell>
        </row>
        <row r="4926">
          <cell r="B4926" t="str">
            <v>GPR-MB23M21003</v>
          </cell>
        </row>
        <row r="4926">
          <cell r="W4926">
            <v>0</v>
          </cell>
        </row>
        <row r="4927">
          <cell r="B4927" t="str">
            <v>GPR-SE03M33003</v>
          </cell>
        </row>
        <row r="4927">
          <cell r="W4927">
            <v>0</v>
          </cell>
        </row>
        <row r="4928">
          <cell r="B4928" t="str">
            <v>GPR-SE03S33001</v>
          </cell>
        </row>
        <row r="4928">
          <cell r="W4928">
            <v>0</v>
          </cell>
        </row>
        <row r="4929">
          <cell r="B4929" t="str">
            <v>GPR-HO15T33001</v>
          </cell>
        </row>
        <row r="4929">
          <cell r="W4929">
            <v>0</v>
          </cell>
        </row>
        <row r="4930">
          <cell r="B4930" t="str">
            <v>GPR-EL10C33001</v>
          </cell>
        </row>
        <row r="4930">
          <cell r="W4930">
            <v>0</v>
          </cell>
        </row>
        <row r="4931">
          <cell r="B4931" t="str">
            <v>GPR-MB13M21009</v>
          </cell>
        </row>
        <row r="4931">
          <cell r="W4931">
            <v>0</v>
          </cell>
        </row>
        <row r="4932">
          <cell r="B4932" t="str">
            <v>GPR-MB13M21010</v>
          </cell>
        </row>
        <row r="4932">
          <cell r="W4932">
            <v>0</v>
          </cell>
        </row>
        <row r="4933">
          <cell r="B4933" t="str">
            <v>GPR-OS02M02001</v>
          </cell>
        </row>
        <row r="4933">
          <cell r="W4933">
            <v>0</v>
          </cell>
        </row>
        <row r="4934">
          <cell r="B4934" t="str">
            <v>GPR-SP22A21002</v>
          </cell>
        </row>
        <row r="4934">
          <cell r="W4934">
            <v>0</v>
          </cell>
        </row>
        <row r="4935">
          <cell r="B4935" t="str">
            <v>GPR-SP23A21002</v>
          </cell>
        </row>
        <row r="4935">
          <cell r="W4935">
            <v>0</v>
          </cell>
        </row>
        <row r="4936">
          <cell r="B4936" t="str">
            <v>GPR-LM01G01008</v>
          </cell>
        </row>
        <row r="4936">
          <cell r="W4936">
            <v>0</v>
          </cell>
        </row>
        <row r="4937">
          <cell r="B4937" t="str">
            <v>GPR-MB28B03001</v>
          </cell>
        </row>
        <row r="4937">
          <cell r="W4937">
            <v>0</v>
          </cell>
        </row>
        <row r="4938">
          <cell r="B4938" t="str">
            <v>GPR-EQ42R02009</v>
          </cell>
        </row>
        <row r="4938">
          <cell r="W4938">
            <v>0</v>
          </cell>
        </row>
        <row r="4939">
          <cell r="B4939" t="str">
            <v>GPR-HO14G00001</v>
          </cell>
        </row>
        <row r="4939">
          <cell r="W4939">
            <v>0</v>
          </cell>
        </row>
        <row r="4940">
          <cell r="B4940" t="str">
            <v>GPR-MB34C33012</v>
          </cell>
        </row>
        <row r="4940">
          <cell r="W4940">
            <v>0</v>
          </cell>
        </row>
        <row r="4941">
          <cell r="B4941" t="str">
            <v>GPR-MB34C33013</v>
          </cell>
        </row>
        <row r="4941">
          <cell r="W4941">
            <v>0</v>
          </cell>
        </row>
        <row r="4942">
          <cell r="B4942" t="str">
            <v>GPR-MB34C33014</v>
          </cell>
        </row>
        <row r="4942">
          <cell r="W4942">
            <v>0</v>
          </cell>
        </row>
        <row r="4943">
          <cell r="B4943" t="str">
            <v>GPR-FF05M11001</v>
          </cell>
        </row>
        <row r="4943">
          <cell r="W4943">
            <v>0</v>
          </cell>
        </row>
        <row r="4944">
          <cell r="B4944" t="str">
            <v>GPR-FF05M11002</v>
          </cell>
        </row>
        <row r="4944">
          <cell r="W4944">
            <v>0</v>
          </cell>
        </row>
        <row r="4945">
          <cell r="B4945" t="str">
            <v>GPR-DC03B03001</v>
          </cell>
        </row>
        <row r="4945">
          <cell r="W4945">
            <v>0</v>
          </cell>
        </row>
        <row r="4946">
          <cell r="B4946" t="str">
            <v>GPR-DC03B03002</v>
          </cell>
        </row>
        <row r="4946">
          <cell r="W4946">
            <v>0</v>
          </cell>
        </row>
        <row r="4947">
          <cell r="B4947" t="str">
            <v>GPR-HO06C01002</v>
          </cell>
        </row>
        <row r="4947">
          <cell r="W4947">
            <v>0</v>
          </cell>
        </row>
        <row r="4948">
          <cell r="B4948" t="str">
            <v>GPR-HO06C01003</v>
          </cell>
        </row>
        <row r="4948">
          <cell r="W4948">
            <v>0</v>
          </cell>
        </row>
        <row r="4949">
          <cell r="B4949" t="str">
            <v>CP-AP300-001</v>
          </cell>
        </row>
        <row r="4949">
          <cell r="W4949">
            <v>2628</v>
          </cell>
        </row>
        <row r="4950">
          <cell r="B4950" t="str">
            <v>GPR-EQ43S21001</v>
          </cell>
        </row>
        <row r="4950">
          <cell r="W4950">
            <v>0</v>
          </cell>
        </row>
        <row r="4951">
          <cell r="B4951" t="str">
            <v>GPR-HO06C33002</v>
          </cell>
        </row>
        <row r="4951">
          <cell r="W4951">
            <v>0</v>
          </cell>
        </row>
        <row r="4952">
          <cell r="B4952" t="str">
            <v>CP-USNT-002</v>
          </cell>
        </row>
        <row r="4952">
          <cell r="W4952">
            <v>0</v>
          </cell>
        </row>
        <row r="4953">
          <cell r="B4953" t="str">
            <v>CP-USNT-003</v>
          </cell>
        </row>
        <row r="4953">
          <cell r="W4953">
            <v>0</v>
          </cell>
        </row>
        <row r="4954">
          <cell r="B4954" t="str">
            <v>GPR-MB17S33001</v>
          </cell>
        </row>
        <row r="4954">
          <cell r="W4954">
            <v>0</v>
          </cell>
        </row>
        <row r="4955">
          <cell r="B4955" t="str">
            <v>GPR-SP16B05001</v>
          </cell>
        </row>
        <row r="4955">
          <cell r="W4955">
            <v>0</v>
          </cell>
        </row>
        <row r="4956">
          <cell r="B4956" t="str">
            <v>GPR-WD04S21003</v>
          </cell>
        </row>
        <row r="4956">
          <cell r="W4956">
            <v>0</v>
          </cell>
        </row>
        <row r="4957">
          <cell r="B4957" t="str">
            <v>GPR-PT03M21005</v>
          </cell>
        </row>
        <row r="4957">
          <cell r="W4957">
            <v>0</v>
          </cell>
        </row>
        <row r="4958">
          <cell r="B4958" t="str">
            <v>10031820230703</v>
          </cell>
        </row>
        <row r="4958">
          <cell r="W4958">
            <v>0</v>
          </cell>
        </row>
        <row r="4959">
          <cell r="B4959" t="str">
            <v>GPR-HO13T33002</v>
          </cell>
        </row>
        <row r="4959">
          <cell r="W4959">
            <v>0</v>
          </cell>
        </row>
        <row r="4960">
          <cell r="B4960" t="str">
            <v>GPR-SP22S21003</v>
          </cell>
        </row>
        <row r="4960">
          <cell r="W4960">
            <v>0</v>
          </cell>
        </row>
        <row r="4961">
          <cell r="B4961" t="str">
            <v>102191</v>
          </cell>
        </row>
        <row r="4961">
          <cell r="W4961">
            <v>0</v>
          </cell>
        </row>
        <row r="4962">
          <cell r="B4962" t="str">
            <v>GPR-EL06S33001</v>
          </cell>
        </row>
        <row r="4962">
          <cell r="W4962">
            <v>0</v>
          </cell>
        </row>
        <row r="4963">
          <cell r="B4963" t="str">
            <v>GPR-HO06S33001</v>
          </cell>
        </row>
        <row r="4963">
          <cell r="W4963">
            <v>0</v>
          </cell>
        </row>
        <row r="4964">
          <cell r="B4964" t="str">
            <v>102166</v>
          </cell>
        </row>
        <row r="4964">
          <cell r="W4964">
            <v>0</v>
          </cell>
        </row>
        <row r="4965">
          <cell r="B4965" t="str">
            <v>GPR-HO03H33001</v>
          </cell>
        </row>
        <row r="4965">
          <cell r="W4965">
            <v>0</v>
          </cell>
        </row>
        <row r="4966">
          <cell r="B4966" t="str">
            <v>GPR-HO11S33001</v>
          </cell>
        </row>
        <row r="4966">
          <cell r="W4966">
            <v>0</v>
          </cell>
        </row>
        <row r="4967">
          <cell r="B4967" t="str">
            <v>GPR-EQ07P33001</v>
          </cell>
        </row>
        <row r="4967">
          <cell r="W4967">
            <v>0</v>
          </cell>
        </row>
        <row r="4968">
          <cell r="B4968" t="str">
            <v>GPR-HO11S33002</v>
          </cell>
        </row>
        <row r="4968">
          <cell r="W4968">
            <v>0</v>
          </cell>
        </row>
        <row r="4969">
          <cell r="B4969" t="str">
            <v>GPR-HO11S33003</v>
          </cell>
        </row>
        <row r="4969">
          <cell r="W4969">
            <v>0</v>
          </cell>
        </row>
        <row r="4970">
          <cell r="B4970" t="str">
            <v>GPR-EL05N33001</v>
          </cell>
        </row>
        <row r="4970">
          <cell r="W4970">
            <v>0</v>
          </cell>
        </row>
        <row r="4971">
          <cell r="B4971" t="str">
            <v>GPR-HO14S33001</v>
          </cell>
        </row>
        <row r="4971">
          <cell r="W4971">
            <v>0</v>
          </cell>
        </row>
        <row r="4972">
          <cell r="B4972" t="str">
            <v>GPR-OT02R02009</v>
          </cell>
        </row>
        <row r="4972">
          <cell r="W4972">
            <v>0</v>
          </cell>
        </row>
        <row r="4973">
          <cell r="B4973" t="str">
            <v>GPR-OT02R02010</v>
          </cell>
        </row>
        <row r="4973">
          <cell r="W4973">
            <v>0</v>
          </cell>
        </row>
        <row r="4974">
          <cell r="B4974" t="str">
            <v>GPR-EQ29O33001</v>
          </cell>
        </row>
        <row r="4974">
          <cell r="W4974">
            <v>0</v>
          </cell>
        </row>
        <row r="4975">
          <cell r="B4975" t="str">
            <v>GPR-EQ09S33001</v>
          </cell>
        </row>
        <row r="4975">
          <cell r="W4975">
            <v>0</v>
          </cell>
        </row>
        <row r="4976">
          <cell r="B4976" t="str">
            <v>GPR-EQ19P01001</v>
          </cell>
        </row>
        <row r="4976">
          <cell r="W4976">
            <v>0</v>
          </cell>
        </row>
        <row r="4977">
          <cell r="B4977" t="str">
            <v>GPR-MB13M21011</v>
          </cell>
        </row>
        <row r="4977">
          <cell r="W4977">
            <v>0</v>
          </cell>
        </row>
        <row r="4978">
          <cell r="B4978" t="str">
            <v>GPR-ME03G00007</v>
          </cell>
        </row>
        <row r="4978">
          <cell r="W4978">
            <v>0</v>
          </cell>
        </row>
        <row r="4979">
          <cell r="B4979" t="str">
            <v>GPR-EQ19S21001</v>
          </cell>
        </row>
        <row r="4979">
          <cell r="W4979">
            <v>0</v>
          </cell>
        </row>
        <row r="4980">
          <cell r="B4980" t="str">
            <v>GPR-EQ19S21002</v>
          </cell>
        </row>
        <row r="4980">
          <cell r="W4980">
            <v>0</v>
          </cell>
        </row>
        <row r="4981">
          <cell r="B4981" t="str">
            <v>GPR-EQ19S21003</v>
          </cell>
        </row>
        <row r="4981">
          <cell r="W4981">
            <v>0</v>
          </cell>
        </row>
        <row r="4982">
          <cell r="B4982" t="str">
            <v>GPR-SP37R02001</v>
          </cell>
        </row>
        <row r="4982">
          <cell r="W4982">
            <v>0</v>
          </cell>
        </row>
        <row r="4983">
          <cell r="B4983" t="str">
            <v>VPR-EL19R33001</v>
          </cell>
        </row>
        <row r="4983">
          <cell r="W4983">
            <v>0</v>
          </cell>
        </row>
        <row r="4984">
          <cell r="B4984" t="str">
            <v>GPR-PP04C01039</v>
          </cell>
        </row>
        <row r="4984">
          <cell r="W4984">
            <v>0</v>
          </cell>
        </row>
        <row r="4985">
          <cell r="B4985" t="str">
            <v>GPR-PP04C01044</v>
          </cell>
        </row>
        <row r="4985">
          <cell r="W4985">
            <v>0</v>
          </cell>
        </row>
        <row r="4986">
          <cell r="B4986" t="str">
            <v>GPR-PP05C01002</v>
          </cell>
        </row>
        <row r="4986">
          <cell r="W4986">
            <v>0</v>
          </cell>
        </row>
        <row r="4987">
          <cell r="B4987" t="str">
            <v>GPR-MB18H33001</v>
          </cell>
        </row>
        <row r="4987">
          <cell r="W4987">
            <v>0</v>
          </cell>
        </row>
        <row r="4988">
          <cell r="B4988" t="str">
            <v>GPR-SP20H33003</v>
          </cell>
        </row>
        <row r="4988">
          <cell r="W4988">
            <v>0</v>
          </cell>
        </row>
        <row r="4989">
          <cell r="B4989" t="str">
            <v>GPR-LL07L33001</v>
          </cell>
        </row>
        <row r="4989">
          <cell r="W4989">
            <v>0</v>
          </cell>
        </row>
        <row r="4990">
          <cell r="B4990" t="str">
            <v>GPR-HO11S33004</v>
          </cell>
        </row>
        <row r="4990">
          <cell r="W4990">
            <v>0</v>
          </cell>
        </row>
        <row r="4991">
          <cell r="B4991" t="str">
            <v>GPR-SP19S33001</v>
          </cell>
        </row>
        <row r="4991">
          <cell r="W4991">
            <v>0</v>
          </cell>
        </row>
        <row r="4992">
          <cell r="B4992" t="str">
            <v>GPR-OS03A33002</v>
          </cell>
        </row>
        <row r="4992">
          <cell r="W4992">
            <v>0</v>
          </cell>
        </row>
        <row r="4993">
          <cell r="B4993" t="str">
            <v>102183</v>
          </cell>
        </row>
        <row r="4993">
          <cell r="W4993">
            <v>0</v>
          </cell>
        </row>
        <row r="4994">
          <cell r="B4994" t="str">
            <v>GPR-CL01D33002</v>
          </cell>
        </row>
        <row r="4994">
          <cell r="W4994">
            <v>0</v>
          </cell>
        </row>
        <row r="4995">
          <cell r="B4995" t="str">
            <v>8030020159</v>
          </cell>
        </row>
        <row r="4995">
          <cell r="W4995">
            <v>0</v>
          </cell>
        </row>
        <row r="4996">
          <cell r="B4996" t="str">
            <v>CP-ACVH-001</v>
          </cell>
        </row>
        <row r="4996">
          <cell r="W4996">
            <v>0</v>
          </cell>
        </row>
        <row r="4997">
          <cell r="B4997" t="str">
            <v>GPR-PP04C01040</v>
          </cell>
        </row>
        <row r="4997">
          <cell r="W4997">
            <v>0</v>
          </cell>
        </row>
        <row r="4998">
          <cell r="B4998" t="str">
            <v>GPR-PP03C01009</v>
          </cell>
        </row>
        <row r="4998">
          <cell r="W4998">
            <v>0</v>
          </cell>
        </row>
        <row r="4999">
          <cell r="B4999" t="str">
            <v>GPR-PP10C01001</v>
          </cell>
        </row>
        <row r="4999">
          <cell r="W4999">
            <v>0</v>
          </cell>
        </row>
        <row r="5000">
          <cell r="B5000" t="str">
            <v>GPR-SP20H33001</v>
          </cell>
        </row>
        <row r="5000">
          <cell r="W5000">
            <v>0</v>
          </cell>
        </row>
        <row r="5001">
          <cell r="B5001" t="str">
            <v>GPR-LL01L04001</v>
          </cell>
        </row>
        <row r="5001">
          <cell r="W5001">
            <v>0</v>
          </cell>
        </row>
        <row r="5002">
          <cell r="B5002" t="str">
            <v>GPR-MB31L04001</v>
          </cell>
        </row>
        <row r="5002">
          <cell r="W5002">
            <v>0</v>
          </cell>
        </row>
        <row r="5003">
          <cell r="B5003" t="str">
            <v>8010032993</v>
          </cell>
        </row>
        <row r="5003">
          <cell r="W5003">
            <v>0</v>
          </cell>
        </row>
        <row r="5004">
          <cell r="B5004" t="str">
            <v>CP-MLMT-3.6MIC</v>
          </cell>
        </row>
        <row r="5004">
          <cell r="W5004">
            <v>0</v>
          </cell>
        </row>
        <row r="5005">
          <cell r="B5005" t="str">
            <v>GPR-SP24S33001</v>
          </cell>
        </row>
        <row r="5005">
          <cell r="W5005">
            <v>0</v>
          </cell>
        </row>
        <row r="5006">
          <cell r="B5006" t="str">
            <v>GPR-EL05E33001</v>
          </cell>
        </row>
        <row r="5006">
          <cell r="W5006">
            <v>0</v>
          </cell>
        </row>
        <row r="5007">
          <cell r="B5007" t="str">
            <v>GPR-EL05E33002</v>
          </cell>
        </row>
        <row r="5007">
          <cell r="W5007">
            <v>0</v>
          </cell>
        </row>
        <row r="5008">
          <cell r="B5008" t="str">
            <v>GPR-SA04C33001</v>
          </cell>
        </row>
        <row r="5008">
          <cell r="W5008">
            <v>0</v>
          </cell>
        </row>
        <row r="5009">
          <cell r="B5009" t="str">
            <v>GPR-ME05C33001</v>
          </cell>
        </row>
        <row r="5009">
          <cell r="W5009">
            <v>0</v>
          </cell>
        </row>
        <row r="5010">
          <cell r="B5010" t="str">
            <v>GPR-ME05C33002</v>
          </cell>
        </row>
        <row r="5010">
          <cell r="W5010">
            <v>0</v>
          </cell>
        </row>
        <row r="5011">
          <cell r="B5011" t="str">
            <v>GPR-ME05C33003</v>
          </cell>
        </row>
        <row r="5011">
          <cell r="W5011">
            <v>0</v>
          </cell>
        </row>
        <row r="5012">
          <cell r="B5012" t="str">
            <v>GPR-ME05C33004</v>
          </cell>
        </row>
        <row r="5012">
          <cell r="W5012">
            <v>0</v>
          </cell>
        </row>
        <row r="5013">
          <cell r="B5013" t="str">
            <v>GPR-ME03S01001</v>
          </cell>
        </row>
        <row r="5013">
          <cell r="W5013">
            <v>0</v>
          </cell>
        </row>
        <row r="5014">
          <cell r="B5014" t="str">
            <v>GPR-ME05C33005</v>
          </cell>
        </row>
        <row r="5014">
          <cell r="W5014">
            <v>0</v>
          </cell>
        </row>
        <row r="5015">
          <cell r="B5015" t="str">
            <v>GPR-ME05C33006</v>
          </cell>
        </row>
        <row r="5015">
          <cell r="W5015">
            <v>0</v>
          </cell>
        </row>
        <row r="5016">
          <cell r="B5016" t="str">
            <v>GPR-ME05S33001</v>
          </cell>
        </row>
        <row r="5016">
          <cell r="W5016">
            <v>0</v>
          </cell>
        </row>
        <row r="5017">
          <cell r="B5017" t="str">
            <v>GPR-ME05C33007</v>
          </cell>
        </row>
        <row r="5017">
          <cell r="W5017">
            <v>0</v>
          </cell>
        </row>
        <row r="5018">
          <cell r="B5018" t="str">
            <v>GPR-ME05C33008</v>
          </cell>
        </row>
        <row r="5018">
          <cell r="W5018">
            <v>0</v>
          </cell>
        </row>
        <row r="5019">
          <cell r="B5019" t="str">
            <v>GPR-ME02C33001</v>
          </cell>
        </row>
        <row r="5019">
          <cell r="W5019">
            <v>0</v>
          </cell>
        </row>
        <row r="5020">
          <cell r="B5020" t="str">
            <v>GPR-ME05C33009</v>
          </cell>
        </row>
        <row r="5020">
          <cell r="W5020">
            <v>0</v>
          </cell>
        </row>
        <row r="5021">
          <cell r="B5021" t="str">
            <v>GPR-ME05M33001</v>
          </cell>
        </row>
        <row r="5021">
          <cell r="W5021">
            <v>0</v>
          </cell>
        </row>
        <row r="5022">
          <cell r="B5022" t="str">
            <v>GPR-ME05H33001</v>
          </cell>
        </row>
        <row r="5022">
          <cell r="W5022">
            <v>0</v>
          </cell>
        </row>
        <row r="5023">
          <cell r="B5023" t="str">
            <v>GPR-ME03O01001</v>
          </cell>
        </row>
        <row r="5023">
          <cell r="W5023">
            <v>0</v>
          </cell>
        </row>
        <row r="5024">
          <cell r="B5024" t="str">
            <v>GPR-ME05C33010</v>
          </cell>
        </row>
        <row r="5024">
          <cell r="W5024">
            <v>0</v>
          </cell>
        </row>
        <row r="5025">
          <cell r="B5025" t="str">
            <v>GPR-ME05C33011</v>
          </cell>
        </row>
        <row r="5025">
          <cell r="W5025">
            <v>0</v>
          </cell>
        </row>
        <row r="5026">
          <cell r="B5026" t="str">
            <v>GPR-ME05C33012</v>
          </cell>
        </row>
        <row r="5026">
          <cell r="W5026">
            <v>0</v>
          </cell>
        </row>
        <row r="5027">
          <cell r="B5027" t="str">
            <v>GPR-ME05C33013</v>
          </cell>
        </row>
        <row r="5027">
          <cell r="W5027">
            <v>0</v>
          </cell>
        </row>
        <row r="5028">
          <cell r="B5028" t="str">
            <v>GPR-ME05C33014</v>
          </cell>
        </row>
        <row r="5028">
          <cell r="W5028">
            <v>0</v>
          </cell>
        </row>
        <row r="5029">
          <cell r="B5029" t="str">
            <v>GPR-ME05C33015</v>
          </cell>
        </row>
        <row r="5029">
          <cell r="W5029">
            <v>0</v>
          </cell>
        </row>
        <row r="5030">
          <cell r="B5030" t="str">
            <v>GPR-ME05H33002</v>
          </cell>
        </row>
        <row r="5030">
          <cell r="W5030">
            <v>0</v>
          </cell>
        </row>
        <row r="5031">
          <cell r="B5031" t="str">
            <v>GPR-ME05H33003</v>
          </cell>
        </row>
        <row r="5031">
          <cell r="W5031">
            <v>0</v>
          </cell>
        </row>
        <row r="5032">
          <cell r="B5032" t="str">
            <v>GPR-ME05C33016</v>
          </cell>
        </row>
        <row r="5032">
          <cell r="W5032">
            <v>0</v>
          </cell>
        </row>
        <row r="5033">
          <cell r="B5033" t="str">
            <v>GPR-ME05G33001</v>
          </cell>
        </row>
        <row r="5033">
          <cell r="W5033">
            <v>0</v>
          </cell>
        </row>
        <row r="5034">
          <cell r="B5034" t="str">
            <v>GPR-CL01D33005</v>
          </cell>
        </row>
        <row r="5034">
          <cell r="W5034">
            <v>0</v>
          </cell>
        </row>
        <row r="5035">
          <cell r="B5035" t="str">
            <v>GPR-ME05C33017</v>
          </cell>
        </row>
        <row r="5035">
          <cell r="W5035">
            <v>0</v>
          </cell>
        </row>
        <row r="5036">
          <cell r="B5036" t="str">
            <v>GPR-ME05C33018</v>
          </cell>
        </row>
        <row r="5036">
          <cell r="W5036">
            <v>0</v>
          </cell>
        </row>
        <row r="5037">
          <cell r="B5037" t="str">
            <v>GPR-ME05G33002</v>
          </cell>
        </row>
        <row r="5037">
          <cell r="W5037">
            <v>0</v>
          </cell>
        </row>
        <row r="5038">
          <cell r="B5038" t="str">
            <v>GPR-ME05C33019</v>
          </cell>
        </row>
        <row r="5038">
          <cell r="W5038">
            <v>0</v>
          </cell>
        </row>
        <row r="5039">
          <cell r="B5039" t="str">
            <v>GPR-ME05G33003</v>
          </cell>
        </row>
        <row r="5039">
          <cell r="W5039">
            <v>0</v>
          </cell>
        </row>
        <row r="5040">
          <cell r="B5040" t="str">
            <v>GPR-ME05S33002</v>
          </cell>
        </row>
        <row r="5040">
          <cell r="W5040">
            <v>0</v>
          </cell>
        </row>
        <row r="5041">
          <cell r="B5041" t="str">
            <v>GPR-ME05C33020</v>
          </cell>
        </row>
        <row r="5041">
          <cell r="W5041">
            <v>0</v>
          </cell>
        </row>
        <row r="5042">
          <cell r="B5042" t="str">
            <v>GPR-ME05G33004</v>
          </cell>
        </row>
        <row r="5042">
          <cell r="W5042">
            <v>0</v>
          </cell>
        </row>
        <row r="5043">
          <cell r="B5043" t="str">
            <v>GPR-ME05C33021</v>
          </cell>
        </row>
        <row r="5043">
          <cell r="W5043">
            <v>0</v>
          </cell>
        </row>
        <row r="5044">
          <cell r="B5044" t="str">
            <v>GPR-ME05C33022</v>
          </cell>
        </row>
        <row r="5044">
          <cell r="W5044">
            <v>0</v>
          </cell>
        </row>
        <row r="5045">
          <cell r="B5045" t="str">
            <v>GPR-ME05C33023</v>
          </cell>
        </row>
        <row r="5045">
          <cell r="W5045">
            <v>0</v>
          </cell>
        </row>
        <row r="5046">
          <cell r="B5046" t="str">
            <v>GPR-ME05C33024</v>
          </cell>
        </row>
        <row r="5046">
          <cell r="W5046">
            <v>0</v>
          </cell>
        </row>
        <row r="5047">
          <cell r="B5047" t="str">
            <v>GPR-ME05C33025</v>
          </cell>
        </row>
        <row r="5047">
          <cell r="W5047">
            <v>0</v>
          </cell>
        </row>
        <row r="5048">
          <cell r="B5048" t="str">
            <v>GPR-ME05C33026</v>
          </cell>
        </row>
        <row r="5048">
          <cell r="W5048">
            <v>0</v>
          </cell>
        </row>
        <row r="5049">
          <cell r="B5049" t="str">
            <v>GPR-ME05C33027</v>
          </cell>
        </row>
        <row r="5049">
          <cell r="W5049">
            <v>0</v>
          </cell>
        </row>
        <row r="5050">
          <cell r="B5050" t="str">
            <v>GPR-ME05C33028</v>
          </cell>
        </row>
        <row r="5050">
          <cell r="W5050">
            <v>0</v>
          </cell>
        </row>
        <row r="5051">
          <cell r="B5051" t="str">
            <v>GPR-ME05C33029</v>
          </cell>
        </row>
        <row r="5051">
          <cell r="W5051">
            <v>0</v>
          </cell>
        </row>
        <row r="5052">
          <cell r="B5052" t="str">
            <v>GPR-ME05G33005</v>
          </cell>
        </row>
        <row r="5052">
          <cell r="W5052">
            <v>0</v>
          </cell>
        </row>
        <row r="5053">
          <cell r="B5053" t="str">
            <v>GPR-ME05G33006</v>
          </cell>
        </row>
        <row r="5053">
          <cell r="W5053">
            <v>0</v>
          </cell>
        </row>
        <row r="5054">
          <cell r="B5054" t="str">
            <v>GPR-ME05G33007</v>
          </cell>
        </row>
        <row r="5054">
          <cell r="W5054">
            <v>0</v>
          </cell>
        </row>
        <row r="5055">
          <cell r="B5055" t="str">
            <v>GPR-PN06C33010</v>
          </cell>
        </row>
        <row r="5055">
          <cell r="W5055">
            <v>0</v>
          </cell>
        </row>
        <row r="5056">
          <cell r="B5056" t="str">
            <v>GPR-MB20S33001</v>
          </cell>
        </row>
        <row r="5056">
          <cell r="W5056">
            <v>0</v>
          </cell>
        </row>
        <row r="5057">
          <cell r="B5057" t="str">
            <v>GPR-EQ31C33001</v>
          </cell>
        </row>
        <row r="5057">
          <cell r="W5057">
            <v>0</v>
          </cell>
        </row>
        <row r="5058">
          <cell r="B5058" t="str">
            <v>102152</v>
          </cell>
        </row>
        <row r="5058">
          <cell r="W5058">
            <v>0</v>
          </cell>
        </row>
        <row r="5059">
          <cell r="B5059" t="str">
            <v>GPR-EL03C33006</v>
          </cell>
        </row>
        <row r="5059">
          <cell r="W5059">
            <v>0</v>
          </cell>
        </row>
        <row r="5060">
          <cell r="B5060" t="str">
            <v>GPR-EL03C33007</v>
          </cell>
        </row>
        <row r="5060">
          <cell r="W5060">
            <v>0</v>
          </cell>
        </row>
        <row r="5061">
          <cell r="B5061" t="str">
            <v>GPR-EQ39M21001</v>
          </cell>
        </row>
        <row r="5061">
          <cell r="W5061">
            <v>0</v>
          </cell>
        </row>
        <row r="5062">
          <cell r="B5062" t="str">
            <v>GPR-EL16M33001</v>
          </cell>
        </row>
        <row r="5062">
          <cell r="W5062">
            <v>0</v>
          </cell>
        </row>
        <row r="5063">
          <cell r="B5063" t="str">
            <v>GPR-SP29M21003</v>
          </cell>
        </row>
        <row r="5063">
          <cell r="W5063">
            <v>0</v>
          </cell>
        </row>
        <row r="5064">
          <cell r="B5064" t="str">
            <v>GPR-SP29M21004</v>
          </cell>
        </row>
        <row r="5064">
          <cell r="W5064">
            <v>0</v>
          </cell>
        </row>
        <row r="5065">
          <cell r="B5065" t="str">
            <v>GPR-SP29M21005</v>
          </cell>
        </row>
        <row r="5065">
          <cell r="W5065">
            <v>0</v>
          </cell>
        </row>
        <row r="5066">
          <cell r="B5066" t="str">
            <v>GPR-SP23M21001</v>
          </cell>
        </row>
        <row r="5066">
          <cell r="W5066">
            <v>0</v>
          </cell>
        </row>
        <row r="5067">
          <cell r="B5067" t="str">
            <v>GPR-SP23M21002</v>
          </cell>
        </row>
        <row r="5067">
          <cell r="W5067">
            <v>0</v>
          </cell>
        </row>
        <row r="5068">
          <cell r="B5068" t="str">
            <v>102167</v>
          </cell>
        </row>
        <row r="5068">
          <cell r="W5068">
            <v>0</v>
          </cell>
        </row>
        <row r="5069">
          <cell r="B5069" t="str">
            <v>CP-UPST-003</v>
          </cell>
        </row>
        <row r="5069">
          <cell r="W5069">
            <v>0</v>
          </cell>
        </row>
        <row r="5070">
          <cell r="B5070" t="str">
            <v>GPR-PP07C33001</v>
          </cell>
        </row>
        <row r="5070">
          <cell r="W5070">
            <v>0</v>
          </cell>
        </row>
        <row r="5071">
          <cell r="B5071" t="str">
            <v>GPR-PP07C33003</v>
          </cell>
        </row>
        <row r="5071">
          <cell r="W5071">
            <v>0</v>
          </cell>
        </row>
        <row r="5072">
          <cell r="B5072" t="str">
            <v>CP-MLSW-001</v>
          </cell>
        </row>
        <row r="5072">
          <cell r="W5072">
            <v>3900</v>
          </cell>
        </row>
        <row r="5073">
          <cell r="B5073" t="str">
            <v>102329</v>
          </cell>
        </row>
        <row r="5073">
          <cell r="W5073">
            <v>0</v>
          </cell>
        </row>
        <row r="5074">
          <cell r="B5074" t="str">
            <v>8010031451</v>
          </cell>
        </row>
        <row r="5074">
          <cell r="W5074">
            <v>0</v>
          </cell>
        </row>
        <row r="5075">
          <cell r="B5075" t="str">
            <v>CP-ACHK-001</v>
          </cell>
        </row>
        <row r="5075">
          <cell r="W5075">
            <v>0</v>
          </cell>
        </row>
        <row r="5076">
          <cell r="B5076" t="str">
            <v>GPR-SP22S01001</v>
          </cell>
        </row>
        <row r="5076">
          <cell r="W5076">
            <v>0</v>
          </cell>
        </row>
        <row r="5077">
          <cell r="B5077" t="str">
            <v>CP-MLMT-3MIC</v>
          </cell>
        </row>
        <row r="5077">
          <cell r="W5077">
            <v>7338</v>
          </cell>
        </row>
        <row r="5078">
          <cell r="B5078" t="str">
            <v>CP-MLMT-3MMC</v>
          </cell>
        </row>
        <row r="5078">
          <cell r="W5078">
            <v>962</v>
          </cell>
        </row>
        <row r="5079">
          <cell r="B5079" t="str">
            <v>GPR-OS03H21001</v>
          </cell>
        </row>
        <row r="5079">
          <cell r="W5079">
            <v>0</v>
          </cell>
        </row>
        <row r="5080">
          <cell r="B5080" t="str">
            <v>GPR-MB31M02001</v>
          </cell>
        </row>
        <row r="5080">
          <cell r="W5080">
            <v>0</v>
          </cell>
        </row>
        <row r="5081">
          <cell r="B5081" t="str">
            <v>GPR-MB07S01001</v>
          </cell>
        </row>
        <row r="5081">
          <cell r="W5081">
            <v>0</v>
          </cell>
        </row>
        <row r="5082">
          <cell r="B5082" t="str">
            <v>GPR-MB05M33001</v>
          </cell>
        </row>
        <row r="5082">
          <cell r="W5082">
            <v>0</v>
          </cell>
        </row>
        <row r="5083">
          <cell r="B5083" t="str">
            <v>GPR-WC02E02002</v>
          </cell>
        </row>
        <row r="5083">
          <cell r="W5083">
            <v>0</v>
          </cell>
        </row>
        <row r="5084">
          <cell r="B5084" t="str">
            <v>GPR-EL22C33001</v>
          </cell>
        </row>
        <row r="5084">
          <cell r="W5084">
            <v>0</v>
          </cell>
        </row>
        <row r="5085">
          <cell r="B5085" t="str">
            <v>GPR-PP10C01005</v>
          </cell>
        </row>
        <row r="5085">
          <cell r="W5085">
            <v>0</v>
          </cell>
        </row>
        <row r="5086">
          <cell r="B5086" t="str">
            <v>GPR-PP03C01011</v>
          </cell>
        </row>
        <row r="5086">
          <cell r="W5086">
            <v>0</v>
          </cell>
        </row>
        <row r="5087">
          <cell r="B5087" t="str">
            <v>GPR-PP03C01012</v>
          </cell>
        </row>
        <row r="5087">
          <cell r="W5087">
            <v>0</v>
          </cell>
        </row>
        <row r="5088">
          <cell r="B5088" t="str">
            <v>GPR-PP04C01045</v>
          </cell>
        </row>
        <row r="5088">
          <cell r="W5088">
            <v>0</v>
          </cell>
        </row>
        <row r="5089">
          <cell r="B5089" t="str">
            <v>102153</v>
          </cell>
        </row>
        <row r="5089">
          <cell r="W5089">
            <v>0</v>
          </cell>
        </row>
        <row r="5090">
          <cell r="B5090" t="str">
            <v>GPR-MB13H33001</v>
          </cell>
        </row>
        <row r="5090">
          <cell r="W5090">
            <v>0</v>
          </cell>
        </row>
        <row r="5091">
          <cell r="B5091" t="str">
            <v>GPR-PP07C33004</v>
          </cell>
        </row>
        <row r="5091">
          <cell r="W5091">
            <v>0</v>
          </cell>
        </row>
        <row r="5092">
          <cell r="B5092" t="str">
            <v>GPR-MB33O04004</v>
          </cell>
        </row>
        <row r="5092">
          <cell r="W5092">
            <v>0</v>
          </cell>
        </row>
        <row r="5093">
          <cell r="B5093" t="str">
            <v>GPR-MB27P33001</v>
          </cell>
        </row>
        <row r="5093">
          <cell r="W5093">
            <v>0</v>
          </cell>
        </row>
        <row r="5094">
          <cell r="B5094" t="str">
            <v>GPR-MB27P33002</v>
          </cell>
        </row>
        <row r="5094">
          <cell r="W5094">
            <v>0</v>
          </cell>
        </row>
        <row r="5095">
          <cell r="B5095" t="str">
            <v>GPR-MB27P33003</v>
          </cell>
        </row>
        <row r="5095">
          <cell r="W5095">
            <v>0</v>
          </cell>
        </row>
        <row r="5096">
          <cell r="B5096" t="str">
            <v>GPR-MB08A21001</v>
          </cell>
        </row>
        <row r="5096">
          <cell r="W5096">
            <v>0</v>
          </cell>
        </row>
        <row r="5097">
          <cell r="B5097" t="str">
            <v>GPR-MB08A21002</v>
          </cell>
        </row>
        <row r="5097">
          <cell r="W5097">
            <v>0</v>
          </cell>
        </row>
        <row r="5098">
          <cell r="B5098" t="str">
            <v>GPR-MB26M33001</v>
          </cell>
        </row>
        <row r="5098">
          <cell r="W5098">
            <v>0</v>
          </cell>
        </row>
        <row r="5099">
          <cell r="B5099" t="str">
            <v>GPR-MB26M33002</v>
          </cell>
        </row>
        <row r="5099">
          <cell r="W5099">
            <v>0</v>
          </cell>
        </row>
        <row r="5100">
          <cell r="B5100" t="str">
            <v>GPR-MB30D33001</v>
          </cell>
        </row>
        <row r="5100">
          <cell r="W5100">
            <v>0</v>
          </cell>
        </row>
        <row r="5101">
          <cell r="B5101" t="str">
            <v>GPR-MB30D33002</v>
          </cell>
        </row>
        <row r="5101">
          <cell r="W5101">
            <v>0</v>
          </cell>
        </row>
        <row r="5102">
          <cell r="B5102" t="str">
            <v>GPR-MB30D33003</v>
          </cell>
        </row>
        <row r="5102">
          <cell r="W5102">
            <v>0</v>
          </cell>
        </row>
        <row r="5103">
          <cell r="B5103" t="str">
            <v>GPR-MB30D33004</v>
          </cell>
        </row>
        <row r="5103">
          <cell r="W5103">
            <v>0</v>
          </cell>
        </row>
        <row r="5104">
          <cell r="B5104" t="str">
            <v>GPR-MB30D33005</v>
          </cell>
        </row>
        <row r="5104">
          <cell r="W5104">
            <v>0</v>
          </cell>
        </row>
        <row r="5105">
          <cell r="B5105" t="str">
            <v>GPR-MB30D33006</v>
          </cell>
        </row>
        <row r="5105">
          <cell r="W5105">
            <v>0</v>
          </cell>
        </row>
        <row r="5106">
          <cell r="B5106" t="str">
            <v>GPR-SP03A22001</v>
          </cell>
        </row>
        <row r="5106">
          <cell r="W5106">
            <v>0</v>
          </cell>
        </row>
        <row r="5107">
          <cell r="B5107" t="str">
            <v>GPR-SP03C01001</v>
          </cell>
        </row>
        <row r="5107">
          <cell r="W5107">
            <v>0</v>
          </cell>
        </row>
        <row r="5108">
          <cell r="B5108" t="str">
            <v>GPR-SP33R02009</v>
          </cell>
        </row>
        <row r="5108">
          <cell r="W5108">
            <v>0</v>
          </cell>
        </row>
        <row r="5109">
          <cell r="B5109" t="str">
            <v>GPR-PP01H33001</v>
          </cell>
        </row>
        <row r="5109">
          <cell r="W5109">
            <v>0</v>
          </cell>
        </row>
        <row r="5110">
          <cell r="B5110" t="str">
            <v>GPR-FD03F14001</v>
          </cell>
        </row>
        <row r="5110">
          <cell r="W5110">
            <v>0</v>
          </cell>
        </row>
        <row r="5111">
          <cell r="B5111" t="str">
            <v>CP-UPNT-002</v>
          </cell>
        </row>
        <row r="5111">
          <cell r="W5111">
            <v>0</v>
          </cell>
        </row>
        <row r="5112">
          <cell r="B5112" t="str">
            <v>CP-UPNT-003</v>
          </cell>
        </row>
        <row r="5112">
          <cell r="W5112">
            <v>7500</v>
          </cell>
        </row>
        <row r="5113">
          <cell r="B5113" t="str">
            <v>GPR-PP04C33001</v>
          </cell>
        </row>
        <row r="5113">
          <cell r="W5113">
            <v>0</v>
          </cell>
        </row>
        <row r="5114">
          <cell r="B5114" t="str">
            <v>102172</v>
          </cell>
        </row>
        <row r="5114">
          <cell r="W5114">
            <v>0</v>
          </cell>
        </row>
        <row r="5115">
          <cell r="B5115" t="str">
            <v>102245</v>
          </cell>
        </row>
        <row r="5115">
          <cell r="W5115">
            <v>0</v>
          </cell>
        </row>
        <row r="5116">
          <cell r="B5116" t="str">
            <v>102187</v>
          </cell>
        </row>
        <row r="5116">
          <cell r="W5116">
            <v>0</v>
          </cell>
        </row>
        <row r="5117">
          <cell r="B5117" t="str">
            <v>CP-ACMH-001</v>
          </cell>
        </row>
        <row r="5117">
          <cell r="W5117">
            <v>0</v>
          </cell>
        </row>
        <row r="5118">
          <cell r="B5118" t="str">
            <v>CP-ACCB-001</v>
          </cell>
        </row>
        <row r="5118">
          <cell r="W5118">
            <v>7555</v>
          </cell>
        </row>
        <row r="5119">
          <cell r="B5119" t="str">
            <v>CP-ACSC-001</v>
          </cell>
        </row>
        <row r="5119">
          <cell r="W5119">
            <v>0</v>
          </cell>
        </row>
        <row r="5120">
          <cell r="B5120" t="str">
            <v>CP-ACWR-001</v>
          </cell>
        </row>
        <row r="5120">
          <cell r="W5120">
            <v>0</v>
          </cell>
        </row>
        <row r="5121">
          <cell r="B5121" t="str">
            <v>102159</v>
          </cell>
        </row>
        <row r="5121">
          <cell r="W5121">
            <v>0</v>
          </cell>
        </row>
        <row r="5122">
          <cell r="B5122" t="str">
            <v>102246</v>
          </cell>
        </row>
        <row r="5122">
          <cell r="W5122">
            <v>0</v>
          </cell>
        </row>
        <row r="5123">
          <cell r="B5123" t="str">
            <v>CP-PKMS-76</v>
          </cell>
        </row>
        <row r="5123">
          <cell r="W5123">
            <v>0</v>
          </cell>
        </row>
        <row r="5124">
          <cell r="B5124" t="str">
            <v>GPR-EQ09C11001</v>
          </cell>
        </row>
        <row r="5124">
          <cell r="W5124">
            <v>0</v>
          </cell>
        </row>
        <row r="5125">
          <cell r="B5125" t="str">
            <v>8010040798</v>
          </cell>
        </row>
        <row r="5125">
          <cell r="W5125">
            <v>0</v>
          </cell>
        </row>
        <row r="5126">
          <cell r="B5126" t="str">
            <v>102157</v>
          </cell>
        </row>
        <row r="5126">
          <cell r="W5126">
            <v>0</v>
          </cell>
        </row>
        <row r="5127">
          <cell r="B5127" t="str">
            <v>GPR-EQ09C15012</v>
          </cell>
        </row>
        <row r="5127">
          <cell r="W5127">
            <v>0</v>
          </cell>
        </row>
        <row r="5128">
          <cell r="B5128" t="str">
            <v>GPR-EQ09C01001</v>
          </cell>
        </row>
        <row r="5128">
          <cell r="W5128">
            <v>0</v>
          </cell>
        </row>
        <row r="5129">
          <cell r="B5129" t="str">
            <v>GPR-EQ09C11002</v>
          </cell>
        </row>
        <row r="5129">
          <cell r="W5129">
            <v>0</v>
          </cell>
        </row>
        <row r="5130">
          <cell r="B5130" t="str">
            <v>GPR-EQ09C13001</v>
          </cell>
        </row>
        <row r="5130">
          <cell r="W5130">
            <v>0</v>
          </cell>
        </row>
        <row r="5131">
          <cell r="B5131" t="str">
            <v>GPR-EQ09C14001</v>
          </cell>
        </row>
        <row r="5131">
          <cell r="W5131">
            <v>0</v>
          </cell>
        </row>
        <row r="5132">
          <cell r="B5132" t="str">
            <v>GPR-EQ09C15013</v>
          </cell>
        </row>
        <row r="5132">
          <cell r="W5132">
            <v>0</v>
          </cell>
        </row>
        <row r="5133">
          <cell r="B5133" t="str">
            <v>102162</v>
          </cell>
        </row>
        <row r="5133">
          <cell r="W5133">
            <v>0</v>
          </cell>
        </row>
        <row r="5134">
          <cell r="B5134" t="str">
            <v>GPR-PN06O01001</v>
          </cell>
        </row>
        <row r="5134">
          <cell r="W5134">
            <v>0</v>
          </cell>
        </row>
        <row r="5135">
          <cell r="B5135" t="str">
            <v>GPR-HO06L33001</v>
          </cell>
        </row>
        <row r="5135">
          <cell r="W5135">
            <v>0</v>
          </cell>
        </row>
        <row r="5136">
          <cell r="B5136" t="str">
            <v>GPR-OS08L33001</v>
          </cell>
        </row>
        <row r="5136">
          <cell r="W5136">
            <v>0</v>
          </cell>
        </row>
        <row r="5137">
          <cell r="B5137" t="str">
            <v>GPR-OS08S33001</v>
          </cell>
        </row>
        <row r="5137">
          <cell r="W5137">
            <v>0</v>
          </cell>
        </row>
        <row r="5138">
          <cell r="B5138" t="str">
            <v>GPR-EL12S33001</v>
          </cell>
        </row>
        <row r="5138">
          <cell r="W5138">
            <v>0</v>
          </cell>
        </row>
        <row r="5139">
          <cell r="B5139" t="str">
            <v>GPR-EQ29S33001</v>
          </cell>
        </row>
        <row r="5139">
          <cell r="W5139">
            <v>0</v>
          </cell>
        </row>
        <row r="5140">
          <cell r="B5140" t="str">
            <v>GPR-EQ28L33001</v>
          </cell>
        </row>
        <row r="5140">
          <cell r="W5140">
            <v>0</v>
          </cell>
        </row>
        <row r="5141">
          <cell r="B5141" t="str">
            <v>102164</v>
          </cell>
        </row>
        <row r="5141">
          <cell r="W5141">
            <v>0</v>
          </cell>
        </row>
        <row r="5142">
          <cell r="B5142" t="str">
            <v>102165</v>
          </cell>
        </row>
        <row r="5142">
          <cell r="W5142">
            <v>0</v>
          </cell>
        </row>
        <row r="5143">
          <cell r="B5143" t="str">
            <v>GPR-SP37R33001</v>
          </cell>
        </row>
        <row r="5143">
          <cell r="W5143">
            <v>0</v>
          </cell>
        </row>
        <row r="5144">
          <cell r="B5144" t="str">
            <v>GPR-MB38A21004</v>
          </cell>
        </row>
        <row r="5144">
          <cell r="W5144">
            <v>0</v>
          </cell>
        </row>
        <row r="5145">
          <cell r="B5145" t="str">
            <v>GPR-MB38A21005</v>
          </cell>
        </row>
        <row r="5145">
          <cell r="W5145">
            <v>0</v>
          </cell>
        </row>
        <row r="5146">
          <cell r="B5146" t="str">
            <v>GPR-MB38A21006</v>
          </cell>
        </row>
        <row r="5146">
          <cell r="W5146">
            <v>0</v>
          </cell>
        </row>
        <row r="5147">
          <cell r="B5147" t="str">
            <v>GPR-MB38A21007</v>
          </cell>
        </row>
        <row r="5147">
          <cell r="W5147">
            <v>0</v>
          </cell>
        </row>
        <row r="5148">
          <cell r="B5148" t="str">
            <v>GPR-MB38A21008</v>
          </cell>
        </row>
        <row r="5148">
          <cell r="W5148">
            <v>0</v>
          </cell>
        </row>
        <row r="5149">
          <cell r="B5149" t="str">
            <v>GPR-MB38A21009</v>
          </cell>
        </row>
        <row r="5149">
          <cell r="W5149">
            <v>0</v>
          </cell>
        </row>
        <row r="5150">
          <cell r="B5150" t="str">
            <v>GPR-SP18R21001</v>
          </cell>
        </row>
        <row r="5150">
          <cell r="W5150">
            <v>0</v>
          </cell>
        </row>
        <row r="5151">
          <cell r="B5151" t="str">
            <v>GPR-OS03P01005</v>
          </cell>
        </row>
        <row r="5151">
          <cell r="W5151">
            <v>0</v>
          </cell>
        </row>
        <row r="5152">
          <cell r="B5152" t="str">
            <v>102185</v>
          </cell>
        </row>
        <row r="5152">
          <cell r="W5152">
            <v>0</v>
          </cell>
        </row>
        <row r="5153">
          <cell r="B5153" t="str">
            <v>102171</v>
          </cell>
        </row>
        <row r="5153">
          <cell r="W5153">
            <v>0</v>
          </cell>
        </row>
        <row r="5154">
          <cell r="B5154" t="str">
            <v>102163</v>
          </cell>
        </row>
        <row r="5154">
          <cell r="W5154">
            <v>0</v>
          </cell>
        </row>
        <row r="5155">
          <cell r="B5155" t="str">
            <v>GPR-OT02R02011</v>
          </cell>
        </row>
        <row r="5155">
          <cell r="W5155">
            <v>0</v>
          </cell>
        </row>
        <row r="5156">
          <cell r="B5156" t="str">
            <v>GPR-AP13E33001</v>
          </cell>
        </row>
        <row r="5156">
          <cell r="W5156">
            <v>0</v>
          </cell>
        </row>
        <row r="5157">
          <cell r="B5157" t="str">
            <v>102168</v>
          </cell>
        </row>
        <row r="5157">
          <cell r="W5157">
            <v>0</v>
          </cell>
        </row>
        <row r="5158">
          <cell r="B5158" t="str">
            <v>102169</v>
          </cell>
        </row>
        <row r="5158">
          <cell r="W5158">
            <v>0</v>
          </cell>
        </row>
        <row r="5159">
          <cell r="B5159" t="str">
            <v>102170</v>
          </cell>
        </row>
        <row r="5159">
          <cell r="W5159">
            <v>0</v>
          </cell>
        </row>
        <row r="5160">
          <cell r="B5160" t="str">
            <v>102188</v>
          </cell>
        </row>
        <row r="5160">
          <cell r="W5160">
            <v>0</v>
          </cell>
        </row>
        <row r="5161">
          <cell r="B5161" t="str">
            <v>8010040800</v>
          </cell>
        </row>
        <row r="5161">
          <cell r="W5161">
            <v>0</v>
          </cell>
        </row>
        <row r="5162">
          <cell r="B5162" t="str">
            <v>GPR-EL10C01002</v>
          </cell>
        </row>
        <row r="5162">
          <cell r="W5162">
            <v>0</v>
          </cell>
        </row>
        <row r="5163">
          <cell r="B5163" t="str">
            <v>80090920</v>
          </cell>
        </row>
        <row r="5163">
          <cell r="W5163">
            <v>0</v>
          </cell>
        </row>
        <row r="5164">
          <cell r="B5164" t="str">
            <v>GPR-SA06O01001</v>
          </cell>
        </row>
        <row r="5164">
          <cell r="W5164">
            <v>0</v>
          </cell>
        </row>
        <row r="5165">
          <cell r="B5165" t="str">
            <v>GPR-SA06O33001</v>
          </cell>
        </row>
        <row r="5165">
          <cell r="W5165">
            <v>0</v>
          </cell>
        </row>
        <row r="5166">
          <cell r="B5166" t="str">
            <v>102173</v>
          </cell>
        </row>
        <row r="5166">
          <cell r="W5166">
            <v>0</v>
          </cell>
        </row>
        <row r="5167">
          <cell r="B5167" t="str">
            <v>102175</v>
          </cell>
        </row>
        <row r="5167">
          <cell r="W5167">
            <v>0</v>
          </cell>
        </row>
        <row r="5168">
          <cell r="B5168" t="str">
            <v>102247</v>
          </cell>
        </row>
        <row r="5168">
          <cell r="W5168">
            <v>0</v>
          </cell>
        </row>
        <row r="5169">
          <cell r="B5169" t="str">
            <v>8010036927</v>
          </cell>
        </row>
        <row r="5169">
          <cell r="W5169">
            <v>0</v>
          </cell>
        </row>
        <row r="5170">
          <cell r="B5170" t="str">
            <v>80516585</v>
          </cell>
        </row>
        <row r="5170">
          <cell r="W5170">
            <v>0</v>
          </cell>
        </row>
        <row r="5171">
          <cell r="B5171" t="str">
            <v>CP-MLMB-IC600</v>
          </cell>
        </row>
        <row r="5171">
          <cell r="W5171">
            <v>0</v>
          </cell>
        </row>
        <row r="5172">
          <cell r="B5172" t="str">
            <v>CP-MLVT-0.6MIC</v>
          </cell>
        </row>
        <row r="5172">
          <cell r="W5172">
            <v>22375</v>
          </cell>
        </row>
        <row r="5173">
          <cell r="B5173" t="str">
            <v>8030020865</v>
          </cell>
        </row>
        <row r="5173">
          <cell r="W5173">
            <v>0</v>
          </cell>
        </row>
        <row r="5174">
          <cell r="B5174" t="str">
            <v>8030020421</v>
          </cell>
        </row>
        <row r="5174">
          <cell r="W5174">
            <v>0</v>
          </cell>
        </row>
        <row r="5175">
          <cell r="B5175" t="str">
            <v>102176</v>
          </cell>
        </row>
        <row r="5175">
          <cell r="W5175">
            <v>0</v>
          </cell>
        </row>
        <row r="5176">
          <cell r="B5176" t="str">
            <v>102177</v>
          </cell>
        </row>
        <row r="5176">
          <cell r="W5176">
            <v>0</v>
          </cell>
        </row>
        <row r="5177">
          <cell r="B5177" t="str">
            <v>CP-MLVT-1.2MIC</v>
          </cell>
        </row>
        <row r="5177">
          <cell r="W5177">
            <v>50</v>
          </cell>
        </row>
        <row r="5178">
          <cell r="B5178" t="str">
            <v>CP-MLVT-1.2MMC</v>
          </cell>
        </row>
        <row r="5178">
          <cell r="W5178">
            <v>1472</v>
          </cell>
        </row>
        <row r="5179">
          <cell r="B5179" t="str">
            <v>102358</v>
          </cell>
        </row>
        <row r="5179">
          <cell r="W5179">
            <v>0</v>
          </cell>
        </row>
        <row r="5180">
          <cell r="B5180" t="str">
            <v>102189</v>
          </cell>
        </row>
        <row r="5180">
          <cell r="W5180">
            <v>0</v>
          </cell>
        </row>
        <row r="5181">
          <cell r="B5181" t="str">
            <v>102192</v>
          </cell>
        </row>
        <row r="5181">
          <cell r="W5181">
            <v>0</v>
          </cell>
        </row>
        <row r="5182">
          <cell r="B5182" t="str">
            <v>102184</v>
          </cell>
        </row>
        <row r="5182">
          <cell r="W5182">
            <v>0</v>
          </cell>
        </row>
        <row r="5183">
          <cell r="B5183" t="str">
            <v>102193</v>
          </cell>
        </row>
        <row r="5183">
          <cell r="W5183">
            <v>0</v>
          </cell>
        </row>
        <row r="5184">
          <cell r="B5184" t="str">
            <v>102194</v>
          </cell>
        </row>
        <row r="5184">
          <cell r="W5184">
            <v>0</v>
          </cell>
        </row>
        <row r="5185">
          <cell r="B5185" t="str">
            <v>102195</v>
          </cell>
        </row>
        <row r="5185">
          <cell r="W5185">
            <v>0</v>
          </cell>
        </row>
        <row r="5186">
          <cell r="B5186" t="str">
            <v>GPR-PT10M21001</v>
          </cell>
        </row>
        <row r="5186">
          <cell r="W5186">
            <v>0</v>
          </cell>
        </row>
        <row r="5187">
          <cell r="B5187" t="str">
            <v>CP-APTK-002</v>
          </cell>
        </row>
        <row r="5187">
          <cell r="W5187">
            <v>0</v>
          </cell>
        </row>
        <row r="5188">
          <cell r="B5188" t="str">
            <v>102197</v>
          </cell>
        </row>
        <row r="5188">
          <cell r="W5188">
            <v>0</v>
          </cell>
        </row>
        <row r="5189">
          <cell r="B5189" t="str">
            <v>102248</v>
          </cell>
        </row>
        <row r="5189">
          <cell r="W5189">
            <v>0</v>
          </cell>
        </row>
        <row r="5190">
          <cell r="B5190" t="str">
            <v>102200</v>
          </cell>
        </row>
        <row r="5190">
          <cell r="W5190">
            <v>0</v>
          </cell>
        </row>
        <row r="5191">
          <cell r="B5191" t="str">
            <v>102201</v>
          </cell>
        </row>
        <row r="5191">
          <cell r="W5191">
            <v>0</v>
          </cell>
        </row>
        <row r="5192">
          <cell r="B5192" t="str">
            <v>102285</v>
          </cell>
        </row>
        <row r="5192">
          <cell r="W5192">
            <v>0</v>
          </cell>
        </row>
        <row r="5193">
          <cell r="B5193" t="str">
            <v>102202</v>
          </cell>
        </row>
        <row r="5193">
          <cell r="W5193">
            <v>0</v>
          </cell>
        </row>
        <row r="5194">
          <cell r="B5194" t="str">
            <v>102203</v>
          </cell>
        </row>
        <row r="5194">
          <cell r="W5194">
            <v>0</v>
          </cell>
        </row>
        <row r="5195">
          <cell r="B5195" t="str">
            <v>102204</v>
          </cell>
        </row>
        <row r="5195">
          <cell r="W5195">
            <v>0</v>
          </cell>
        </row>
        <row r="5196">
          <cell r="B5196" t="str">
            <v>102205</v>
          </cell>
        </row>
        <row r="5196">
          <cell r="W5196">
            <v>0</v>
          </cell>
        </row>
        <row r="5197">
          <cell r="B5197" t="str">
            <v>102206</v>
          </cell>
        </row>
        <row r="5197">
          <cell r="W5197">
            <v>0</v>
          </cell>
        </row>
        <row r="5198">
          <cell r="B5198" t="str">
            <v>102207</v>
          </cell>
        </row>
        <row r="5198">
          <cell r="W5198">
            <v>0</v>
          </cell>
        </row>
        <row r="5199">
          <cell r="B5199" t="str">
            <v>GPR-HS03R00002</v>
          </cell>
        </row>
        <row r="5199">
          <cell r="W5199">
            <v>0</v>
          </cell>
        </row>
        <row r="5200">
          <cell r="B5200" t="str">
            <v>102199</v>
          </cell>
        </row>
        <row r="5200">
          <cell r="W5200">
            <v>0</v>
          </cell>
        </row>
        <row r="5201">
          <cell r="B5201" t="str">
            <v>102209</v>
          </cell>
        </row>
        <row r="5201">
          <cell r="W5201">
            <v>0</v>
          </cell>
        </row>
        <row r="5202">
          <cell r="B5202" t="str">
            <v>102210</v>
          </cell>
        </row>
        <row r="5202">
          <cell r="W5202">
            <v>0</v>
          </cell>
        </row>
        <row r="5203">
          <cell r="B5203" t="str">
            <v>102211</v>
          </cell>
        </row>
        <row r="5203">
          <cell r="W5203">
            <v>0</v>
          </cell>
        </row>
        <row r="5204">
          <cell r="B5204" t="str">
            <v>102212</v>
          </cell>
        </row>
        <row r="5204">
          <cell r="W5204">
            <v>0</v>
          </cell>
        </row>
        <row r="5205">
          <cell r="B5205" t="str">
            <v>102213</v>
          </cell>
        </row>
        <row r="5205">
          <cell r="W5205">
            <v>0</v>
          </cell>
        </row>
        <row r="5206">
          <cell r="B5206" t="str">
            <v>102214</v>
          </cell>
        </row>
        <row r="5206">
          <cell r="W5206">
            <v>0</v>
          </cell>
        </row>
        <row r="5207">
          <cell r="B5207" t="str">
            <v>102215</v>
          </cell>
        </row>
        <row r="5207">
          <cell r="W5207">
            <v>0</v>
          </cell>
        </row>
        <row r="5208">
          <cell r="B5208" t="str">
            <v>102249</v>
          </cell>
        </row>
        <row r="5208">
          <cell r="W5208">
            <v>0</v>
          </cell>
        </row>
        <row r="5209">
          <cell r="B5209" t="str">
            <v>GPR-ME03G21001</v>
          </cell>
        </row>
        <row r="5209">
          <cell r="W5209">
            <v>0</v>
          </cell>
        </row>
        <row r="5210">
          <cell r="B5210" t="str">
            <v>102250</v>
          </cell>
        </row>
        <row r="5210">
          <cell r="W5210">
            <v>0</v>
          </cell>
        </row>
        <row r="5211">
          <cell r="B5211" t="str">
            <v>102251</v>
          </cell>
        </row>
        <row r="5211">
          <cell r="W5211">
            <v>0</v>
          </cell>
        </row>
        <row r="5212">
          <cell r="B5212" t="str">
            <v>102254</v>
          </cell>
        </row>
        <row r="5212">
          <cell r="W5212">
            <v>0</v>
          </cell>
        </row>
        <row r="5213">
          <cell r="B5213" t="str">
            <v>102255</v>
          </cell>
        </row>
        <row r="5213">
          <cell r="W5213">
            <v>0</v>
          </cell>
        </row>
        <row r="5214">
          <cell r="B5214" t="str">
            <v>102219</v>
          </cell>
        </row>
        <row r="5214">
          <cell r="W5214">
            <v>0</v>
          </cell>
        </row>
        <row r="5215">
          <cell r="B5215" t="str">
            <v>102220</v>
          </cell>
        </row>
        <row r="5215">
          <cell r="W5215">
            <v>0</v>
          </cell>
        </row>
        <row r="5216">
          <cell r="B5216" t="str">
            <v>102198</v>
          </cell>
        </row>
        <row r="5216">
          <cell r="W5216">
            <v>0</v>
          </cell>
        </row>
        <row r="5217">
          <cell r="B5217" t="str">
            <v>102218</v>
          </cell>
        </row>
        <row r="5217">
          <cell r="W5217">
            <v>0</v>
          </cell>
        </row>
        <row r="5218">
          <cell r="B5218" t="str">
            <v>102256</v>
          </cell>
        </row>
        <row r="5218">
          <cell r="W5218">
            <v>0</v>
          </cell>
        </row>
        <row r="5219">
          <cell r="B5219" t="str">
            <v>0110315</v>
          </cell>
        </row>
        <row r="5219">
          <cell r="W5219">
            <v>10</v>
          </cell>
        </row>
        <row r="5220">
          <cell r="B5220" t="str">
            <v>GPR-WC01S21001</v>
          </cell>
        </row>
        <row r="5220">
          <cell r="W5220">
            <v>0</v>
          </cell>
        </row>
        <row r="5221">
          <cell r="B5221" t="str">
            <v>102228</v>
          </cell>
        </row>
        <row r="5221">
          <cell r="W5221">
            <v>0</v>
          </cell>
        </row>
        <row r="5222">
          <cell r="B5222" t="str">
            <v>102229</v>
          </cell>
        </row>
        <row r="5222">
          <cell r="W5222">
            <v>0</v>
          </cell>
        </row>
        <row r="5223">
          <cell r="B5223" t="str">
            <v>102224</v>
          </cell>
        </row>
        <row r="5223">
          <cell r="W5223">
            <v>0</v>
          </cell>
        </row>
        <row r="5224">
          <cell r="B5224" t="str">
            <v>102227</v>
          </cell>
        </row>
        <row r="5224">
          <cell r="W5224">
            <v>0</v>
          </cell>
        </row>
        <row r="5225">
          <cell r="B5225" t="str">
            <v>102158</v>
          </cell>
        </row>
        <row r="5225">
          <cell r="W5225">
            <v>0</v>
          </cell>
        </row>
        <row r="5226">
          <cell r="B5226" t="str">
            <v>102160</v>
          </cell>
        </row>
        <row r="5226">
          <cell r="W5226">
            <v>0</v>
          </cell>
        </row>
        <row r="5227">
          <cell r="B5227" t="str">
            <v>102161</v>
          </cell>
        </row>
        <row r="5227">
          <cell r="W5227">
            <v>0</v>
          </cell>
        </row>
        <row r="5228">
          <cell r="B5228" t="str">
            <v>GPR-CL01D33001</v>
          </cell>
        </row>
        <row r="5228">
          <cell r="W5228">
            <v>0</v>
          </cell>
        </row>
        <row r="5229">
          <cell r="B5229" t="str">
            <v>GPR-CL01D33003</v>
          </cell>
        </row>
        <row r="5229">
          <cell r="W5229">
            <v>0</v>
          </cell>
        </row>
        <row r="5230">
          <cell r="B5230" t="str">
            <v>GPR-CL01D33004</v>
          </cell>
        </row>
        <row r="5230">
          <cell r="W5230">
            <v>0</v>
          </cell>
        </row>
        <row r="5231">
          <cell r="B5231" t="str">
            <v>GPR-EQ14S33001</v>
          </cell>
        </row>
        <row r="5231">
          <cell r="W5231">
            <v>0</v>
          </cell>
        </row>
        <row r="5232">
          <cell r="B5232" t="str">
            <v>GPR-CL01D02002</v>
          </cell>
        </row>
        <row r="5232">
          <cell r="W5232">
            <v>0</v>
          </cell>
        </row>
        <row r="5233">
          <cell r="B5233" t="str">
            <v>CP-PKMK-6M</v>
          </cell>
        </row>
        <row r="5233">
          <cell r="W5233">
            <v>0</v>
          </cell>
        </row>
        <row r="5234">
          <cell r="B5234" t="str">
            <v>3.17.03.0032</v>
          </cell>
        </row>
        <row r="5234">
          <cell r="W5234">
            <v>0</v>
          </cell>
        </row>
        <row r="5235">
          <cell r="B5235" t="str">
            <v>8010036502</v>
          </cell>
        </row>
        <row r="5235">
          <cell r="W5235">
            <v>0</v>
          </cell>
        </row>
        <row r="5236">
          <cell r="B5236" t="str">
            <v>80516584</v>
          </cell>
        </row>
        <row r="5236">
          <cell r="W5236">
            <v>100</v>
          </cell>
        </row>
        <row r="5237">
          <cell r="B5237" t="str">
            <v>CP-AP600-001</v>
          </cell>
        </row>
        <row r="5237">
          <cell r="W5237">
            <v>202</v>
          </cell>
        </row>
        <row r="5238">
          <cell r="B5238" t="str">
            <v>8010072836</v>
          </cell>
        </row>
        <row r="5238">
          <cell r="W5238">
            <v>0</v>
          </cell>
        </row>
        <row r="5239">
          <cell r="B5239" t="str">
            <v>102330</v>
          </cell>
        </row>
        <row r="5239">
          <cell r="W5239">
            <v>0</v>
          </cell>
        </row>
        <row r="5240">
          <cell r="B5240" t="str">
            <v>102235</v>
          </cell>
        </row>
        <row r="5240">
          <cell r="W5240">
            <v>0</v>
          </cell>
        </row>
        <row r="5241">
          <cell r="B5241" t="str">
            <v>CP-PKMK-3.2M</v>
          </cell>
        </row>
        <row r="5241">
          <cell r="W5241">
            <v>0</v>
          </cell>
        </row>
        <row r="5242">
          <cell r="B5242" t="str">
            <v>102312</v>
          </cell>
        </row>
        <row r="5242">
          <cell r="W5242">
            <v>0</v>
          </cell>
        </row>
        <row r="5243">
          <cell r="B5243" t="str">
            <v>102313</v>
          </cell>
        </row>
        <row r="5243">
          <cell r="W5243">
            <v>0</v>
          </cell>
        </row>
        <row r="5244">
          <cell r="B5244" t="str">
            <v>CP-AP595-001</v>
          </cell>
        </row>
        <row r="5244">
          <cell r="W5244">
            <v>1042</v>
          </cell>
        </row>
        <row r="5245">
          <cell r="B5245" t="str">
            <v>102318</v>
          </cell>
        </row>
        <row r="5245">
          <cell r="W5245">
            <v>0</v>
          </cell>
        </row>
        <row r="5246">
          <cell r="B5246" t="str">
            <v>102270</v>
          </cell>
        </row>
        <row r="5246">
          <cell r="W5246">
            <v>0</v>
          </cell>
        </row>
        <row r="5247">
          <cell r="B5247" t="str">
            <v>80516513</v>
          </cell>
        </row>
        <row r="5247">
          <cell r="W5247">
            <v>0</v>
          </cell>
        </row>
        <row r="5248">
          <cell r="B5248" t="str">
            <v>GPR-AP08R01001</v>
          </cell>
        </row>
        <row r="5248">
          <cell r="W5248">
            <v>0</v>
          </cell>
        </row>
        <row r="5249">
          <cell r="B5249" t="str">
            <v>102293</v>
          </cell>
        </row>
        <row r="5249">
          <cell r="W5249">
            <v>0</v>
          </cell>
        </row>
        <row r="5250">
          <cell r="B5250" t="str">
            <v>102319</v>
          </cell>
        </row>
        <row r="5250">
          <cell r="W5250">
            <v>0</v>
          </cell>
        </row>
        <row r="5251">
          <cell r="B5251" t="str">
            <v>8010036757</v>
          </cell>
        </row>
        <row r="5251">
          <cell r="W5251">
            <v>0</v>
          </cell>
        </row>
        <row r="5252">
          <cell r="B5252" t="str">
            <v>CP-AP300-002</v>
          </cell>
        </row>
        <row r="5252">
          <cell r="W5252">
            <v>432</v>
          </cell>
        </row>
        <row r="5253">
          <cell r="B5253" t="str">
            <v>CP-PKTK-6M</v>
          </cell>
        </row>
        <row r="5253">
          <cell r="W5253">
            <v>0</v>
          </cell>
        </row>
        <row r="5254">
          <cell r="B5254" t="str">
            <v>CP-ACMK-3.6M</v>
          </cell>
        </row>
        <row r="5254">
          <cell r="W5254">
            <v>0</v>
          </cell>
        </row>
        <row r="5255">
          <cell r="B5255" t="str">
            <v>CP-ACMK-3M</v>
          </cell>
        </row>
        <row r="5255">
          <cell r="W5255">
            <v>-800</v>
          </cell>
        </row>
        <row r="5256">
          <cell r="B5256" t="str">
            <v>6900010080185</v>
          </cell>
        </row>
        <row r="5256">
          <cell r="W5256">
            <v>0</v>
          </cell>
        </row>
        <row r="5257">
          <cell r="B5257" t="str">
            <v>CP-APSL-001</v>
          </cell>
        </row>
        <row r="5257">
          <cell r="W5257">
            <v>1219</v>
          </cell>
        </row>
        <row r="5258">
          <cell r="B5258" t="str">
            <v>CP-ACSK-001</v>
          </cell>
        </row>
        <row r="5258">
          <cell r="W5258">
            <v>-480</v>
          </cell>
        </row>
        <row r="5259">
          <cell r="B5259" t="str">
            <v>8030020054</v>
          </cell>
        </row>
        <row r="5259">
          <cell r="W5259">
            <v>0</v>
          </cell>
        </row>
        <row r="5260">
          <cell r="B5260" t="str">
            <v>102324</v>
          </cell>
        </row>
        <row r="5260">
          <cell r="W5260">
            <v>0</v>
          </cell>
        </row>
        <row r="5261">
          <cell r="B5261" t="str">
            <v>CP-MLSP-MC600</v>
          </cell>
        </row>
        <row r="5261">
          <cell r="W5261">
            <v>-153</v>
          </cell>
        </row>
        <row r="5262">
          <cell r="B5262" t="str">
            <v>102430</v>
          </cell>
        </row>
        <row r="5262">
          <cell r="W5262">
            <v>0</v>
          </cell>
        </row>
        <row r="5263">
          <cell r="B5263" t="str">
            <v>CP-MLMB-IC1200</v>
          </cell>
        </row>
        <row r="5263">
          <cell r="W5263">
            <v>2340</v>
          </cell>
        </row>
        <row r="5264">
          <cell r="B5264" t="str">
            <v>8010030407</v>
          </cell>
        </row>
        <row r="5264">
          <cell r="W5264">
            <v>0</v>
          </cell>
        </row>
        <row r="5265">
          <cell r="B5265" t="str">
            <v>8010025333</v>
          </cell>
        </row>
        <row r="5265">
          <cell r="W5265">
            <v>1</v>
          </cell>
        </row>
        <row r="5266">
          <cell r="B5266" t="str">
            <v>8010030504</v>
          </cell>
        </row>
        <row r="5266">
          <cell r="W5266">
            <v>0</v>
          </cell>
        </row>
        <row r="5267">
          <cell r="B5267" t="str">
            <v>102511</v>
          </cell>
        </row>
        <row r="5267">
          <cell r="W5267">
            <v>0</v>
          </cell>
        </row>
        <row r="5268">
          <cell r="B5268" t="str">
            <v>8010030459</v>
          </cell>
        </row>
        <row r="5268">
          <cell r="W5268">
            <v>0</v>
          </cell>
        </row>
        <row r="5269">
          <cell r="B5269" t="str">
            <v>CP-MLVT-1.2MMC-1</v>
          </cell>
        </row>
        <row r="5269">
          <cell r="W5269">
            <v>0</v>
          </cell>
        </row>
        <row r="5270">
          <cell r="B5270" t="str">
            <v>80516433</v>
          </cell>
        </row>
        <row r="5270">
          <cell r="W5270">
            <v>1</v>
          </cell>
        </row>
        <row r="5271">
          <cell r="B5271" t="str">
            <v>8010062294</v>
          </cell>
        </row>
        <row r="5271">
          <cell r="W5271">
            <v>0</v>
          </cell>
        </row>
        <row r="5272">
          <cell r="B5272" t="str">
            <v>CP-UPES-002</v>
          </cell>
        </row>
        <row r="5272">
          <cell r="W5272">
            <v>0</v>
          </cell>
        </row>
        <row r="5273">
          <cell r="B5273" t="str">
            <v>8010062300</v>
          </cell>
        </row>
        <row r="5273">
          <cell r="W5273">
            <v>0</v>
          </cell>
        </row>
        <row r="5274">
          <cell r="B5274" t="str">
            <v>8030020617</v>
          </cell>
        </row>
        <row r="5274">
          <cell r="W5274">
            <v>0</v>
          </cell>
        </row>
        <row r="5275">
          <cell r="B5275" t="str">
            <v>102421</v>
          </cell>
        </row>
        <row r="5275">
          <cell r="W5275">
            <v>100</v>
          </cell>
        </row>
        <row r="5276">
          <cell r="B5276" t="str">
            <v>102475</v>
          </cell>
        </row>
        <row r="5276">
          <cell r="W5276">
            <v>0</v>
          </cell>
        </row>
        <row r="5277">
          <cell r="B5277" t="str">
            <v>8010062301</v>
          </cell>
        </row>
        <row r="5277">
          <cell r="W5277">
            <v>0</v>
          </cell>
        </row>
        <row r="5278">
          <cell r="B5278" t="str">
            <v>8020026143</v>
          </cell>
        </row>
        <row r="5278">
          <cell r="W5278">
            <v>0</v>
          </cell>
        </row>
        <row r="5279">
          <cell r="B5279" t="str">
            <v>8010072812</v>
          </cell>
        </row>
        <row r="5279">
          <cell r="W5279">
            <v>0</v>
          </cell>
        </row>
        <row r="5280">
          <cell r="B5280" t="str">
            <v>102477</v>
          </cell>
        </row>
        <row r="5280">
          <cell r="W5280">
            <v>0</v>
          </cell>
        </row>
        <row r="5281">
          <cell r="B5281" t="str">
            <v>102487</v>
          </cell>
        </row>
        <row r="5281">
          <cell r="W5281">
            <v>0</v>
          </cell>
        </row>
        <row r="5282">
          <cell r="B5282" t="str">
            <v>102479</v>
          </cell>
        </row>
        <row r="5282">
          <cell r="W5282">
            <v>0</v>
          </cell>
        </row>
        <row r="5283">
          <cell r="B5283" t="str">
            <v>102480</v>
          </cell>
        </row>
        <row r="5283">
          <cell r="W5283">
            <v>0</v>
          </cell>
        </row>
        <row r="5284">
          <cell r="B5284" t="str">
            <v>102481</v>
          </cell>
        </row>
        <row r="5284">
          <cell r="W5284">
            <v>0</v>
          </cell>
        </row>
        <row r="5285">
          <cell r="B5285" t="str">
            <v>102482</v>
          </cell>
        </row>
        <row r="5285">
          <cell r="W5285">
            <v>0</v>
          </cell>
        </row>
        <row r="5286">
          <cell r="B5286" t="str">
            <v>102483</v>
          </cell>
        </row>
        <row r="5286">
          <cell r="W5286">
            <v>0</v>
          </cell>
        </row>
        <row r="5287">
          <cell r="B5287" t="str">
            <v>102478</v>
          </cell>
        </row>
        <row r="5287">
          <cell r="W5287">
            <v>0</v>
          </cell>
        </row>
        <row r="5288">
          <cell r="B5288" t="str">
            <v>102484</v>
          </cell>
        </row>
        <row r="5288">
          <cell r="W5288">
            <v>0</v>
          </cell>
        </row>
        <row r="5289">
          <cell r="B5289" t="str">
            <v>102485</v>
          </cell>
        </row>
        <row r="5289">
          <cell r="W5289">
            <v>0</v>
          </cell>
        </row>
        <row r="5290">
          <cell r="B5290" t="str">
            <v>CP-ACKK-001</v>
          </cell>
        </row>
        <row r="5290">
          <cell r="W5290">
            <v>0</v>
          </cell>
        </row>
        <row r="5291">
          <cell r="B5291" t="str">
            <v>8010040792</v>
          </cell>
        </row>
        <row r="5291">
          <cell r="W5291">
            <v>0</v>
          </cell>
        </row>
        <row r="5292">
          <cell r="B5292" t="str">
            <v>8010072789</v>
          </cell>
        </row>
        <row r="5292">
          <cell r="W5292">
            <v>0</v>
          </cell>
        </row>
        <row r="5293">
          <cell r="B5293" t="str">
            <v>8010044504</v>
          </cell>
        </row>
        <row r="5293">
          <cell r="W5293">
            <v>0</v>
          </cell>
        </row>
        <row r="5294">
          <cell r="B5294" t="str">
            <v>102304</v>
          </cell>
        </row>
        <row r="5294">
          <cell r="W5294">
            <v>0</v>
          </cell>
        </row>
        <row r="5295">
          <cell r="B5295" t="str">
            <v>102343</v>
          </cell>
        </row>
        <row r="5295">
          <cell r="W5295">
            <v>0</v>
          </cell>
        </row>
        <row r="5296">
          <cell r="B5296" t="str">
            <v>8010062276</v>
          </cell>
        </row>
        <row r="5296">
          <cell r="W5296">
            <v>-25</v>
          </cell>
        </row>
        <row r="5297">
          <cell r="B5297" t="str">
            <v>102287</v>
          </cell>
        </row>
        <row r="5297">
          <cell r="W5297">
            <v>0</v>
          </cell>
        </row>
        <row r="5298">
          <cell r="B5298" t="str">
            <v>102504</v>
          </cell>
        </row>
        <row r="5298">
          <cell r="W5298">
            <v>0</v>
          </cell>
        </row>
        <row r="5299">
          <cell r="B5299" t="str">
            <v>8010062298</v>
          </cell>
        </row>
        <row r="5299">
          <cell r="W5299">
            <v>0</v>
          </cell>
        </row>
        <row r="5300">
          <cell r="B5300" t="str">
            <v>8010062305</v>
          </cell>
        </row>
        <row r="5300">
          <cell r="W5300">
            <v>0</v>
          </cell>
        </row>
        <row r="5301">
          <cell r="B5301" t="str">
            <v>8010062299</v>
          </cell>
        </row>
        <row r="5301">
          <cell r="W5301">
            <v>0</v>
          </cell>
        </row>
        <row r="5302">
          <cell r="B5302" t="str">
            <v>8010062306</v>
          </cell>
        </row>
        <row r="5302">
          <cell r="W5302">
            <v>0</v>
          </cell>
        </row>
        <row r="5303">
          <cell r="B5303" t="str">
            <v>8010062307</v>
          </cell>
        </row>
        <row r="5303">
          <cell r="W5303">
            <v>0</v>
          </cell>
        </row>
        <row r="5304">
          <cell r="B5304" t="str">
            <v>8010062302</v>
          </cell>
        </row>
        <row r="5304">
          <cell r="W5304">
            <v>0</v>
          </cell>
        </row>
        <row r="5305">
          <cell r="B5305" t="str">
            <v>8010062303</v>
          </cell>
        </row>
        <row r="5305">
          <cell r="W5305">
            <v>0</v>
          </cell>
        </row>
        <row r="5306">
          <cell r="B5306" t="str">
            <v>8010062304</v>
          </cell>
        </row>
        <row r="5306">
          <cell r="W5306">
            <v>0</v>
          </cell>
        </row>
        <row r="5307">
          <cell r="B5307" t="str">
            <v>8010062308</v>
          </cell>
        </row>
        <row r="5307">
          <cell r="W5307">
            <v>0</v>
          </cell>
        </row>
        <row r="5308">
          <cell r="B5308" t="str">
            <v>8010062286</v>
          </cell>
        </row>
        <row r="5308">
          <cell r="W5308">
            <v>0</v>
          </cell>
        </row>
        <row r="5309">
          <cell r="B5309" t="str">
            <v>8010062285</v>
          </cell>
        </row>
        <row r="5309">
          <cell r="W5309">
            <v>0</v>
          </cell>
        </row>
        <row r="5310">
          <cell r="B5310" t="str">
            <v>8010062284</v>
          </cell>
        </row>
        <row r="5310">
          <cell r="W5310">
            <v>0</v>
          </cell>
        </row>
        <row r="5311">
          <cell r="B5311" t="str">
            <v>8010062283</v>
          </cell>
        </row>
        <row r="5311">
          <cell r="W5311">
            <v>0</v>
          </cell>
        </row>
        <row r="5312">
          <cell r="B5312" t="str">
            <v>102150</v>
          </cell>
        </row>
        <row r="5312">
          <cell r="W5312">
            <v>0</v>
          </cell>
        </row>
        <row r="5313">
          <cell r="B5313" t="str">
            <v>80516504</v>
          </cell>
        </row>
        <row r="5313">
          <cell r="W5313">
            <v>0</v>
          </cell>
        </row>
        <row r="5314">
          <cell r="B5314" t="str">
            <v>102510</v>
          </cell>
        </row>
        <row r="5314">
          <cell r="W5314">
            <v>0</v>
          </cell>
        </row>
        <row r="5315">
          <cell r="B5315" t="str">
            <v>8010072474</v>
          </cell>
        </row>
        <row r="5315">
          <cell r="W5315">
            <v>460</v>
          </cell>
        </row>
        <row r="5316">
          <cell r="B5316" t="str">
            <v>102561</v>
          </cell>
        </row>
        <row r="5316">
          <cell r="W5316">
            <v>-8</v>
          </cell>
        </row>
        <row r="5317">
          <cell r="B5317" t="str">
            <v>102257</v>
          </cell>
        </row>
        <row r="5317">
          <cell r="W5317">
            <v>0</v>
          </cell>
        </row>
        <row r="5318">
          <cell r="B5318" t="str">
            <v>0110311</v>
          </cell>
        </row>
        <row r="5318">
          <cell r="W5318">
            <v>10</v>
          </cell>
        </row>
        <row r="5319">
          <cell r="B5319" t="str">
            <v>PVC00241</v>
          </cell>
        </row>
        <row r="5319">
          <cell r="W5319">
            <v>0</v>
          </cell>
        </row>
        <row r="5320">
          <cell r="B5320" t="str">
            <v>102576</v>
          </cell>
        </row>
        <row r="5320">
          <cell r="W5320">
            <v>0</v>
          </cell>
        </row>
        <row r="5321">
          <cell r="B5321" t="str">
            <v>102559</v>
          </cell>
        </row>
        <row r="5321">
          <cell r="W5321">
            <v>0</v>
          </cell>
        </row>
        <row r="5322">
          <cell r="B5322" t="str">
            <v>102562</v>
          </cell>
        </row>
        <row r="5322">
          <cell r="W5322">
            <v>-8</v>
          </cell>
        </row>
        <row r="5323">
          <cell r="B5323" t="str">
            <v>102577</v>
          </cell>
        </row>
        <row r="5323">
          <cell r="W5323">
            <v>0</v>
          </cell>
        </row>
        <row r="5324">
          <cell r="B5324" t="str">
            <v>102578</v>
          </cell>
        </row>
        <row r="5324">
          <cell r="W5324">
            <v>0</v>
          </cell>
        </row>
        <row r="5325">
          <cell r="B5325" t="str">
            <v>102579</v>
          </cell>
        </row>
        <row r="5325">
          <cell r="W5325">
            <v>0</v>
          </cell>
        </row>
        <row r="5326">
          <cell r="B5326" t="str">
            <v>102582</v>
          </cell>
        </row>
        <row r="5326">
          <cell r="W5326">
            <v>0</v>
          </cell>
        </row>
        <row r="5327">
          <cell r="B5327" t="str">
            <v>102583</v>
          </cell>
        </row>
        <row r="5327">
          <cell r="W5327">
            <v>0</v>
          </cell>
        </row>
        <row r="5328">
          <cell r="B5328" t="str">
            <v>102584</v>
          </cell>
        </row>
        <row r="5328">
          <cell r="W5328">
            <v>0</v>
          </cell>
        </row>
        <row r="5329">
          <cell r="B5329" t="str">
            <v>102585</v>
          </cell>
        </row>
        <row r="5329">
          <cell r="W5329">
            <v>0</v>
          </cell>
        </row>
        <row r="5330">
          <cell r="B5330" t="str">
            <v>102586</v>
          </cell>
        </row>
        <row r="5330">
          <cell r="W5330">
            <v>0</v>
          </cell>
        </row>
        <row r="5331">
          <cell r="B5331" t="str">
            <v>102587</v>
          </cell>
        </row>
        <row r="5331">
          <cell r="W5331">
            <v>0</v>
          </cell>
        </row>
        <row r="5332">
          <cell r="B5332" t="str">
            <v>102588</v>
          </cell>
        </row>
        <row r="5332">
          <cell r="W5332">
            <v>0</v>
          </cell>
        </row>
        <row r="5333">
          <cell r="B5333" t="str">
            <v>PVC0230167</v>
          </cell>
        </row>
        <row r="5333">
          <cell r="W5333">
            <v>0</v>
          </cell>
        </row>
        <row r="5334">
          <cell r="B5334" t="str">
            <v>PVC0230166</v>
          </cell>
        </row>
        <row r="5334">
          <cell r="W5334">
            <v>0</v>
          </cell>
        </row>
        <row r="5335">
          <cell r="B5335" t="str">
            <v>8011021682</v>
          </cell>
        </row>
        <row r="5335">
          <cell r="W5335">
            <v>35</v>
          </cell>
        </row>
        <row r="5336">
          <cell r="B5336" t="str">
            <v>8011021680</v>
          </cell>
        </row>
        <row r="5336">
          <cell r="W5336">
            <v>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ESSO管材"/>
      <sheetName val="LESSO GREY PIPE"/>
      <sheetName val="国标管件"/>
      <sheetName val="MR ZOU"/>
      <sheetName val="system"/>
      <sheetName val="Sheet5"/>
      <sheetName val="铝扣板装修材料"/>
      <sheetName val="矿棉板装修材料"/>
      <sheetName val="石膏板吊顶材料"/>
      <sheetName val="库存表格"/>
      <sheetName val="Sheet2"/>
      <sheetName val="Sheet3"/>
      <sheetName val="清关流程"/>
      <sheetName val="工作表12"/>
      <sheetName val="Sheet1"/>
    </sheetNames>
    <sheetDataSet>
      <sheetData sheetId="0">
        <row r="1">
          <cell r="H1" t="str">
            <v>EXCLUDE TAX
出厂价_不含税</v>
          </cell>
        </row>
        <row r="2">
          <cell r="C2" t="str">
            <v>Material</v>
          </cell>
        </row>
        <row r="3">
          <cell r="C3">
            <v>8010012683</v>
          </cell>
        </row>
        <row r="3">
          <cell r="H3">
            <v>12539</v>
          </cell>
        </row>
        <row r="4">
          <cell r="C4">
            <v>8010012684</v>
          </cell>
        </row>
        <row r="4">
          <cell r="H4">
            <v>17042</v>
          </cell>
        </row>
        <row r="5">
          <cell r="C5">
            <v>8010012691</v>
          </cell>
        </row>
        <row r="5">
          <cell r="H5">
            <v>23297</v>
          </cell>
        </row>
        <row r="6">
          <cell r="C6">
            <v>8010012692</v>
          </cell>
        </row>
        <row r="6">
          <cell r="H6">
            <v>39117</v>
          </cell>
        </row>
        <row r="7">
          <cell r="C7">
            <v>8010012693</v>
          </cell>
        </row>
        <row r="7">
          <cell r="H7">
            <v>39741</v>
          </cell>
        </row>
        <row r="8">
          <cell r="C8">
            <v>8010012694</v>
          </cell>
        </row>
        <row r="8">
          <cell r="H8">
            <v>51076</v>
          </cell>
        </row>
        <row r="9">
          <cell r="C9">
            <v>8010012695</v>
          </cell>
        </row>
        <row r="9">
          <cell r="H9">
            <v>83622</v>
          </cell>
        </row>
        <row r="10">
          <cell r="C10">
            <v>8010012696</v>
          </cell>
        </row>
        <row r="10">
          <cell r="H10">
            <v>104862</v>
          </cell>
        </row>
        <row r="11">
          <cell r="C11">
            <v>8010012697</v>
          </cell>
        </row>
        <row r="11">
          <cell r="H11">
            <v>173658</v>
          </cell>
        </row>
        <row r="12">
          <cell r="C12">
            <v>8010013700</v>
          </cell>
        </row>
        <row r="12">
          <cell r="H12">
            <v>309131</v>
          </cell>
        </row>
        <row r="13">
          <cell r="C13">
            <v>8010012698</v>
          </cell>
        </row>
        <row r="13">
          <cell r="H13">
            <v>385831</v>
          </cell>
        </row>
        <row r="14">
          <cell r="C14">
            <v>8010013701</v>
          </cell>
        </row>
        <row r="14">
          <cell r="H14">
            <v>727297</v>
          </cell>
        </row>
        <row r="15">
          <cell r="C15">
            <v>8010013702</v>
          </cell>
        </row>
        <row r="15">
          <cell r="H15">
            <v>1124324</v>
          </cell>
        </row>
        <row r="16">
          <cell r="C16">
            <v>8010013703</v>
          </cell>
        </row>
        <row r="16">
          <cell r="H16">
            <v>1271306</v>
          </cell>
        </row>
        <row r="17">
          <cell r="C17">
            <v>8020012377</v>
          </cell>
        </row>
        <row r="17">
          <cell r="H17">
            <v>21710</v>
          </cell>
        </row>
        <row r="18">
          <cell r="C18">
            <v>8020012378</v>
          </cell>
        </row>
        <row r="18">
          <cell r="H18">
            <v>24560</v>
          </cell>
        </row>
        <row r="19">
          <cell r="C19">
            <v>8020012379</v>
          </cell>
        </row>
        <row r="19">
          <cell r="H19">
            <v>31687</v>
          </cell>
        </row>
        <row r="20">
          <cell r="C20">
            <v>8020012380</v>
          </cell>
        </row>
        <row r="20">
          <cell r="H20">
            <v>42539</v>
          </cell>
        </row>
        <row r="21">
          <cell r="C21">
            <v>8020012381</v>
          </cell>
        </row>
        <row r="21">
          <cell r="H21">
            <v>59936</v>
          </cell>
        </row>
        <row r="22">
          <cell r="C22">
            <v>8020012382</v>
          </cell>
        </row>
        <row r="22">
          <cell r="H22">
            <v>89278</v>
          </cell>
        </row>
        <row r="23">
          <cell r="C23">
            <v>8020013759</v>
          </cell>
        </row>
        <row r="23">
          <cell r="H23">
            <v>154360</v>
          </cell>
        </row>
        <row r="24">
          <cell r="C24">
            <v>8020012383</v>
          </cell>
        </row>
        <row r="24">
          <cell r="H24">
            <v>181163</v>
          </cell>
        </row>
        <row r="25">
          <cell r="C25">
            <v>8020013760</v>
          </cell>
        </row>
        <row r="25">
          <cell r="H25">
            <v>357851</v>
          </cell>
        </row>
        <row r="26">
          <cell r="C26">
            <v>8020013761</v>
          </cell>
        </row>
        <row r="26">
          <cell r="H26">
            <v>589450</v>
          </cell>
        </row>
        <row r="27">
          <cell r="C27">
            <v>8020013762</v>
          </cell>
        </row>
        <row r="27">
          <cell r="H27">
            <v>827432</v>
          </cell>
        </row>
        <row r="28">
          <cell r="C28">
            <v>8010024550</v>
          </cell>
        </row>
        <row r="28">
          <cell r="H28">
            <v>982</v>
          </cell>
        </row>
        <row r="29">
          <cell r="C29">
            <v>8010024551</v>
          </cell>
        </row>
        <row r="29">
          <cell r="H29">
            <v>1161</v>
          </cell>
        </row>
        <row r="30">
          <cell r="C30">
            <v>8010024448</v>
          </cell>
        </row>
        <row r="30">
          <cell r="H30">
            <v>1697</v>
          </cell>
        </row>
        <row r="31">
          <cell r="C31">
            <v>8010024386</v>
          </cell>
        </row>
        <row r="31">
          <cell r="H31">
            <v>3215</v>
          </cell>
        </row>
        <row r="32">
          <cell r="C32">
            <v>8010024387</v>
          </cell>
        </row>
        <row r="32">
          <cell r="H32">
            <v>4597</v>
          </cell>
        </row>
        <row r="33">
          <cell r="C33">
            <v>8010024812</v>
          </cell>
        </row>
        <row r="33">
          <cell r="H33">
            <v>7072</v>
          </cell>
        </row>
        <row r="34">
          <cell r="C34">
            <v>8010024327</v>
          </cell>
        </row>
        <row r="34">
          <cell r="H34">
            <v>11890</v>
          </cell>
        </row>
        <row r="35">
          <cell r="C35">
            <v>8010024552</v>
          </cell>
        </row>
        <row r="35">
          <cell r="H35">
            <v>16923</v>
          </cell>
        </row>
        <row r="36">
          <cell r="C36">
            <v>8010024388</v>
          </cell>
        </row>
        <row r="36">
          <cell r="H36">
            <v>33050</v>
          </cell>
        </row>
        <row r="37">
          <cell r="C37">
            <v>8010024948</v>
          </cell>
        </row>
        <row r="37">
          <cell r="H37">
            <v>69549</v>
          </cell>
        </row>
        <row r="38">
          <cell r="C38">
            <v>8011021615</v>
          </cell>
        </row>
        <row r="38">
          <cell r="H38">
            <v>130988</v>
          </cell>
        </row>
        <row r="39">
          <cell r="C39">
            <v>8011021692</v>
          </cell>
        </row>
        <row r="39">
          <cell r="H39">
            <v>172033</v>
          </cell>
        </row>
        <row r="40">
          <cell r="C40">
            <v>8011021693</v>
          </cell>
        </row>
        <row r="40">
          <cell r="H40">
            <v>247536</v>
          </cell>
        </row>
        <row r="41">
          <cell r="C41">
            <v>8010024350</v>
          </cell>
        </row>
        <row r="41">
          <cell r="H41">
            <v>1182</v>
          </cell>
        </row>
        <row r="42">
          <cell r="C42">
            <v>8010024351</v>
          </cell>
        </row>
        <row r="42">
          <cell r="H42">
            <v>1422</v>
          </cell>
        </row>
        <row r="43">
          <cell r="C43">
            <v>8010024318</v>
          </cell>
        </row>
        <row r="43">
          <cell r="H43">
            <v>2088</v>
          </cell>
        </row>
        <row r="44">
          <cell r="C44">
            <v>8010024352</v>
          </cell>
        </row>
        <row r="44">
          <cell r="H44">
            <v>4133</v>
          </cell>
        </row>
        <row r="45">
          <cell r="C45">
            <v>8010024403</v>
          </cell>
        </row>
        <row r="45">
          <cell r="H45">
            <v>5658</v>
          </cell>
        </row>
        <row r="46">
          <cell r="C46">
            <v>8010024319</v>
          </cell>
        </row>
        <row r="46">
          <cell r="H46">
            <v>8537</v>
          </cell>
        </row>
        <row r="47">
          <cell r="C47">
            <v>8010024353</v>
          </cell>
        </row>
        <row r="47">
          <cell r="H47">
            <v>13625</v>
          </cell>
        </row>
        <row r="48">
          <cell r="C48">
            <v>8010024354</v>
          </cell>
        </row>
        <row r="48">
          <cell r="H48">
            <v>22428</v>
          </cell>
        </row>
        <row r="49">
          <cell r="C49">
            <v>8010024355</v>
          </cell>
        </row>
        <row r="49">
          <cell r="H49">
            <v>41050</v>
          </cell>
        </row>
        <row r="50">
          <cell r="C50">
            <v>8011021447</v>
          </cell>
        </row>
        <row r="50">
          <cell r="H50">
            <v>69050</v>
          </cell>
        </row>
        <row r="51">
          <cell r="C51">
            <v>8010024404</v>
          </cell>
        </row>
        <row r="51">
          <cell r="H51">
            <v>103748</v>
          </cell>
        </row>
        <row r="52">
          <cell r="C52">
            <v>8011021680</v>
          </cell>
        </row>
        <row r="52">
          <cell r="H52">
            <v>206238</v>
          </cell>
        </row>
        <row r="53">
          <cell r="C53">
            <v>8011021685</v>
          </cell>
        </row>
        <row r="53">
          <cell r="H53">
            <v>295168</v>
          </cell>
        </row>
        <row r="54">
          <cell r="C54">
            <v>8011021686</v>
          </cell>
        </row>
        <row r="54">
          <cell r="H54">
            <v>395752</v>
          </cell>
        </row>
        <row r="55">
          <cell r="C55">
            <v>8010024438</v>
          </cell>
        </row>
        <row r="55">
          <cell r="H55">
            <v>1200</v>
          </cell>
        </row>
        <row r="56">
          <cell r="C56">
            <v>8010024347</v>
          </cell>
        </row>
        <row r="56">
          <cell r="H56">
            <v>1800</v>
          </cell>
        </row>
        <row r="57">
          <cell r="C57">
            <v>8010024348</v>
          </cell>
        </row>
        <row r="57">
          <cell r="H57">
            <v>2650</v>
          </cell>
        </row>
        <row r="58">
          <cell r="C58">
            <v>8010024349</v>
          </cell>
        </row>
        <row r="58">
          <cell r="H58">
            <v>9749</v>
          </cell>
        </row>
        <row r="59">
          <cell r="C59">
            <v>80516213</v>
          </cell>
        </row>
        <row r="59">
          <cell r="H59">
            <v>19865</v>
          </cell>
        </row>
        <row r="60">
          <cell r="C60">
            <v>80516218</v>
          </cell>
        </row>
        <row r="60">
          <cell r="H60">
            <v>31284</v>
          </cell>
        </row>
        <row r="61">
          <cell r="C61">
            <v>8010024873</v>
          </cell>
        </row>
        <row r="61">
          <cell r="H61">
            <v>40099</v>
          </cell>
        </row>
        <row r="62">
          <cell r="C62">
            <v>8011021616</v>
          </cell>
        </row>
        <row r="62">
          <cell r="H62">
            <v>58527</v>
          </cell>
        </row>
        <row r="63">
          <cell r="C63">
            <v>8010024874</v>
          </cell>
        </row>
        <row r="63">
          <cell r="H63">
            <v>114397</v>
          </cell>
        </row>
        <row r="64">
          <cell r="C64">
            <v>8011021682</v>
          </cell>
        </row>
        <row r="64">
          <cell r="H64">
            <v>141377</v>
          </cell>
        </row>
        <row r="65">
          <cell r="C65">
            <v>8011021683</v>
          </cell>
        </row>
        <row r="65">
          <cell r="H65">
            <v>180141</v>
          </cell>
        </row>
        <row r="66">
          <cell r="C66">
            <v>8011021684</v>
          </cell>
        </row>
        <row r="66">
          <cell r="H66">
            <v>237653</v>
          </cell>
        </row>
        <row r="67">
          <cell r="C67">
            <v>8010024356</v>
          </cell>
        </row>
        <row r="67">
          <cell r="H67">
            <v>1513</v>
          </cell>
        </row>
        <row r="68">
          <cell r="C68">
            <v>8010024192</v>
          </cell>
        </row>
        <row r="68">
          <cell r="H68">
            <v>1911</v>
          </cell>
        </row>
        <row r="69">
          <cell r="C69">
            <v>8010024357</v>
          </cell>
        </row>
        <row r="69">
          <cell r="H69">
            <v>3066</v>
          </cell>
        </row>
        <row r="70">
          <cell r="C70">
            <v>8010024358</v>
          </cell>
        </row>
        <row r="70">
          <cell r="H70">
            <v>5767</v>
          </cell>
        </row>
        <row r="71">
          <cell r="C71">
            <v>8010024359</v>
          </cell>
        </row>
        <row r="71">
          <cell r="H71">
            <v>7577</v>
          </cell>
        </row>
        <row r="72">
          <cell r="C72">
            <v>8010024360</v>
          </cell>
        </row>
        <row r="72">
          <cell r="H72">
            <v>12023</v>
          </cell>
        </row>
        <row r="73">
          <cell r="C73">
            <v>8010024361</v>
          </cell>
        </row>
        <row r="73">
          <cell r="H73">
            <v>19799</v>
          </cell>
        </row>
        <row r="74">
          <cell r="C74">
            <v>8010024362</v>
          </cell>
        </row>
        <row r="74">
          <cell r="H74">
            <v>27682</v>
          </cell>
        </row>
        <row r="75">
          <cell r="C75">
            <v>8010024363</v>
          </cell>
        </row>
        <row r="75">
          <cell r="H75">
            <v>54698</v>
          </cell>
        </row>
        <row r="76">
          <cell r="C76">
            <v>8011021681</v>
          </cell>
        </row>
        <row r="76">
          <cell r="H76">
            <v>100332</v>
          </cell>
        </row>
        <row r="77">
          <cell r="C77">
            <v>8010024982</v>
          </cell>
        </row>
        <row r="77">
          <cell r="H77">
            <v>137447</v>
          </cell>
        </row>
        <row r="78">
          <cell r="C78">
            <v>8011021687</v>
          </cell>
        </row>
        <row r="78">
          <cell r="H78">
            <v>239428</v>
          </cell>
        </row>
        <row r="79">
          <cell r="C79">
            <v>8011021688</v>
          </cell>
        </row>
        <row r="79">
          <cell r="H79">
            <v>361295</v>
          </cell>
        </row>
        <row r="80">
          <cell r="C80">
            <v>8011021823</v>
          </cell>
        </row>
        <row r="80">
          <cell r="H80">
            <v>506978</v>
          </cell>
        </row>
        <row r="81">
          <cell r="C81">
            <v>8010024413</v>
          </cell>
        </row>
        <row r="81">
          <cell r="H81">
            <v>2150</v>
          </cell>
        </row>
        <row r="82">
          <cell r="C82">
            <v>8010024324</v>
          </cell>
        </row>
        <row r="82">
          <cell r="H82">
            <v>3150</v>
          </cell>
        </row>
        <row r="83">
          <cell r="C83">
            <v>8010024368</v>
          </cell>
        </row>
        <row r="83">
          <cell r="H83">
            <v>3250</v>
          </cell>
        </row>
        <row r="84">
          <cell r="C84">
            <v>8010024369</v>
          </cell>
        </row>
        <row r="84">
          <cell r="H84">
            <v>4644</v>
          </cell>
        </row>
        <row r="85">
          <cell r="C85">
            <v>8010024414</v>
          </cell>
        </row>
        <row r="85">
          <cell r="H85">
            <v>5001</v>
          </cell>
        </row>
        <row r="86">
          <cell r="C86">
            <v>8010024444</v>
          </cell>
        </row>
        <row r="86">
          <cell r="H86">
            <v>5614</v>
          </cell>
        </row>
        <row r="87">
          <cell r="C87">
            <v>8010024370</v>
          </cell>
        </row>
        <row r="87">
          <cell r="H87">
            <v>6365</v>
          </cell>
        </row>
        <row r="88">
          <cell r="C88">
            <v>8010024371</v>
          </cell>
        </row>
        <row r="88">
          <cell r="H88">
            <v>6365</v>
          </cell>
        </row>
        <row r="89">
          <cell r="C89">
            <v>8010024372</v>
          </cell>
        </row>
        <row r="89">
          <cell r="H89">
            <v>6820</v>
          </cell>
        </row>
        <row r="90">
          <cell r="C90">
            <v>8010024373</v>
          </cell>
        </row>
        <row r="90">
          <cell r="H90">
            <v>7577</v>
          </cell>
        </row>
        <row r="91">
          <cell r="C91">
            <v>8010024374</v>
          </cell>
        </row>
        <row r="91">
          <cell r="H91">
            <v>7628</v>
          </cell>
        </row>
        <row r="92">
          <cell r="C92">
            <v>8010024375</v>
          </cell>
        </row>
        <row r="92">
          <cell r="H92">
            <v>7729</v>
          </cell>
        </row>
        <row r="93">
          <cell r="C93">
            <v>8010024376</v>
          </cell>
        </row>
        <row r="93">
          <cell r="H93">
            <v>7950</v>
          </cell>
        </row>
        <row r="94">
          <cell r="C94">
            <v>8010024377</v>
          </cell>
        </row>
        <row r="94">
          <cell r="H94">
            <v>11073</v>
          </cell>
        </row>
        <row r="95">
          <cell r="C95">
            <v>8010024378</v>
          </cell>
        </row>
        <row r="95">
          <cell r="H95">
            <v>11013</v>
          </cell>
        </row>
        <row r="96">
          <cell r="C96">
            <v>8010024415</v>
          </cell>
        </row>
        <row r="96">
          <cell r="H96">
            <v>21267</v>
          </cell>
        </row>
        <row r="97">
          <cell r="C97">
            <v>80516241</v>
          </cell>
        </row>
        <row r="97">
          <cell r="H97">
            <v>57095</v>
          </cell>
        </row>
        <row r="98">
          <cell r="C98">
            <v>80516247</v>
          </cell>
        </row>
        <row r="98">
          <cell r="H98">
            <v>56554</v>
          </cell>
        </row>
        <row r="99">
          <cell r="C99">
            <v>80516248</v>
          </cell>
        </row>
        <row r="99">
          <cell r="H99">
            <v>57095</v>
          </cell>
        </row>
        <row r="100">
          <cell r="C100">
            <v>8010024411</v>
          </cell>
        </row>
        <row r="100">
          <cell r="H100">
            <v>850</v>
          </cell>
        </row>
        <row r="101">
          <cell r="C101">
            <v>8010024659</v>
          </cell>
        </row>
        <row r="101">
          <cell r="H101">
            <v>1250</v>
          </cell>
        </row>
        <row r="102">
          <cell r="C102">
            <v>8010024412</v>
          </cell>
        </row>
        <row r="102">
          <cell r="H102">
            <v>1600</v>
          </cell>
        </row>
        <row r="103">
          <cell r="C103">
            <v>8010024660</v>
          </cell>
        </row>
        <row r="103">
          <cell r="H103">
            <v>2908</v>
          </cell>
        </row>
        <row r="104">
          <cell r="C104">
            <v>8010024367</v>
          </cell>
        </row>
        <row r="104">
          <cell r="H104">
            <v>3941</v>
          </cell>
        </row>
        <row r="105">
          <cell r="C105">
            <v>8010024442</v>
          </cell>
        </row>
        <row r="105">
          <cell r="H105">
            <v>5708</v>
          </cell>
        </row>
        <row r="106">
          <cell r="C106">
            <v>8010024810</v>
          </cell>
        </row>
        <row r="106">
          <cell r="H106">
            <v>13235</v>
          </cell>
        </row>
        <row r="107">
          <cell r="C107">
            <v>8010024443</v>
          </cell>
        </row>
        <row r="107">
          <cell r="H107">
            <v>23099</v>
          </cell>
        </row>
        <row r="108">
          <cell r="C108">
            <v>8010024561</v>
          </cell>
        </row>
        <row r="108">
          <cell r="H108">
            <v>1350</v>
          </cell>
        </row>
        <row r="109">
          <cell r="C109">
            <v>8010024658</v>
          </cell>
        </row>
        <row r="109">
          <cell r="H109">
            <v>1200</v>
          </cell>
        </row>
        <row r="110">
          <cell r="C110">
            <v>8010024549</v>
          </cell>
        </row>
        <row r="110">
          <cell r="H110">
            <v>1400</v>
          </cell>
        </row>
        <row r="111">
          <cell r="C111">
            <v>8010024365</v>
          </cell>
        </row>
        <row r="111">
          <cell r="H111">
            <v>1100</v>
          </cell>
        </row>
        <row r="112">
          <cell r="C112">
            <v>8010024323</v>
          </cell>
        </row>
        <row r="112">
          <cell r="H112">
            <v>1400</v>
          </cell>
        </row>
        <row r="113">
          <cell r="C113">
            <v>8010024423</v>
          </cell>
        </row>
        <row r="113">
          <cell r="H113">
            <v>2300</v>
          </cell>
        </row>
        <row r="114">
          <cell r="C114">
            <v>8010024366</v>
          </cell>
        </row>
        <row r="114">
          <cell r="H114">
            <v>3521</v>
          </cell>
        </row>
        <row r="115">
          <cell r="C115">
            <v>8010024321</v>
          </cell>
        </row>
        <row r="115">
          <cell r="H115">
            <v>4597</v>
          </cell>
        </row>
        <row r="116">
          <cell r="C116">
            <v>8010024322</v>
          </cell>
        </row>
        <row r="116">
          <cell r="H116">
            <v>5708</v>
          </cell>
        </row>
        <row r="117">
          <cell r="C117">
            <v>8010024548</v>
          </cell>
        </row>
        <row r="117">
          <cell r="H117">
            <v>1400</v>
          </cell>
        </row>
        <row r="118">
          <cell r="C118">
            <v>8010024876</v>
          </cell>
        </row>
        <row r="118">
          <cell r="H118">
            <v>1300</v>
          </cell>
        </row>
        <row r="119">
          <cell r="C119">
            <v>8010024320</v>
          </cell>
        </row>
        <row r="119">
          <cell r="H119">
            <v>1850</v>
          </cell>
        </row>
        <row r="120">
          <cell r="C120">
            <v>8010024408</v>
          </cell>
        </row>
        <row r="120">
          <cell r="H120">
            <v>1750</v>
          </cell>
        </row>
        <row r="121">
          <cell r="C121">
            <v>8010024389</v>
          </cell>
        </row>
        <row r="121">
          <cell r="H121">
            <v>5200</v>
          </cell>
        </row>
        <row r="122">
          <cell r="C122">
            <v>8010024197</v>
          </cell>
        </row>
        <row r="122">
          <cell r="H122">
            <v>8350</v>
          </cell>
        </row>
        <row r="123">
          <cell r="C123">
            <v>8010024198</v>
          </cell>
        </row>
        <row r="123">
          <cell r="H123">
            <v>7400</v>
          </cell>
        </row>
        <row r="124">
          <cell r="C124" t="str">
            <v>GPR-PP04C03009</v>
          </cell>
        </row>
        <row r="124">
          <cell r="H124">
            <v>7027</v>
          </cell>
        </row>
        <row r="125">
          <cell r="C125">
            <v>8010024364</v>
          </cell>
        </row>
        <row r="125">
          <cell r="H125">
            <v>2050</v>
          </cell>
        </row>
        <row r="126">
          <cell r="C126">
            <v>8010024421</v>
          </cell>
        </row>
        <row r="126">
          <cell r="H126">
            <v>2300</v>
          </cell>
        </row>
        <row r="127">
          <cell r="C127">
            <v>8010024440</v>
          </cell>
        </row>
        <row r="127">
          <cell r="H127">
            <v>2208</v>
          </cell>
        </row>
        <row r="128">
          <cell r="C128">
            <v>8010024422</v>
          </cell>
        </row>
        <row r="128">
          <cell r="H128">
            <v>3081</v>
          </cell>
        </row>
        <row r="129">
          <cell r="C129">
            <v>8010024563</v>
          </cell>
        </row>
        <row r="129">
          <cell r="H129">
            <v>8150</v>
          </cell>
        </row>
        <row r="130">
          <cell r="C130">
            <v>8010024424</v>
          </cell>
        </row>
        <row r="130">
          <cell r="H130">
            <v>14700</v>
          </cell>
        </row>
        <row r="131">
          <cell r="C131">
            <v>8010024425</v>
          </cell>
        </row>
        <row r="131">
          <cell r="H131">
            <v>8450</v>
          </cell>
        </row>
        <row r="132">
          <cell r="C132">
            <v>8010024875</v>
          </cell>
        </row>
        <row r="132">
          <cell r="H132">
            <v>1250</v>
          </cell>
        </row>
        <row r="133">
          <cell r="C133">
            <v>8010024806</v>
          </cell>
        </row>
        <row r="133">
          <cell r="H133">
            <v>1850</v>
          </cell>
        </row>
        <row r="134">
          <cell r="C134">
            <v>8010024562</v>
          </cell>
        </row>
        <row r="134">
          <cell r="H134">
            <v>2650</v>
          </cell>
        </row>
        <row r="135">
          <cell r="C135">
            <v>8010024449</v>
          </cell>
        </row>
        <row r="135">
          <cell r="H135">
            <v>5200</v>
          </cell>
        </row>
        <row r="136">
          <cell r="C136">
            <v>8010024418</v>
          </cell>
        </row>
        <row r="136">
          <cell r="H136">
            <v>8800</v>
          </cell>
        </row>
        <row r="137">
          <cell r="C137">
            <v>8010024426</v>
          </cell>
        </row>
        <row r="137">
          <cell r="H137">
            <v>7550</v>
          </cell>
        </row>
        <row r="138">
          <cell r="C138">
            <v>8010024807</v>
          </cell>
        </row>
        <row r="138">
          <cell r="H138">
            <v>1400</v>
          </cell>
        </row>
        <row r="139">
          <cell r="C139">
            <v>8010024808</v>
          </cell>
        </row>
        <row r="139">
          <cell r="H139">
            <v>2000</v>
          </cell>
        </row>
        <row r="140">
          <cell r="C140">
            <v>8010024553</v>
          </cell>
        </row>
        <row r="140">
          <cell r="H140">
            <v>13900</v>
          </cell>
        </row>
        <row r="141">
          <cell r="C141">
            <v>8010024813</v>
          </cell>
        </row>
        <row r="141">
          <cell r="H141">
            <v>16999</v>
          </cell>
        </row>
        <row r="142">
          <cell r="C142">
            <v>8010024419</v>
          </cell>
        </row>
        <row r="142">
          <cell r="H142">
            <v>23300</v>
          </cell>
        </row>
        <row r="143">
          <cell r="C143">
            <v>8010024450</v>
          </cell>
        </row>
        <row r="143">
          <cell r="H143">
            <v>39446</v>
          </cell>
        </row>
        <row r="144">
          <cell r="C144">
            <v>8010024420</v>
          </cell>
        </row>
        <row r="144">
          <cell r="H144">
            <v>53242</v>
          </cell>
        </row>
        <row r="145">
          <cell r="C145">
            <v>8010024554</v>
          </cell>
        </row>
        <row r="145">
          <cell r="H145">
            <v>13900</v>
          </cell>
        </row>
        <row r="146">
          <cell r="C146">
            <v>8010024949</v>
          </cell>
        </row>
        <row r="146">
          <cell r="H146">
            <v>16999</v>
          </cell>
        </row>
        <row r="147">
          <cell r="C147">
            <v>8010024814</v>
          </cell>
        </row>
        <row r="147">
          <cell r="H147">
            <v>23300</v>
          </cell>
        </row>
        <row r="148">
          <cell r="C148">
            <v>8010024451</v>
          </cell>
        </row>
        <row r="148">
          <cell r="H148">
            <v>39446</v>
          </cell>
        </row>
        <row r="149">
          <cell r="C149">
            <v>8010024452</v>
          </cell>
        </row>
        <row r="149">
          <cell r="H149">
            <v>53242</v>
          </cell>
        </row>
        <row r="150">
          <cell r="C150">
            <v>8010024809</v>
          </cell>
        </row>
        <row r="150">
          <cell r="H150">
            <v>700</v>
          </cell>
        </row>
        <row r="151">
          <cell r="C151">
            <v>8010024877</v>
          </cell>
        </row>
        <row r="151">
          <cell r="H151">
            <v>850</v>
          </cell>
        </row>
        <row r="152">
          <cell r="C152">
            <v>8010024878</v>
          </cell>
        </row>
        <row r="152">
          <cell r="H152">
            <v>950</v>
          </cell>
        </row>
        <row r="153">
          <cell r="C153">
            <v>8010024409</v>
          </cell>
        </row>
        <row r="153">
          <cell r="H153">
            <v>700</v>
          </cell>
        </row>
        <row r="154">
          <cell r="C154">
            <v>8010024410</v>
          </cell>
        </row>
        <row r="154">
          <cell r="H154">
            <v>850</v>
          </cell>
        </row>
        <row r="155">
          <cell r="C155">
            <v>8010024441</v>
          </cell>
        </row>
        <row r="155">
          <cell r="H155">
            <v>1400</v>
          </cell>
        </row>
        <row r="156">
          <cell r="C156">
            <v>8010024405</v>
          </cell>
        </row>
        <row r="156">
          <cell r="H156">
            <v>750</v>
          </cell>
        </row>
        <row r="157">
          <cell r="C157">
            <v>8010024406</v>
          </cell>
        </row>
        <row r="157">
          <cell r="H157">
            <v>850</v>
          </cell>
        </row>
        <row r="158">
          <cell r="C158">
            <v>8010024547</v>
          </cell>
        </row>
        <row r="158">
          <cell r="H158">
            <v>1300</v>
          </cell>
        </row>
        <row r="159">
          <cell r="C159">
            <v>8010024407</v>
          </cell>
        </row>
        <row r="159">
          <cell r="H159">
            <v>4092</v>
          </cell>
        </row>
        <row r="160">
          <cell r="C160">
            <v>8010024439</v>
          </cell>
        </row>
        <row r="160">
          <cell r="H160">
            <v>12628</v>
          </cell>
        </row>
        <row r="161">
          <cell r="C161">
            <v>8010024663</v>
          </cell>
        </row>
        <row r="161">
          <cell r="H161">
            <v>26150</v>
          </cell>
        </row>
        <row r="162">
          <cell r="C162">
            <v>80516340</v>
          </cell>
        </row>
        <row r="162">
          <cell r="H162">
            <v>60608</v>
          </cell>
        </row>
        <row r="163">
          <cell r="C163">
            <v>80516341</v>
          </cell>
        </row>
        <row r="163">
          <cell r="H163">
            <v>118851</v>
          </cell>
        </row>
        <row r="164">
          <cell r="C164">
            <v>8010024802</v>
          </cell>
        </row>
        <row r="164">
          <cell r="H164">
            <v>16923</v>
          </cell>
        </row>
        <row r="165">
          <cell r="C165">
            <v>8010024803</v>
          </cell>
        </row>
        <row r="165">
          <cell r="H165">
            <v>26167</v>
          </cell>
        </row>
        <row r="166">
          <cell r="C166">
            <v>8010024804</v>
          </cell>
        </row>
        <row r="166">
          <cell r="H166">
            <v>42749</v>
          </cell>
        </row>
        <row r="167">
          <cell r="C167">
            <v>8010024805</v>
          </cell>
        </row>
        <row r="167">
          <cell r="H167">
            <v>97497</v>
          </cell>
        </row>
        <row r="168">
          <cell r="C168">
            <v>80516355</v>
          </cell>
        </row>
        <row r="168">
          <cell r="H168">
            <v>29527</v>
          </cell>
        </row>
        <row r="169">
          <cell r="C169">
            <v>8010024193</v>
          </cell>
        </row>
        <row r="169">
          <cell r="H169">
            <v>1350</v>
          </cell>
        </row>
        <row r="170">
          <cell r="C170">
            <v>8010024416</v>
          </cell>
        </row>
        <row r="170">
          <cell r="H170">
            <v>1400</v>
          </cell>
        </row>
        <row r="171">
          <cell r="C171">
            <v>8010024194</v>
          </cell>
        </row>
        <row r="171">
          <cell r="H171">
            <v>1800</v>
          </cell>
        </row>
        <row r="172">
          <cell r="C172">
            <v>8010024379</v>
          </cell>
        </row>
        <row r="172">
          <cell r="H172">
            <v>1990</v>
          </cell>
        </row>
        <row r="173">
          <cell r="C173">
            <v>8010024326</v>
          </cell>
        </row>
        <row r="173">
          <cell r="H173">
            <v>2347</v>
          </cell>
        </row>
        <row r="174">
          <cell r="C174">
            <v>8010024195</v>
          </cell>
        </row>
        <row r="174">
          <cell r="H174">
            <v>2705</v>
          </cell>
        </row>
        <row r="175">
          <cell r="C175">
            <v>8010024325</v>
          </cell>
        </row>
        <row r="175">
          <cell r="H175">
            <v>2879</v>
          </cell>
        </row>
        <row r="176">
          <cell r="C176">
            <v>8010024196</v>
          </cell>
        </row>
        <row r="176">
          <cell r="H176">
            <v>3031</v>
          </cell>
        </row>
        <row r="177">
          <cell r="C177">
            <v>8010024380</v>
          </cell>
        </row>
        <row r="177">
          <cell r="H177">
            <v>3687</v>
          </cell>
        </row>
        <row r="178">
          <cell r="C178">
            <v>8010024381</v>
          </cell>
        </row>
        <row r="178">
          <cell r="H178">
            <v>4185</v>
          </cell>
        </row>
        <row r="179">
          <cell r="C179">
            <v>8010024417</v>
          </cell>
        </row>
        <row r="179">
          <cell r="H179">
            <v>4250</v>
          </cell>
        </row>
        <row r="180">
          <cell r="C180">
            <v>8010024445</v>
          </cell>
        </row>
        <row r="180">
          <cell r="H180">
            <v>4550</v>
          </cell>
        </row>
        <row r="181">
          <cell r="C181">
            <v>8010024661</v>
          </cell>
        </row>
        <row r="181">
          <cell r="H181">
            <v>5000</v>
          </cell>
        </row>
        <row r="182">
          <cell r="C182">
            <v>8010024662</v>
          </cell>
        </row>
        <row r="182">
          <cell r="H182">
            <v>5919</v>
          </cell>
        </row>
        <row r="183">
          <cell r="C183">
            <v>8010024446</v>
          </cell>
        </row>
        <row r="183">
          <cell r="H183">
            <v>6264</v>
          </cell>
        </row>
        <row r="184">
          <cell r="C184">
            <v>8010024382</v>
          </cell>
        </row>
        <row r="184">
          <cell r="H184">
            <v>10911</v>
          </cell>
        </row>
        <row r="185">
          <cell r="C185">
            <v>8010024811</v>
          </cell>
        </row>
        <row r="185">
          <cell r="H185">
            <v>26671</v>
          </cell>
        </row>
        <row r="186">
          <cell r="C186">
            <v>8010024383</v>
          </cell>
        </row>
        <row r="186">
          <cell r="H186">
            <v>28995</v>
          </cell>
        </row>
        <row r="187">
          <cell r="C187">
            <v>8010024384</v>
          </cell>
        </row>
        <row r="187">
          <cell r="H187">
            <v>30966</v>
          </cell>
        </row>
        <row r="188">
          <cell r="C188">
            <v>8010024447</v>
          </cell>
        </row>
        <row r="188">
          <cell r="H188">
            <v>57991</v>
          </cell>
        </row>
        <row r="189">
          <cell r="C189">
            <v>8010024385</v>
          </cell>
        </row>
        <row r="189">
          <cell r="H189">
            <v>53191</v>
          </cell>
        </row>
        <row r="190">
          <cell r="C190">
            <v>8011021689</v>
          </cell>
        </row>
        <row r="190">
          <cell r="H190">
            <v>115533</v>
          </cell>
        </row>
        <row r="191">
          <cell r="C191">
            <v>8011021690</v>
          </cell>
        </row>
        <row r="191">
          <cell r="H191">
            <v>174567</v>
          </cell>
        </row>
        <row r="192">
          <cell r="C192">
            <v>8011021691</v>
          </cell>
        </row>
        <row r="192">
          <cell r="H192">
            <v>222959</v>
          </cell>
        </row>
        <row r="193">
          <cell r="C193">
            <v>80516397</v>
          </cell>
        </row>
        <row r="193">
          <cell r="H193">
            <v>13108</v>
          </cell>
        </row>
        <row r="194">
          <cell r="C194">
            <v>80516416</v>
          </cell>
        </row>
        <row r="194">
          <cell r="H194">
            <v>21689</v>
          </cell>
        </row>
        <row r="195">
          <cell r="C195">
            <v>80516401</v>
          </cell>
        </row>
        <row r="195">
          <cell r="H195">
            <v>26419</v>
          </cell>
        </row>
        <row r="196">
          <cell r="C196">
            <v>80516405</v>
          </cell>
        </row>
        <row r="196">
          <cell r="H196">
            <v>39595</v>
          </cell>
        </row>
        <row r="197">
          <cell r="C197">
            <v>80516412</v>
          </cell>
        </row>
        <row r="197">
          <cell r="H197">
            <v>139392</v>
          </cell>
        </row>
        <row r="198">
          <cell r="C198">
            <v>80516417</v>
          </cell>
        </row>
        <row r="198">
          <cell r="H198">
            <v>25135</v>
          </cell>
        </row>
        <row r="199">
          <cell r="C199">
            <v>80516421</v>
          </cell>
        </row>
        <row r="199">
          <cell r="H199">
            <v>54392</v>
          </cell>
        </row>
        <row r="200">
          <cell r="C200">
            <v>80516424</v>
          </cell>
        </row>
        <row r="200">
          <cell r="H200">
            <v>114527</v>
          </cell>
        </row>
        <row r="201">
          <cell r="C201">
            <v>80516428</v>
          </cell>
        </row>
        <row r="201">
          <cell r="H201">
            <v>968851</v>
          </cell>
        </row>
        <row r="202">
          <cell r="C202">
            <v>80516420</v>
          </cell>
        </row>
        <row r="202">
          <cell r="H202">
            <v>38243</v>
          </cell>
        </row>
        <row r="203">
          <cell r="C203">
            <v>80516422</v>
          </cell>
        </row>
        <row r="203">
          <cell r="H203">
            <v>68649</v>
          </cell>
        </row>
        <row r="204">
          <cell r="C204">
            <v>80516543</v>
          </cell>
        </row>
        <row r="204">
          <cell r="H204">
            <v>0</v>
          </cell>
        </row>
        <row r="205">
          <cell r="C205">
            <v>80516427</v>
          </cell>
        </row>
        <row r="205">
          <cell r="H205">
            <v>471081</v>
          </cell>
        </row>
        <row r="206">
          <cell r="C206">
            <v>80516425</v>
          </cell>
        </row>
        <row r="206">
          <cell r="H206">
            <v>201351</v>
          </cell>
        </row>
        <row r="207">
          <cell r="C207">
            <v>8010025106</v>
          </cell>
        </row>
        <row r="207">
          <cell r="H207">
            <v>88648</v>
          </cell>
        </row>
        <row r="208">
          <cell r="C208">
            <v>80516379</v>
          </cell>
        </row>
        <row r="208">
          <cell r="H208">
            <v>878</v>
          </cell>
        </row>
        <row r="209">
          <cell r="C209">
            <v>80516363</v>
          </cell>
        </row>
        <row r="209">
          <cell r="H209">
            <v>21284</v>
          </cell>
        </row>
        <row r="210">
          <cell r="C210">
            <v>80516380</v>
          </cell>
        </row>
        <row r="210">
          <cell r="H210">
            <v>30270</v>
          </cell>
        </row>
        <row r="211">
          <cell r="C211">
            <v>80516367</v>
          </cell>
        </row>
        <row r="211">
          <cell r="H211">
            <v>40743</v>
          </cell>
        </row>
        <row r="212">
          <cell r="C212">
            <v>80516375</v>
          </cell>
        </row>
        <row r="212">
          <cell r="H212">
            <v>255000</v>
          </cell>
        </row>
        <row r="213">
          <cell r="C213">
            <v>80516378</v>
          </cell>
        </row>
        <row r="213">
          <cell r="H213">
            <v>532230</v>
          </cell>
        </row>
        <row r="214">
          <cell r="C214">
            <v>8010025107</v>
          </cell>
        </row>
        <row r="214">
          <cell r="H214">
            <v>52649</v>
          </cell>
        </row>
        <row r="215">
          <cell r="C215">
            <v>8010025487</v>
          </cell>
        </row>
        <row r="215">
          <cell r="H215">
            <v>168446</v>
          </cell>
        </row>
        <row r="216">
          <cell r="C216">
            <v>80516504</v>
          </cell>
        </row>
        <row r="216">
          <cell r="H216">
            <v>0</v>
          </cell>
        </row>
        <row r="217">
          <cell r="C217">
            <v>80516358</v>
          </cell>
        </row>
        <row r="217">
          <cell r="H217">
            <v>15541</v>
          </cell>
        </row>
        <row r="218">
          <cell r="C218">
            <v>102277</v>
          </cell>
        </row>
        <row r="218">
          <cell r="H218">
            <v>28716</v>
          </cell>
        </row>
        <row r="219">
          <cell r="C219">
            <v>80516366</v>
          </cell>
        </row>
        <row r="219">
          <cell r="H219">
            <v>37365</v>
          </cell>
        </row>
        <row r="220">
          <cell r="C220">
            <v>80516513</v>
          </cell>
        </row>
        <row r="220">
          <cell r="H220">
            <v>0</v>
          </cell>
        </row>
        <row r="221">
          <cell r="C221">
            <v>80516359</v>
          </cell>
        </row>
        <row r="221">
          <cell r="H221">
            <v>71149</v>
          </cell>
        </row>
        <row r="222">
          <cell r="C222">
            <v>80516361</v>
          </cell>
        </row>
        <row r="222">
          <cell r="H222">
            <v>100135</v>
          </cell>
        </row>
        <row r="223">
          <cell r="C223">
            <v>80516374</v>
          </cell>
        </row>
        <row r="223">
          <cell r="H223">
            <v>227635</v>
          </cell>
        </row>
        <row r="224">
          <cell r="C224">
            <v>80516376</v>
          </cell>
        </row>
        <row r="224">
          <cell r="H224">
            <v>356824</v>
          </cell>
        </row>
        <row r="225">
          <cell r="C225">
            <v>80516377</v>
          </cell>
        </row>
        <row r="225">
          <cell r="H225">
            <v>454865</v>
          </cell>
        </row>
        <row r="226">
          <cell r="C226">
            <v>80090938</v>
          </cell>
        </row>
        <row r="226">
          <cell r="H226">
            <v>443700</v>
          </cell>
        </row>
        <row r="227">
          <cell r="C227">
            <v>8020022639</v>
          </cell>
        </row>
        <row r="227">
          <cell r="H227">
            <v>1174</v>
          </cell>
        </row>
        <row r="228">
          <cell r="C228">
            <v>8020022808</v>
          </cell>
        </row>
        <row r="228">
          <cell r="H228">
            <v>1364</v>
          </cell>
        </row>
        <row r="229">
          <cell r="C229">
            <v>8020022667</v>
          </cell>
        </row>
        <row r="229">
          <cell r="H229">
            <v>2021</v>
          </cell>
        </row>
        <row r="230">
          <cell r="C230">
            <v>8020022624</v>
          </cell>
        </row>
        <row r="230">
          <cell r="H230">
            <v>3317</v>
          </cell>
        </row>
        <row r="231">
          <cell r="C231">
            <v>8020022668</v>
          </cell>
        </row>
        <row r="231">
          <cell r="H231">
            <v>5102</v>
          </cell>
        </row>
        <row r="232">
          <cell r="C232">
            <v>8020022669</v>
          </cell>
        </row>
        <row r="232">
          <cell r="H232">
            <v>8950</v>
          </cell>
        </row>
        <row r="233">
          <cell r="C233">
            <v>8020022670</v>
          </cell>
        </row>
        <row r="233">
          <cell r="H233">
            <v>22075</v>
          </cell>
        </row>
        <row r="234">
          <cell r="C234">
            <v>8020026064</v>
          </cell>
        </row>
        <row r="234">
          <cell r="H234">
            <v>53459</v>
          </cell>
        </row>
        <row r="235">
          <cell r="C235">
            <v>8020026152</v>
          </cell>
        </row>
        <row r="235">
          <cell r="H235">
            <v>73729</v>
          </cell>
        </row>
        <row r="236">
          <cell r="C236">
            <v>8020026151</v>
          </cell>
        </row>
        <row r="236">
          <cell r="H236">
            <v>114013</v>
          </cell>
        </row>
        <row r="237">
          <cell r="C237">
            <v>8020022805</v>
          </cell>
        </row>
        <row r="237">
          <cell r="H237">
            <v>1633</v>
          </cell>
        </row>
        <row r="238">
          <cell r="C238">
            <v>8020022754</v>
          </cell>
        </row>
        <row r="238">
          <cell r="H238">
            <v>1869</v>
          </cell>
        </row>
        <row r="239">
          <cell r="C239">
            <v>8020022742</v>
          </cell>
        </row>
        <row r="239">
          <cell r="H239">
            <v>3244</v>
          </cell>
        </row>
        <row r="240">
          <cell r="C240">
            <v>8020022618</v>
          </cell>
        </row>
        <row r="240">
          <cell r="H240">
            <v>5001</v>
          </cell>
        </row>
        <row r="241">
          <cell r="C241">
            <v>8020022755</v>
          </cell>
        </row>
        <row r="241">
          <cell r="H241">
            <v>7064</v>
          </cell>
        </row>
        <row r="242">
          <cell r="C242">
            <v>8020022756</v>
          </cell>
        </row>
        <row r="242">
          <cell r="H242">
            <v>11951</v>
          </cell>
        </row>
        <row r="243">
          <cell r="C243">
            <v>8020026126</v>
          </cell>
        </row>
        <row r="243">
          <cell r="H243">
            <v>24830</v>
          </cell>
        </row>
        <row r="244">
          <cell r="C244">
            <v>8020022757</v>
          </cell>
        </row>
        <row r="244">
          <cell r="H244">
            <v>50059</v>
          </cell>
        </row>
        <row r="245">
          <cell r="C245">
            <v>8020026127</v>
          </cell>
        </row>
        <row r="245">
          <cell r="H245">
            <v>86396</v>
          </cell>
        </row>
        <row r="246">
          <cell r="C246">
            <v>8020026142</v>
          </cell>
        </row>
        <row r="246">
          <cell r="H246">
            <v>125922</v>
          </cell>
        </row>
        <row r="247">
          <cell r="C247">
            <v>8020026143</v>
          </cell>
        </row>
        <row r="247">
          <cell r="H247">
            <v>195342</v>
          </cell>
        </row>
        <row r="248">
          <cell r="C248">
            <v>8020022746</v>
          </cell>
        </row>
        <row r="248">
          <cell r="H248">
            <v>1607</v>
          </cell>
        </row>
        <row r="249">
          <cell r="C249">
            <v>8020022760</v>
          </cell>
        </row>
        <row r="249">
          <cell r="H249">
            <v>2032</v>
          </cell>
        </row>
        <row r="250">
          <cell r="C250">
            <v>8020022822</v>
          </cell>
        </row>
        <row r="250">
          <cell r="H250">
            <v>3198</v>
          </cell>
        </row>
        <row r="251">
          <cell r="C251">
            <v>8020022619</v>
          </cell>
        </row>
        <row r="251">
          <cell r="H251">
            <v>5715</v>
          </cell>
        </row>
        <row r="252">
          <cell r="C252">
            <v>8020022650</v>
          </cell>
        </row>
        <row r="252">
          <cell r="H252">
            <v>7242</v>
          </cell>
        </row>
        <row r="253">
          <cell r="C253">
            <v>8020022806</v>
          </cell>
        </row>
        <row r="253">
          <cell r="H253">
            <v>14351</v>
          </cell>
        </row>
        <row r="254">
          <cell r="C254">
            <v>8020026128</v>
          </cell>
        </row>
        <row r="254">
          <cell r="H254">
            <v>34205</v>
          </cell>
        </row>
        <row r="255">
          <cell r="C255">
            <v>8020022807</v>
          </cell>
        </row>
        <row r="255">
          <cell r="H255">
            <v>47584</v>
          </cell>
        </row>
        <row r="256">
          <cell r="C256">
            <v>8020026144</v>
          </cell>
        </row>
        <row r="256">
          <cell r="H256">
            <v>112747</v>
          </cell>
        </row>
        <row r="257">
          <cell r="C257">
            <v>8020026145</v>
          </cell>
        </row>
        <row r="257">
          <cell r="H257">
            <v>162659</v>
          </cell>
        </row>
        <row r="258">
          <cell r="C258">
            <v>8020026146</v>
          </cell>
        </row>
        <row r="258">
          <cell r="H258">
            <v>240694</v>
          </cell>
        </row>
        <row r="259">
          <cell r="C259">
            <v>8020022759</v>
          </cell>
        </row>
        <row r="259">
          <cell r="H259">
            <v>2705</v>
          </cell>
        </row>
        <row r="260">
          <cell r="C260">
            <v>8020022649</v>
          </cell>
        </row>
        <row r="260">
          <cell r="H260">
            <v>5759</v>
          </cell>
        </row>
        <row r="261">
          <cell r="C261">
            <v>8020022789</v>
          </cell>
        </row>
        <row r="261">
          <cell r="H261">
            <v>12881</v>
          </cell>
        </row>
        <row r="262">
          <cell r="C262">
            <v>8020022744</v>
          </cell>
        </row>
        <row r="262">
          <cell r="H262">
            <v>26550</v>
          </cell>
        </row>
        <row r="263">
          <cell r="C263">
            <v>8020022745</v>
          </cell>
        </row>
        <row r="263">
          <cell r="H263">
            <v>80520</v>
          </cell>
        </row>
        <row r="264">
          <cell r="C264">
            <v>8020022651</v>
          </cell>
        </row>
        <row r="264">
          <cell r="H264">
            <v>2296</v>
          </cell>
        </row>
        <row r="265">
          <cell r="C265">
            <v>8020022652</v>
          </cell>
        </row>
        <row r="265">
          <cell r="H265">
            <v>3182</v>
          </cell>
        </row>
        <row r="266">
          <cell r="C266">
            <v>8020022784</v>
          </cell>
        </row>
        <row r="266">
          <cell r="H266">
            <v>4132</v>
          </cell>
        </row>
        <row r="267">
          <cell r="C267">
            <v>8020022628</v>
          </cell>
        </row>
        <row r="267">
          <cell r="H267">
            <v>8471</v>
          </cell>
        </row>
        <row r="268">
          <cell r="C268">
            <v>8020022761</v>
          </cell>
        </row>
        <row r="268">
          <cell r="H268">
            <v>11063</v>
          </cell>
        </row>
        <row r="269">
          <cell r="C269">
            <v>8020022653</v>
          </cell>
        </row>
        <row r="269">
          <cell r="H269">
            <v>18882</v>
          </cell>
        </row>
        <row r="270">
          <cell r="C270">
            <v>8020026063</v>
          </cell>
        </row>
        <row r="270">
          <cell r="H270">
            <v>39727</v>
          </cell>
        </row>
        <row r="271">
          <cell r="C271">
            <v>8020022638</v>
          </cell>
        </row>
        <row r="271">
          <cell r="H271">
            <v>65568</v>
          </cell>
        </row>
        <row r="272">
          <cell r="C272">
            <v>8020026147</v>
          </cell>
        </row>
        <row r="272">
          <cell r="H272">
            <v>136815</v>
          </cell>
        </row>
        <row r="273">
          <cell r="C273">
            <v>8020026148</v>
          </cell>
        </row>
        <row r="273">
          <cell r="H273">
            <v>218145</v>
          </cell>
        </row>
        <row r="274">
          <cell r="C274">
            <v>8020026176</v>
          </cell>
        </row>
        <row r="274">
          <cell r="H274">
            <v>319997</v>
          </cell>
        </row>
        <row r="275">
          <cell r="C275">
            <v>8020022747</v>
          </cell>
        </row>
        <row r="275">
          <cell r="H275">
            <v>8386</v>
          </cell>
        </row>
        <row r="276">
          <cell r="C276">
            <v>8020022762</v>
          </cell>
        </row>
        <row r="276">
          <cell r="H276">
            <v>9699</v>
          </cell>
        </row>
        <row r="277">
          <cell r="C277">
            <v>8020022763</v>
          </cell>
        </row>
        <row r="277">
          <cell r="H277">
            <v>10869</v>
          </cell>
        </row>
        <row r="278">
          <cell r="C278">
            <v>8020022823</v>
          </cell>
        </row>
        <row r="278">
          <cell r="H278">
            <v>15850</v>
          </cell>
        </row>
        <row r="279">
          <cell r="C279">
            <v>8020022815</v>
          </cell>
        </row>
        <row r="279">
          <cell r="H279">
            <v>18599</v>
          </cell>
        </row>
        <row r="280">
          <cell r="C280">
            <v>8020022847</v>
          </cell>
        </row>
        <row r="280">
          <cell r="H280">
            <v>50799</v>
          </cell>
        </row>
        <row r="281">
          <cell r="C281">
            <v>8020025899</v>
          </cell>
        </row>
        <row r="281">
          <cell r="H281">
            <v>116294</v>
          </cell>
        </row>
        <row r="282">
          <cell r="C282">
            <v>8020026149</v>
          </cell>
        </row>
        <row r="282">
          <cell r="H282">
            <v>186476</v>
          </cell>
        </row>
        <row r="283">
          <cell r="C283">
            <v>8020026150</v>
          </cell>
        </row>
        <row r="283">
          <cell r="H283">
            <v>277685</v>
          </cell>
        </row>
        <row r="284">
          <cell r="C284">
            <v>80516487</v>
          </cell>
        </row>
        <row r="284">
          <cell r="H284">
            <v>93243</v>
          </cell>
        </row>
        <row r="285">
          <cell r="C285">
            <v>8020022629</v>
          </cell>
        </row>
        <row r="285">
          <cell r="H285">
            <v>4041</v>
          </cell>
        </row>
        <row r="286">
          <cell r="C286">
            <v>8020022748</v>
          </cell>
        </row>
        <row r="286">
          <cell r="H286">
            <v>7880</v>
          </cell>
        </row>
        <row r="287">
          <cell r="C287">
            <v>8020022846</v>
          </cell>
        </row>
        <row r="287">
          <cell r="H287">
            <v>12400</v>
          </cell>
        </row>
        <row r="288">
          <cell r="C288">
            <v>8020022785</v>
          </cell>
        </row>
        <row r="288">
          <cell r="H288">
            <v>16872</v>
          </cell>
        </row>
        <row r="289">
          <cell r="C289">
            <v>8020022764</v>
          </cell>
        </row>
        <row r="289">
          <cell r="H289">
            <v>30649</v>
          </cell>
        </row>
        <row r="290">
          <cell r="C290">
            <v>8020022881</v>
          </cell>
        </row>
        <row r="290">
          <cell r="H290">
            <v>100321</v>
          </cell>
        </row>
        <row r="291">
          <cell r="C291">
            <v>8020022765</v>
          </cell>
        </row>
        <row r="291">
          <cell r="H291">
            <v>4032</v>
          </cell>
        </row>
        <row r="292">
          <cell r="C292">
            <v>8020022787</v>
          </cell>
        </row>
        <row r="292">
          <cell r="H292">
            <v>8032</v>
          </cell>
        </row>
        <row r="293">
          <cell r="C293">
            <v>8020022655</v>
          </cell>
        </row>
        <row r="293">
          <cell r="H293">
            <v>19599</v>
          </cell>
        </row>
        <row r="294">
          <cell r="C294">
            <v>8020022656</v>
          </cell>
        </row>
        <row r="294">
          <cell r="H294">
            <v>26799</v>
          </cell>
        </row>
        <row r="295">
          <cell r="C295">
            <v>8020022750</v>
          </cell>
        </row>
        <row r="295">
          <cell r="H295">
            <v>67941</v>
          </cell>
        </row>
        <row r="296">
          <cell r="C296">
            <v>8020022786</v>
          </cell>
        </row>
        <row r="296">
          <cell r="H296">
            <v>5759</v>
          </cell>
        </row>
        <row r="297">
          <cell r="C297">
            <v>8020022766</v>
          </cell>
        </row>
        <row r="297">
          <cell r="H297">
            <v>9899</v>
          </cell>
        </row>
        <row r="298">
          <cell r="C298">
            <v>8020022749</v>
          </cell>
        </row>
        <row r="298">
          <cell r="H298">
            <v>12831</v>
          </cell>
        </row>
        <row r="299">
          <cell r="C299">
            <v>8020022630</v>
          </cell>
        </row>
        <row r="299">
          <cell r="H299">
            <v>16738</v>
          </cell>
        </row>
        <row r="300">
          <cell r="C300">
            <v>80516523</v>
          </cell>
        </row>
        <row r="300">
          <cell r="H300">
            <v>222162</v>
          </cell>
        </row>
        <row r="301">
          <cell r="C301">
            <v>8020022648</v>
          </cell>
        </row>
        <row r="301">
          <cell r="H301">
            <v>4546</v>
          </cell>
        </row>
        <row r="302">
          <cell r="C302">
            <v>8020022813</v>
          </cell>
        </row>
        <row r="302">
          <cell r="H302">
            <v>7072</v>
          </cell>
        </row>
        <row r="303">
          <cell r="C303">
            <v>8020022821</v>
          </cell>
        </row>
        <row r="303">
          <cell r="H303">
            <v>15154</v>
          </cell>
        </row>
        <row r="304">
          <cell r="C304">
            <v>8020022790</v>
          </cell>
        </row>
        <row r="304">
          <cell r="H304">
            <v>31199</v>
          </cell>
        </row>
        <row r="305">
          <cell r="C305">
            <v>8020022636</v>
          </cell>
        </row>
        <row r="305">
          <cell r="H305">
            <v>98200</v>
          </cell>
        </row>
        <row r="306">
          <cell r="C306">
            <v>80516536</v>
          </cell>
        </row>
        <row r="306">
          <cell r="H306">
            <v>13108</v>
          </cell>
        </row>
        <row r="307">
          <cell r="C307">
            <v>8020022814</v>
          </cell>
        </row>
        <row r="307">
          <cell r="H307">
            <v>3878</v>
          </cell>
        </row>
        <row r="308">
          <cell r="C308">
            <v>8020022743</v>
          </cell>
        </row>
        <row r="308">
          <cell r="H308">
            <v>4644</v>
          </cell>
        </row>
        <row r="309">
          <cell r="C309">
            <v>8020022940</v>
          </cell>
        </row>
        <row r="309">
          <cell r="H309">
            <v>12377</v>
          </cell>
        </row>
        <row r="310">
          <cell r="C310">
            <v>8020022758</v>
          </cell>
        </row>
        <row r="310">
          <cell r="H310">
            <v>19100</v>
          </cell>
        </row>
        <row r="311">
          <cell r="C311">
            <v>8020022791</v>
          </cell>
        </row>
        <row r="311">
          <cell r="H311">
            <v>26850</v>
          </cell>
        </row>
        <row r="312">
          <cell r="C312">
            <v>8020022637</v>
          </cell>
        </row>
        <row r="312">
          <cell r="H312">
            <v>79004</v>
          </cell>
        </row>
        <row r="313">
          <cell r="C313">
            <v>8020022824</v>
          </cell>
        </row>
        <row r="313">
          <cell r="H313">
            <v>49549</v>
          </cell>
        </row>
        <row r="314">
          <cell r="C314">
            <v>8020022631</v>
          </cell>
        </row>
        <row r="314">
          <cell r="H314">
            <v>9850</v>
          </cell>
        </row>
        <row r="315">
          <cell r="C315">
            <v>8020022632</v>
          </cell>
        </row>
        <row r="315">
          <cell r="H315">
            <v>14599</v>
          </cell>
        </row>
        <row r="316">
          <cell r="C316">
            <v>8020022917</v>
          </cell>
        </row>
        <row r="316">
          <cell r="H316">
            <v>8285</v>
          </cell>
        </row>
        <row r="317">
          <cell r="C317">
            <v>80516490</v>
          </cell>
        </row>
        <row r="317">
          <cell r="H317">
            <v>11081</v>
          </cell>
        </row>
        <row r="318">
          <cell r="C318">
            <v>80516492</v>
          </cell>
        </row>
        <row r="318">
          <cell r="H318">
            <v>23581</v>
          </cell>
        </row>
        <row r="319">
          <cell r="C319">
            <v>8020022809</v>
          </cell>
        </row>
        <row r="319">
          <cell r="H319">
            <v>3586</v>
          </cell>
        </row>
        <row r="320">
          <cell r="C320">
            <v>8020022671</v>
          </cell>
        </row>
        <row r="320">
          <cell r="H320">
            <v>5658</v>
          </cell>
        </row>
        <row r="321">
          <cell r="C321">
            <v>8020022672</v>
          </cell>
        </row>
        <row r="321">
          <cell r="H321">
            <v>14450</v>
          </cell>
        </row>
        <row r="322">
          <cell r="C322">
            <v>8020022753</v>
          </cell>
        </row>
        <row r="322">
          <cell r="H322">
            <v>14750</v>
          </cell>
        </row>
        <row r="323">
          <cell r="C323">
            <v>8020022620</v>
          </cell>
        </row>
        <row r="323">
          <cell r="H323">
            <v>1990</v>
          </cell>
        </row>
        <row r="324">
          <cell r="C324">
            <v>8020022621</v>
          </cell>
        </row>
        <row r="324">
          <cell r="H324">
            <v>2677</v>
          </cell>
        </row>
        <row r="325">
          <cell r="C325">
            <v>8020022622</v>
          </cell>
        </row>
        <row r="325">
          <cell r="H325">
            <v>3687</v>
          </cell>
        </row>
        <row r="326">
          <cell r="C326">
            <v>8020022623</v>
          </cell>
        </row>
        <row r="326">
          <cell r="H326">
            <v>5759</v>
          </cell>
        </row>
        <row r="327">
          <cell r="C327">
            <v>8020022654</v>
          </cell>
        </row>
        <row r="327">
          <cell r="H327">
            <v>10650</v>
          </cell>
        </row>
        <row r="328">
          <cell r="C328">
            <v>8020022657</v>
          </cell>
        </row>
        <row r="328">
          <cell r="H328">
            <v>1735</v>
          </cell>
        </row>
        <row r="329">
          <cell r="C329">
            <v>8020022658</v>
          </cell>
        </row>
        <row r="329">
          <cell r="H329">
            <v>2195</v>
          </cell>
        </row>
        <row r="330">
          <cell r="C330">
            <v>8020022751</v>
          </cell>
        </row>
        <row r="330">
          <cell r="H330">
            <v>2273</v>
          </cell>
        </row>
        <row r="331">
          <cell r="C331">
            <v>8020022788</v>
          </cell>
        </row>
        <row r="331">
          <cell r="H331">
            <v>3486</v>
          </cell>
        </row>
        <row r="332">
          <cell r="C332">
            <v>8020022659</v>
          </cell>
        </row>
        <row r="332">
          <cell r="H332">
            <v>3725</v>
          </cell>
        </row>
        <row r="333">
          <cell r="C333">
            <v>8020022660</v>
          </cell>
        </row>
        <row r="333">
          <cell r="H333">
            <v>4395</v>
          </cell>
        </row>
        <row r="334">
          <cell r="C334">
            <v>8020022661</v>
          </cell>
        </row>
        <row r="334">
          <cell r="H334">
            <v>4697</v>
          </cell>
        </row>
        <row r="335">
          <cell r="C335">
            <v>8020022752</v>
          </cell>
        </row>
        <row r="335">
          <cell r="H335">
            <v>4796</v>
          </cell>
        </row>
        <row r="336">
          <cell r="C336">
            <v>8020022662</v>
          </cell>
        </row>
        <row r="336">
          <cell r="H336">
            <v>7800</v>
          </cell>
        </row>
        <row r="337">
          <cell r="C337">
            <v>8020022663</v>
          </cell>
        </row>
        <row r="337">
          <cell r="H337">
            <v>8828</v>
          </cell>
        </row>
        <row r="338">
          <cell r="C338">
            <v>8020022664</v>
          </cell>
        </row>
        <row r="338">
          <cell r="H338">
            <v>9100</v>
          </cell>
        </row>
        <row r="339">
          <cell r="C339">
            <v>8020022666</v>
          </cell>
        </row>
        <row r="339">
          <cell r="H339">
            <v>25762</v>
          </cell>
        </row>
        <row r="340">
          <cell r="C340">
            <v>8020022665</v>
          </cell>
        </row>
        <row r="340">
          <cell r="H340">
            <v>25409</v>
          </cell>
        </row>
        <row r="341">
          <cell r="C341">
            <v>8020026141</v>
          </cell>
        </row>
        <row r="341">
          <cell r="H341">
            <v>58019</v>
          </cell>
        </row>
        <row r="342">
          <cell r="C342">
            <v>8020026129</v>
          </cell>
        </row>
        <row r="342">
          <cell r="H342">
            <v>81076</v>
          </cell>
        </row>
        <row r="343">
          <cell r="C343">
            <v>8020026153</v>
          </cell>
        </row>
        <row r="343">
          <cell r="H343">
            <v>117306</v>
          </cell>
        </row>
        <row r="344">
          <cell r="C344">
            <v>80516550</v>
          </cell>
        </row>
        <row r="344">
          <cell r="H344">
            <v>2905</v>
          </cell>
        </row>
        <row r="345">
          <cell r="C345">
            <v>80516562</v>
          </cell>
        </row>
        <row r="345">
          <cell r="H345">
            <v>23108</v>
          </cell>
        </row>
        <row r="346">
          <cell r="C346">
            <v>80516429</v>
          </cell>
        </row>
        <row r="346">
          <cell r="H346">
            <v>9527</v>
          </cell>
        </row>
        <row r="347">
          <cell r="C347">
            <v>80516430</v>
          </cell>
        </row>
        <row r="347">
          <cell r="H347">
            <v>20946</v>
          </cell>
        </row>
        <row r="348">
          <cell r="C348">
            <v>80516431</v>
          </cell>
        </row>
        <row r="348">
          <cell r="H348">
            <v>34797</v>
          </cell>
        </row>
        <row r="349">
          <cell r="C349">
            <v>80516432</v>
          </cell>
        </row>
        <row r="349">
          <cell r="H349">
            <v>91149</v>
          </cell>
        </row>
        <row r="350">
          <cell r="C350">
            <v>80516433</v>
          </cell>
        </row>
        <row r="350">
          <cell r="H350">
            <v>0</v>
          </cell>
        </row>
        <row r="351">
          <cell r="C351" t="str">
            <v>PVC71345</v>
          </cell>
        </row>
        <row r="351">
          <cell r="H351">
            <v>4900</v>
          </cell>
        </row>
        <row r="352">
          <cell r="C352" t="str">
            <v>PVC71346</v>
          </cell>
        </row>
        <row r="352">
          <cell r="H352">
            <v>7150</v>
          </cell>
        </row>
        <row r="353">
          <cell r="C353" t="str">
            <v>PVC71347</v>
          </cell>
        </row>
        <row r="353">
          <cell r="H353">
            <v>12000</v>
          </cell>
        </row>
        <row r="354">
          <cell r="C354" t="str">
            <v>PVC71348</v>
          </cell>
        </row>
        <row r="354">
          <cell r="H354">
            <v>18300</v>
          </cell>
        </row>
        <row r="355">
          <cell r="C355" t="str">
            <v>PVC71349</v>
          </cell>
        </row>
        <row r="355">
          <cell r="H355">
            <v>25200</v>
          </cell>
        </row>
        <row r="356">
          <cell r="C356" t="str">
            <v>PVC71350</v>
          </cell>
        </row>
        <row r="356">
          <cell r="H356">
            <v>37800</v>
          </cell>
        </row>
        <row r="357">
          <cell r="C357" t="str">
            <v>PVC72853</v>
          </cell>
        </row>
        <row r="357">
          <cell r="H357">
            <v>65000</v>
          </cell>
        </row>
        <row r="358">
          <cell r="C358" t="str">
            <v>PVC72854</v>
          </cell>
        </row>
        <row r="358">
          <cell r="H358">
            <v>118000</v>
          </cell>
        </row>
        <row r="359">
          <cell r="C359" t="str">
            <v>PVC72855</v>
          </cell>
        </row>
        <row r="359">
          <cell r="H359">
            <v>216000</v>
          </cell>
        </row>
        <row r="360">
          <cell r="C360">
            <v>102321</v>
          </cell>
        </row>
        <row r="360">
          <cell r="H360">
            <v>0</v>
          </cell>
        </row>
        <row r="361">
          <cell r="C361">
            <v>8110010127</v>
          </cell>
        </row>
        <row r="361">
          <cell r="H361">
            <v>4284</v>
          </cell>
        </row>
        <row r="362">
          <cell r="C362">
            <v>8110010817</v>
          </cell>
        </row>
        <row r="362">
          <cell r="H362">
            <v>4586</v>
          </cell>
        </row>
        <row r="363">
          <cell r="C363">
            <v>8110010128</v>
          </cell>
        </row>
        <row r="363">
          <cell r="H363">
            <v>4500</v>
          </cell>
        </row>
        <row r="364">
          <cell r="C364">
            <v>8110010815</v>
          </cell>
        </row>
        <row r="364">
          <cell r="H364">
            <v>4523</v>
          </cell>
        </row>
        <row r="365">
          <cell r="C365">
            <v>8110010129</v>
          </cell>
        </row>
        <row r="365">
          <cell r="H365">
            <v>4047</v>
          </cell>
        </row>
        <row r="366">
          <cell r="C366">
            <v>8110010811</v>
          </cell>
        </row>
        <row r="366">
          <cell r="H366">
            <v>3678</v>
          </cell>
        </row>
        <row r="367">
          <cell r="C367">
            <v>8110010130</v>
          </cell>
        </row>
        <row r="367">
          <cell r="H367">
            <v>4350</v>
          </cell>
        </row>
        <row r="368">
          <cell r="C368">
            <v>8110010131</v>
          </cell>
        </row>
        <row r="368">
          <cell r="H368">
            <v>4436</v>
          </cell>
        </row>
        <row r="369">
          <cell r="C369">
            <v>8110010107</v>
          </cell>
        </row>
        <row r="369">
          <cell r="H369">
            <v>3115</v>
          </cell>
        </row>
        <row r="370">
          <cell r="C370">
            <v>8110010108</v>
          </cell>
        </row>
        <row r="370">
          <cell r="H370">
            <v>3224</v>
          </cell>
        </row>
        <row r="371">
          <cell r="C371">
            <v>8110010185</v>
          </cell>
        </row>
        <row r="371">
          <cell r="H371">
            <v>3072</v>
          </cell>
        </row>
        <row r="372">
          <cell r="C372">
            <v>8110010906</v>
          </cell>
        </row>
        <row r="372">
          <cell r="H372">
            <v>6059</v>
          </cell>
        </row>
        <row r="373">
          <cell r="C373">
            <v>8110010133</v>
          </cell>
        </row>
        <row r="373">
          <cell r="H373">
            <v>3722</v>
          </cell>
        </row>
        <row r="374">
          <cell r="C374">
            <v>8110010134</v>
          </cell>
        </row>
        <row r="374">
          <cell r="H374">
            <v>3895</v>
          </cell>
        </row>
        <row r="375">
          <cell r="C375">
            <v>8110010136</v>
          </cell>
        </row>
        <row r="375">
          <cell r="H375">
            <v>3981</v>
          </cell>
        </row>
        <row r="376">
          <cell r="C376">
            <v>8110010448</v>
          </cell>
        </row>
        <row r="376">
          <cell r="H376">
            <v>11835</v>
          </cell>
        </row>
        <row r="377">
          <cell r="C377">
            <v>8110010450</v>
          </cell>
        </row>
        <row r="377">
          <cell r="H377">
            <v>12549</v>
          </cell>
        </row>
        <row r="378">
          <cell r="C378">
            <v>8110010796</v>
          </cell>
        </row>
        <row r="378">
          <cell r="H378">
            <v>11014</v>
          </cell>
        </row>
        <row r="379">
          <cell r="C379">
            <v>8110010810</v>
          </cell>
        </row>
        <row r="379">
          <cell r="H379">
            <v>11857</v>
          </cell>
        </row>
        <row r="380">
          <cell r="C380">
            <v>8110010845</v>
          </cell>
        </row>
        <row r="380">
          <cell r="H380">
            <v>11900</v>
          </cell>
        </row>
        <row r="381">
          <cell r="C381">
            <v>8110010755</v>
          </cell>
        </row>
        <row r="381">
          <cell r="H381">
            <v>6361</v>
          </cell>
        </row>
        <row r="382">
          <cell r="C382">
            <v>80516584</v>
          </cell>
        </row>
        <row r="382">
          <cell r="H382">
            <v>15000</v>
          </cell>
        </row>
        <row r="383">
          <cell r="C383" t="str">
            <v>GPR-LL02L00004</v>
          </cell>
        </row>
        <row r="383">
          <cell r="H383">
            <v>43243</v>
          </cell>
        </row>
        <row r="384">
          <cell r="C384" t="str">
            <v>GPR-LL02L21002</v>
          </cell>
        </row>
        <row r="384">
          <cell r="H384">
            <v>42000</v>
          </cell>
        </row>
        <row r="385">
          <cell r="C385">
            <v>80516585</v>
          </cell>
        </row>
        <row r="385">
          <cell r="H385">
            <v>41284</v>
          </cell>
        </row>
        <row r="386">
          <cell r="C386">
            <v>8010062265</v>
          </cell>
        </row>
        <row r="386">
          <cell r="H386">
            <v>16510</v>
          </cell>
        </row>
        <row r="387">
          <cell r="C387">
            <v>8010062266</v>
          </cell>
        </row>
        <row r="387">
          <cell r="H387">
            <v>21631</v>
          </cell>
        </row>
        <row r="388">
          <cell r="C388">
            <v>8010062267</v>
          </cell>
        </row>
        <row r="388">
          <cell r="H388">
            <v>34697</v>
          </cell>
        </row>
        <row r="389">
          <cell r="C389">
            <v>8010062268</v>
          </cell>
        </row>
        <row r="389">
          <cell r="H389">
            <v>56416</v>
          </cell>
        </row>
        <row r="390">
          <cell r="C390">
            <v>8010062269</v>
          </cell>
        </row>
        <row r="390">
          <cell r="H390">
            <v>87405</v>
          </cell>
        </row>
        <row r="391">
          <cell r="C391">
            <v>8010062270</v>
          </cell>
        </row>
        <row r="391">
          <cell r="H391">
            <v>138348</v>
          </cell>
        </row>
        <row r="392">
          <cell r="C392">
            <v>8010062271</v>
          </cell>
        </row>
        <row r="392">
          <cell r="H392">
            <v>193616</v>
          </cell>
        </row>
        <row r="393">
          <cell r="C393">
            <v>8010062272</v>
          </cell>
        </row>
        <row r="393">
          <cell r="H393">
            <v>289586</v>
          </cell>
        </row>
        <row r="394">
          <cell r="C394">
            <v>8010062273</v>
          </cell>
        </row>
        <row r="394">
          <cell r="H394">
            <v>430052</v>
          </cell>
        </row>
        <row r="395">
          <cell r="C395">
            <v>8010062274</v>
          </cell>
        </row>
        <row r="395">
          <cell r="H395">
            <v>862303</v>
          </cell>
        </row>
        <row r="396">
          <cell r="C396">
            <v>8010062275</v>
          </cell>
        </row>
        <row r="396">
          <cell r="H396">
            <v>1465497</v>
          </cell>
        </row>
        <row r="397">
          <cell r="C397">
            <v>8010062276</v>
          </cell>
        </row>
        <row r="397">
          <cell r="H397">
            <v>20130</v>
          </cell>
        </row>
        <row r="398">
          <cell r="C398">
            <v>8010062277</v>
          </cell>
        </row>
        <row r="398">
          <cell r="H398">
            <v>31740</v>
          </cell>
        </row>
        <row r="399">
          <cell r="C399">
            <v>8010062278</v>
          </cell>
        </row>
        <row r="399">
          <cell r="H399">
            <v>50942</v>
          </cell>
        </row>
        <row r="400">
          <cell r="C400">
            <v>8010062279</v>
          </cell>
        </row>
        <row r="400">
          <cell r="H400">
            <v>81225</v>
          </cell>
        </row>
        <row r="401">
          <cell r="C401">
            <v>8010062280</v>
          </cell>
        </row>
        <row r="401">
          <cell r="H401">
            <v>126694</v>
          </cell>
        </row>
        <row r="402">
          <cell r="C402">
            <v>8010062281</v>
          </cell>
        </row>
        <row r="402">
          <cell r="H402">
            <v>199223</v>
          </cell>
        </row>
        <row r="403">
          <cell r="C403">
            <v>8010062282</v>
          </cell>
        </row>
        <row r="403">
          <cell r="H403">
            <v>283670</v>
          </cell>
        </row>
        <row r="404">
          <cell r="C404">
            <v>8010062283</v>
          </cell>
        </row>
        <row r="404">
          <cell r="H404">
            <v>421400</v>
          </cell>
        </row>
        <row r="405">
          <cell r="C405">
            <v>8010062284</v>
          </cell>
        </row>
        <row r="405">
          <cell r="H405">
            <v>631217</v>
          </cell>
        </row>
        <row r="406">
          <cell r="C406">
            <v>8010062285</v>
          </cell>
        </row>
        <row r="406">
          <cell r="H406">
            <v>1070941</v>
          </cell>
        </row>
        <row r="407">
          <cell r="C407">
            <v>8010062286</v>
          </cell>
        </row>
        <row r="407">
          <cell r="H407">
            <v>2125011</v>
          </cell>
        </row>
        <row r="408">
          <cell r="C408">
            <v>8010062287</v>
          </cell>
        </row>
        <row r="408">
          <cell r="H408">
            <v>22911</v>
          </cell>
        </row>
        <row r="409">
          <cell r="C409">
            <v>8010062288</v>
          </cell>
        </row>
        <row r="409">
          <cell r="H409">
            <v>35139</v>
          </cell>
        </row>
        <row r="410">
          <cell r="C410">
            <v>8010062289</v>
          </cell>
        </row>
        <row r="410">
          <cell r="H410">
            <v>57696</v>
          </cell>
        </row>
        <row r="411">
          <cell r="C411">
            <v>8010062290</v>
          </cell>
        </row>
        <row r="411">
          <cell r="H411">
            <v>91158</v>
          </cell>
        </row>
        <row r="412">
          <cell r="C412">
            <v>8010062291</v>
          </cell>
        </row>
        <row r="412">
          <cell r="H412">
            <v>142453</v>
          </cell>
        </row>
        <row r="413">
          <cell r="C413">
            <v>8010062292</v>
          </cell>
        </row>
        <row r="413">
          <cell r="H413">
            <v>225665</v>
          </cell>
        </row>
        <row r="414">
          <cell r="C414">
            <v>8010062293</v>
          </cell>
        </row>
        <row r="414">
          <cell r="H414">
            <v>319471</v>
          </cell>
        </row>
        <row r="415">
          <cell r="C415">
            <v>8010062294</v>
          </cell>
        </row>
        <row r="415">
          <cell r="H415">
            <v>475962</v>
          </cell>
        </row>
        <row r="416">
          <cell r="C416">
            <v>8010062295</v>
          </cell>
        </row>
        <row r="416">
          <cell r="H416">
            <v>711250</v>
          </cell>
        </row>
        <row r="417">
          <cell r="C417">
            <v>8010062296</v>
          </cell>
        </row>
        <row r="417">
          <cell r="H417">
            <v>1196790</v>
          </cell>
        </row>
        <row r="418">
          <cell r="C418">
            <v>8010062297</v>
          </cell>
        </row>
        <row r="418">
          <cell r="H418">
            <v>2423734</v>
          </cell>
        </row>
        <row r="419">
          <cell r="C419">
            <v>8010062298</v>
          </cell>
        </row>
        <row r="419">
          <cell r="H419">
            <v>25202</v>
          </cell>
        </row>
        <row r="420">
          <cell r="C420">
            <v>8010062299</v>
          </cell>
        </row>
        <row r="420">
          <cell r="H420">
            <v>38652</v>
          </cell>
        </row>
        <row r="421">
          <cell r="C421">
            <v>8010062300</v>
          </cell>
        </row>
        <row r="421">
          <cell r="H421">
            <v>63466</v>
          </cell>
        </row>
        <row r="422">
          <cell r="C422">
            <v>8010062301</v>
          </cell>
        </row>
        <row r="422">
          <cell r="H422">
            <v>100273</v>
          </cell>
        </row>
        <row r="423">
          <cell r="C423">
            <v>8010062302</v>
          </cell>
        </row>
        <row r="423">
          <cell r="H423">
            <v>156698</v>
          </cell>
        </row>
        <row r="424">
          <cell r="C424">
            <v>8010062303</v>
          </cell>
        </row>
        <row r="424">
          <cell r="H424">
            <v>248232</v>
          </cell>
        </row>
        <row r="425">
          <cell r="C425">
            <v>8010062304</v>
          </cell>
        </row>
        <row r="425">
          <cell r="H425">
            <v>351418</v>
          </cell>
        </row>
        <row r="426">
          <cell r="C426">
            <v>8010062305</v>
          </cell>
        </row>
        <row r="426">
          <cell r="H426">
            <v>523559</v>
          </cell>
        </row>
        <row r="427">
          <cell r="C427">
            <v>8010062306</v>
          </cell>
        </row>
        <row r="427">
          <cell r="H427">
            <v>782376</v>
          </cell>
        </row>
        <row r="428">
          <cell r="C428">
            <v>8010062307</v>
          </cell>
        </row>
        <row r="428">
          <cell r="H428">
            <v>1316468</v>
          </cell>
        </row>
        <row r="429">
          <cell r="C429">
            <v>8010062308</v>
          </cell>
        </row>
        <row r="429">
          <cell r="H429">
            <v>2666107</v>
          </cell>
        </row>
        <row r="430">
          <cell r="C430">
            <v>8010072759</v>
          </cell>
        </row>
        <row r="430">
          <cell r="H430">
            <v>832</v>
          </cell>
        </row>
        <row r="431">
          <cell r="C431">
            <v>8010071377</v>
          </cell>
        </row>
        <row r="431">
          <cell r="H431">
            <v>1070</v>
          </cell>
        </row>
        <row r="432">
          <cell r="C432">
            <v>8010071378</v>
          </cell>
        </row>
        <row r="432">
          <cell r="H432">
            <v>1308</v>
          </cell>
        </row>
        <row r="433">
          <cell r="C433">
            <v>8010071379</v>
          </cell>
        </row>
        <row r="433">
          <cell r="H433">
            <v>1903</v>
          </cell>
        </row>
        <row r="434">
          <cell r="C434">
            <v>8010071380</v>
          </cell>
        </row>
        <row r="434">
          <cell r="H434">
            <v>3647</v>
          </cell>
        </row>
        <row r="435">
          <cell r="C435">
            <v>8010071381</v>
          </cell>
        </row>
        <row r="435">
          <cell r="H435">
            <v>6144</v>
          </cell>
        </row>
        <row r="436">
          <cell r="C436">
            <v>8010071382</v>
          </cell>
        </row>
        <row r="436">
          <cell r="H436">
            <v>8524</v>
          </cell>
        </row>
        <row r="437">
          <cell r="C437">
            <v>8010071383</v>
          </cell>
        </row>
        <row r="437">
          <cell r="H437">
            <v>16014</v>
          </cell>
        </row>
        <row r="438">
          <cell r="C438">
            <v>8010071384</v>
          </cell>
        </row>
        <row r="438">
          <cell r="H438">
            <v>32465</v>
          </cell>
        </row>
        <row r="439">
          <cell r="C439">
            <v>8010071385</v>
          </cell>
        </row>
        <row r="439">
          <cell r="H439">
            <v>38616</v>
          </cell>
        </row>
        <row r="440">
          <cell r="C440">
            <v>8010071386</v>
          </cell>
        </row>
        <row r="440">
          <cell r="H440">
            <v>117800</v>
          </cell>
        </row>
        <row r="441">
          <cell r="C441">
            <v>8010072756</v>
          </cell>
        </row>
        <row r="441">
          <cell r="H441">
            <v>1249</v>
          </cell>
        </row>
        <row r="442">
          <cell r="C442">
            <v>8010072757</v>
          </cell>
        </row>
        <row r="442">
          <cell r="H442">
            <v>1665</v>
          </cell>
        </row>
        <row r="443">
          <cell r="C443">
            <v>8010072758</v>
          </cell>
        </row>
        <row r="443">
          <cell r="H443">
            <v>1744</v>
          </cell>
        </row>
        <row r="444">
          <cell r="C444">
            <v>8010071445</v>
          </cell>
        </row>
        <row r="444">
          <cell r="H444">
            <v>1031</v>
          </cell>
        </row>
        <row r="445">
          <cell r="C445">
            <v>8010071446</v>
          </cell>
        </row>
        <row r="445">
          <cell r="H445">
            <v>1506</v>
          </cell>
        </row>
        <row r="446">
          <cell r="C446">
            <v>8010071447</v>
          </cell>
        </row>
        <row r="446">
          <cell r="H446">
            <v>1705</v>
          </cell>
        </row>
        <row r="447">
          <cell r="C447">
            <v>8010071448</v>
          </cell>
        </row>
        <row r="447">
          <cell r="H447">
            <v>2933</v>
          </cell>
        </row>
        <row r="448">
          <cell r="C448">
            <v>8010071449</v>
          </cell>
        </row>
        <row r="448">
          <cell r="H448">
            <v>3052</v>
          </cell>
        </row>
        <row r="449">
          <cell r="C449">
            <v>8010071450</v>
          </cell>
        </row>
        <row r="449">
          <cell r="H449">
            <v>3409</v>
          </cell>
        </row>
        <row r="450">
          <cell r="C450">
            <v>8010071451</v>
          </cell>
        </row>
        <row r="450">
          <cell r="H450">
            <v>4598</v>
          </cell>
        </row>
        <row r="451">
          <cell r="C451">
            <v>8010071452</v>
          </cell>
        </row>
        <row r="451">
          <cell r="H451">
            <v>5193</v>
          </cell>
        </row>
        <row r="452">
          <cell r="C452">
            <v>8010071453</v>
          </cell>
        </row>
        <row r="452">
          <cell r="H452">
            <v>5550</v>
          </cell>
        </row>
        <row r="453">
          <cell r="C453">
            <v>8010071454</v>
          </cell>
        </row>
        <row r="453">
          <cell r="H453">
            <v>6699</v>
          </cell>
        </row>
        <row r="454">
          <cell r="C454">
            <v>8010071455</v>
          </cell>
        </row>
        <row r="454">
          <cell r="H454">
            <v>8483</v>
          </cell>
        </row>
        <row r="455">
          <cell r="C455">
            <v>8010071456</v>
          </cell>
        </row>
        <row r="455">
          <cell r="H455">
            <v>8721</v>
          </cell>
        </row>
        <row r="456">
          <cell r="C456">
            <v>8010071457</v>
          </cell>
        </row>
        <row r="456">
          <cell r="H456">
            <v>8959</v>
          </cell>
        </row>
        <row r="457">
          <cell r="C457">
            <v>8010071458</v>
          </cell>
        </row>
        <row r="457">
          <cell r="H457">
            <v>9196</v>
          </cell>
        </row>
        <row r="458">
          <cell r="C458">
            <v>8010072361</v>
          </cell>
        </row>
        <row r="458">
          <cell r="H458">
            <v>13081</v>
          </cell>
        </row>
        <row r="459">
          <cell r="C459">
            <v>8010071459</v>
          </cell>
        </row>
        <row r="459">
          <cell r="H459">
            <v>13636</v>
          </cell>
        </row>
        <row r="460">
          <cell r="C460">
            <v>8010071460</v>
          </cell>
        </row>
        <row r="460">
          <cell r="H460">
            <v>14112</v>
          </cell>
        </row>
        <row r="461">
          <cell r="C461">
            <v>8010071461</v>
          </cell>
        </row>
        <row r="461">
          <cell r="H461">
            <v>14350</v>
          </cell>
        </row>
        <row r="462">
          <cell r="C462">
            <v>8010071462</v>
          </cell>
        </row>
        <row r="462">
          <cell r="H462">
            <v>23070</v>
          </cell>
        </row>
        <row r="463">
          <cell r="C463">
            <v>8010071463</v>
          </cell>
        </row>
        <row r="463">
          <cell r="H463">
            <v>23308</v>
          </cell>
        </row>
        <row r="464">
          <cell r="C464">
            <v>8010071464</v>
          </cell>
        </row>
        <row r="464">
          <cell r="H464">
            <v>24259</v>
          </cell>
        </row>
        <row r="465">
          <cell r="C465">
            <v>8010071465</v>
          </cell>
        </row>
        <row r="465">
          <cell r="H465">
            <v>26004</v>
          </cell>
        </row>
        <row r="466">
          <cell r="C466">
            <v>8010071466</v>
          </cell>
        </row>
        <row r="466">
          <cell r="H466">
            <v>39085</v>
          </cell>
        </row>
        <row r="467">
          <cell r="C467">
            <v>8010071467</v>
          </cell>
        </row>
        <row r="467">
          <cell r="H467">
            <v>37658</v>
          </cell>
        </row>
        <row r="468">
          <cell r="C468">
            <v>8010071468</v>
          </cell>
        </row>
        <row r="468">
          <cell r="H468">
            <v>55892</v>
          </cell>
        </row>
        <row r="469">
          <cell r="C469">
            <v>8010071469</v>
          </cell>
        </row>
        <row r="469">
          <cell r="H469">
            <v>42375</v>
          </cell>
        </row>
        <row r="470">
          <cell r="C470">
            <v>8010071470</v>
          </cell>
        </row>
        <row r="470">
          <cell r="H470">
            <v>131802</v>
          </cell>
        </row>
        <row r="471">
          <cell r="C471">
            <v>8010071331</v>
          </cell>
        </row>
        <row r="471">
          <cell r="H471">
            <v>5906</v>
          </cell>
        </row>
        <row r="472">
          <cell r="C472">
            <v>8010071332</v>
          </cell>
        </row>
        <row r="472">
          <cell r="H472">
            <v>8602</v>
          </cell>
        </row>
        <row r="473">
          <cell r="C473">
            <v>8010071333</v>
          </cell>
        </row>
        <row r="473">
          <cell r="H473">
            <v>17441</v>
          </cell>
        </row>
        <row r="474">
          <cell r="C474">
            <v>8010071341</v>
          </cell>
        </row>
        <row r="474">
          <cell r="H474">
            <v>19780</v>
          </cell>
        </row>
        <row r="475">
          <cell r="C475">
            <v>8010071334</v>
          </cell>
        </row>
        <row r="475">
          <cell r="H475">
            <v>32980</v>
          </cell>
        </row>
        <row r="476">
          <cell r="C476">
            <v>8010071335</v>
          </cell>
        </row>
        <row r="476">
          <cell r="H476">
            <v>52959</v>
          </cell>
        </row>
        <row r="477">
          <cell r="C477">
            <v>8010071336</v>
          </cell>
        </row>
        <row r="477">
          <cell r="H477">
            <v>189477</v>
          </cell>
        </row>
        <row r="478">
          <cell r="C478" t="str">
            <v>DS70232</v>
          </cell>
        </row>
        <row r="478">
          <cell r="H478">
            <v>113000</v>
          </cell>
        </row>
        <row r="479">
          <cell r="C479" t="str">
            <v>DS70233</v>
          </cell>
        </row>
        <row r="479">
          <cell r="H479">
            <v>192500</v>
          </cell>
        </row>
        <row r="480">
          <cell r="C480" t="str">
            <v>DS70234</v>
          </cell>
        </row>
        <row r="480">
          <cell r="H480">
            <v>33500</v>
          </cell>
        </row>
        <row r="481">
          <cell r="C481" t="str">
            <v>DS70235</v>
          </cell>
        </row>
        <row r="481">
          <cell r="H481">
            <v>39500</v>
          </cell>
        </row>
        <row r="482">
          <cell r="C482" t="str">
            <v>DS70236</v>
          </cell>
        </row>
        <row r="482">
          <cell r="H482">
            <v>50500</v>
          </cell>
        </row>
        <row r="483">
          <cell r="C483" t="str">
            <v>DS70237</v>
          </cell>
        </row>
        <row r="483">
          <cell r="H483">
            <v>76500</v>
          </cell>
        </row>
        <row r="484">
          <cell r="C484" t="str">
            <v>DS70238</v>
          </cell>
        </row>
        <row r="484">
          <cell r="H484">
            <v>95500</v>
          </cell>
        </row>
        <row r="485">
          <cell r="C485" t="str">
            <v>6900010080150</v>
          </cell>
        </row>
        <row r="485">
          <cell r="H485">
            <v>4050</v>
          </cell>
        </row>
        <row r="486">
          <cell r="C486" t="str">
            <v>6900010080217</v>
          </cell>
        </row>
        <row r="486">
          <cell r="H486">
            <v>7985</v>
          </cell>
        </row>
        <row r="487">
          <cell r="C487" t="str">
            <v>6900010080151</v>
          </cell>
        </row>
        <row r="487">
          <cell r="H487">
            <v>4720</v>
          </cell>
        </row>
        <row r="488">
          <cell r="C488" t="str">
            <v>6900010080218</v>
          </cell>
        </row>
        <row r="488">
          <cell r="H488">
            <v>7930</v>
          </cell>
        </row>
        <row r="489">
          <cell r="C489" t="str">
            <v>6900010080230</v>
          </cell>
        </row>
        <row r="489">
          <cell r="H489">
            <v>13590</v>
          </cell>
        </row>
        <row r="490">
          <cell r="H490">
            <v>41275</v>
          </cell>
        </row>
        <row r="491">
          <cell r="H491">
            <v>55000</v>
          </cell>
        </row>
        <row r="492">
          <cell r="H492">
            <v>68775</v>
          </cell>
        </row>
        <row r="493">
          <cell r="H493">
            <v>82500</v>
          </cell>
        </row>
        <row r="494">
          <cell r="H494">
            <v>137500</v>
          </cell>
        </row>
        <row r="495">
          <cell r="H495">
            <v>171925</v>
          </cell>
        </row>
        <row r="496">
          <cell r="H496">
            <v>255150</v>
          </cell>
        </row>
        <row r="497">
          <cell r="H497">
            <v>309425</v>
          </cell>
        </row>
        <row r="498">
          <cell r="C498">
            <v>8010070749</v>
          </cell>
        </row>
        <row r="498">
          <cell r="H498">
            <v>1665</v>
          </cell>
        </row>
        <row r="499">
          <cell r="C499">
            <v>8010070750</v>
          </cell>
        </row>
        <row r="499">
          <cell r="H499">
            <v>3132</v>
          </cell>
        </row>
        <row r="500">
          <cell r="C500">
            <v>8010070751</v>
          </cell>
        </row>
        <row r="500">
          <cell r="H500">
            <v>3330</v>
          </cell>
        </row>
        <row r="501">
          <cell r="C501">
            <v>8010070752</v>
          </cell>
        </row>
        <row r="501">
          <cell r="H501">
            <v>4955</v>
          </cell>
        </row>
        <row r="502">
          <cell r="C502">
            <v>8010070753</v>
          </cell>
        </row>
        <row r="502">
          <cell r="H502">
            <v>5906</v>
          </cell>
        </row>
        <row r="503">
          <cell r="C503">
            <v>8010070747</v>
          </cell>
        </row>
        <row r="503">
          <cell r="H503">
            <v>6699</v>
          </cell>
        </row>
        <row r="504">
          <cell r="C504">
            <v>8010070748</v>
          </cell>
        </row>
        <row r="504">
          <cell r="H504">
            <v>11773</v>
          </cell>
        </row>
        <row r="505">
          <cell r="C505">
            <v>8010071443</v>
          </cell>
        </row>
        <row r="505">
          <cell r="H505">
            <v>72977</v>
          </cell>
        </row>
        <row r="506">
          <cell r="C506">
            <v>8010072707</v>
          </cell>
        </row>
        <row r="506">
          <cell r="H506">
            <v>832</v>
          </cell>
        </row>
        <row r="507">
          <cell r="C507">
            <v>8010071444</v>
          </cell>
        </row>
        <row r="507">
          <cell r="H507">
            <v>268321</v>
          </cell>
        </row>
        <row r="508">
          <cell r="C508">
            <v>8010071435</v>
          </cell>
        </row>
        <row r="508">
          <cell r="H508">
            <v>1070</v>
          </cell>
        </row>
        <row r="509">
          <cell r="C509">
            <v>8010071436</v>
          </cell>
        </row>
        <row r="509">
          <cell r="H509">
            <v>1546</v>
          </cell>
        </row>
        <row r="510">
          <cell r="C510">
            <v>8010071437</v>
          </cell>
        </row>
        <row r="510">
          <cell r="H510">
            <v>2894</v>
          </cell>
        </row>
        <row r="511">
          <cell r="C511">
            <v>8010071438</v>
          </cell>
        </row>
        <row r="511">
          <cell r="H511">
            <v>5431</v>
          </cell>
        </row>
        <row r="512">
          <cell r="C512">
            <v>8010071439</v>
          </cell>
        </row>
        <row r="512">
          <cell r="H512">
            <v>12447</v>
          </cell>
        </row>
        <row r="513">
          <cell r="C513">
            <v>8010071440</v>
          </cell>
        </row>
        <row r="513">
          <cell r="H513">
            <v>14151</v>
          </cell>
        </row>
        <row r="514">
          <cell r="C514">
            <v>8010071441</v>
          </cell>
        </row>
        <row r="514">
          <cell r="H514">
            <v>26836</v>
          </cell>
        </row>
        <row r="515">
          <cell r="C515">
            <v>8010071442</v>
          </cell>
        </row>
        <row r="515">
          <cell r="H515">
            <v>60014</v>
          </cell>
        </row>
        <row r="516">
          <cell r="C516">
            <v>8010072469</v>
          </cell>
        </row>
        <row r="516">
          <cell r="H516">
            <v>1506</v>
          </cell>
        </row>
        <row r="517">
          <cell r="C517">
            <v>8010072470</v>
          </cell>
        </row>
        <row r="517">
          <cell r="H517">
            <v>1982</v>
          </cell>
        </row>
        <row r="518">
          <cell r="C518">
            <v>8010072471</v>
          </cell>
        </row>
        <row r="518">
          <cell r="H518">
            <v>2497</v>
          </cell>
        </row>
        <row r="519">
          <cell r="C519">
            <v>8010072782</v>
          </cell>
        </row>
        <row r="519">
          <cell r="H519">
            <v>3211</v>
          </cell>
        </row>
        <row r="520">
          <cell r="C520">
            <v>8010072783</v>
          </cell>
        </row>
        <row r="520">
          <cell r="H520">
            <v>3449</v>
          </cell>
        </row>
        <row r="521">
          <cell r="C521">
            <v>8010072801</v>
          </cell>
        </row>
        <row r="521">
          <cell r="H521">
            <v>3924</v>
          </cell>
        </row>
        <row r="522">
          <cell r="C522">
            <v>8010072802</v>
          </cell>
        </row>
        <row r="522">
          <cell r="H522">
            <v>5431</v>
          </cell>
        </row>
        <row r="523">
          <cell r="C523">
            <v>8010072803</v>
          </cell>
        </row>
        <row r="523">
          <cell r="H523">
            <v>5668</v>
          </cell>
        </row>
        <row r="524">
          <cell r="C524">
            <v>8010072784</v>
          </cell>
        </row>
        <row r="524">
          <cell r="H524">
            <v>6184</v>
          </cell>
        </row>
        <row r="525">
          <cell r="C525">
            <v>8010072785</v>
          </cell>
        </row>
        <row r="525">
          <cell r="H525">
            <v>6937</v>
          </cell>
        </row>
        <row r="526">
          <cell r="C526">
            <v>8010072804</v>
          </cell>
        </row>
        <row r="526">
          <cell r="H526">
            <v>9870</v>
          </cell>
        </row>
        <row r="527">
          <cell r="C527">
            <v>8010072820</v>
          </cell>
        </row>
        <row r="527">
          <cell r="H527">
            <v>10148</v>
          </cell>
        </row>
        <row r="528">
          <cell r="C528">
            <v>8010072805</v>
          </cell>
        </row>
        <row r="528">
          <cell r="H528">
            <v>10861</v>
          </cell>
        </row>
        <row r="529">
          <cell r="C529">
            <v>8010072806</v>
          </cell>
        </row>
        <row r="529">
          <cell r="H529">
            <v>12368</v>
          </cell>
        </row>
        <row r="530">
          <cell r="C530">
            <v>8010072809</v>
          </cell>
        </row>
        <row r="530">
          <cell r="H530">
            <v>58825</v>
          </cell>
        </row>
        <row r="531">
          <cell r="C531">
            <v>8010072466</v>
          </cell>
        </row>
        <row r="531">
          <cell r="H531">
            <v>991</v>
          </cell>
        </row>
        <row r="532">
          <cell r="C532">
            <v>8010072467</v>
          </cell>
        </row>
        <row r="532">
          <cell r="H532">
            <v>1506</v>
          </cell>
        </row>
        <row r="533">
          <cell r="C533">
            <v>8010072468</v>
          </cell>
        </row>
        <row r="533">
          <cell r="H533">
            <v>2497</v>
          </cell>
        </row>
        <row r="534">
          <cell r="C534">
            <v>8010072787</v>
          </cell>
        </row>
        <row r="534">
          <cell r="H534">
            <v>4202</v>
          </cell>
        </row>
        <row r="535">
          <cell r="C535">
            <v>8010072788</v>
          </cell>
        </row>
        <row r="535">
          <cell r="H535">
            <v>7413</v>
          </cell>
        </row>
        <row r="536">
          <cell r="C536">
            <v>8010072808</v>
          </cell>
        </row>
        <row r="536">
          <cell r="H536">
            <v>12843</v>
          </cell>
        </row>
        <row r="537">
          <cell r="C537">
            <v>8010072821</v>
          </cell>
        </row>
        <row r="537">
          <cell r="H537">
            <v>19780</v>
          </cell>
        </row>
        <row r="538">
          <cell r="C538">
            <v>8010072822</v>
          </cell>
        </row>
        <row r="538">
          <cell r="H538">
            <v>33377</v>
          </cell>
        </row>
        <row r="539">
          <cell r="C539">
            <v>8010072708</v>
          </cell>
        </row>
        <row r="539">
          <cell r="H539">
            <v>753</v>
          </cell>
        </row>
        <row r="540">
          <cell r="C540">
            <v>8010071401</v>
          </cell>
        </row>
        <row r="540">
          <cell r="H540">
            <v>1110</v>
          </cell>
        </row>
        <row r="541">
          <cell r="C541">
            <v>8010071402</v>
          </cell>
        </row>
        <row r="541">
          <cell r="H541">
            <v>1541</v>
          </cell>
        </row>
        <row r="542">
          <cell r="C542">
            <v>8010071403</v>
          </cell>
        </row>
        <row r="542">
          <cell r="H542">
            <v>3528</v>
          </cell>
        </row>
        <row r="543">
          <cell r="C543">
            <v>8010071404</v>
          </cell>
        </row>
        <row r="543">
          <cell r="H543">
            <v>6025</v>
          </cell>
        </row>
        <row r="544">
          <cell r="C544">
            <v>8010071405</v>
          </cell>
        </row>
        <row r="544">
          <cell r="H544">
            <v>10941</v>
          </cell>
        </row>
        <row r="545">
          <cell r="C545">
            <v>8010071406</v>
          </cell>
        </row>
        <row r="545">
          <cell r="H545">
            <v>17083</v>
          </cell>
        </row>
        <row r="546">
          <cell r="C546">
            <v>8010071407</v>
          </cell>
        </row>
        <row r="546">
          <cell r="H546">
            <v>26429</v>
          </cell>
        </row>
        <row r="547">
          <cell r="C547">
            <v>8010071408</v>
          </cell>
        </row>
        <row r="547">
          <cell r="H547">
            <v>47688</v>
          </cell>
        </row>
        <row r="548">
          <cell r="C548">
            <v>8010071409</v>
          </cell>
        </row>
        <row r="548">
          <cell r="H548">
            <v>104609</v>
          </cell>
        </row>
        <row r="549">
          <cell r="C549">
            <v>8010071410</v>
          </cell>
        </row>
        <row r="549">
          <cell r="H549">
            <v>324807</v>
          </cell>
        </row>
        <row r="550">
          <cell r="C550">
            <v>8010072472</v>
          </cell>
        </row>
        <row r="550">
          <cell r="H550">
            <v>1744</v>
          </cell>
        </row>
        <row r="551">
          <cell r="C551">
            <v>8010072473</v>
          </cell>
        </row>
        <row r="551">
          <cell r="H551">
            <v>2458</v>
          </cell>
        </row>
        <row r="552">
          <cell r="C552">
            <v>8010072474</v>
          </cell>
        </row>
        <row r="552">
          <cell r="H552">
            <v>2973</v>
          </cell>
        </row>
        <row r="553">
          <cell r="C553">
            <v>8010072713</v>
          </cell>
        </row>
        <row r="553">
          <cell r="H553">
            <v>3726</v>
          </cell>
        </row>
        <row r="554">
          <cell r="C554">
            <v>8010072714</v>
          </cell>
        </row>
        <row r="554">
          <cell r="H554">
            <v>4202</v>
          </cell>
        </row>
        <row r="555">
          <cell r="C555">
            <v>8010072701</v>
          </cell>
        </row>
        <row r="555">
          <cell r="H555">
            <v>5193</v>
          </cell>
        </row>
        <row r="556">
          <cell r="C556">
            <v>8010072702</v>
          </cell>
        </row>
        <row r="556">
          <cell r="H556">
            <v>5946</v>
          </cell>
        </row>
        <row r="557">
          <cell r="C557">
            <v>8010072703</v>
          </cell>
        </row>
        <row r="557">
          <cell r="H557">
            <v>6422</v>
          </cell>
        </row>
        <row r="558">
          <cell r="C558">
            <v>8010072704</v>
          </cell>
        </row>
        <row r="558">
          <cell r="H558">
            <v>7888</v>
          </cell>
        </row>
        <row r="559">
          <cell r="C559">
            <v>8010072705</v>
          </cell>
        </row>
        <row r="559">
          <cell r="H559">
            <v>9395</v>
          </cell>
        </row>
        <row r="560">
          <cell r="C560">
            <v>8010072786</v>
          </cell>
        </row>
        <row r="560">
          <cell r="H560">
            <v>10623</v>
          </cell>
        </row>
        <row r="561">
          <cell r="C561">
            <v>8010072829</v>
          </cell>
        </row>
        <row r="561">
          <cell r="H561">
            <v>11377</v>
          </cell>
        </row>
        <row r="562">
          <cell r="C562">
            <v>8010072830</v>
          </cell>
        </row>
        <row r="562">
          <cell r="H562">
            <v>12605</v>
          </cell>
        </row>
        <row r="563">
          <cell r="C563">
            <v>8010072807</v>
          </cell>
        </row>
        <row r="563">
          <cell r="H563">
            <v>15341</v>
          </cell>
        </row>
        <row r="564">
          <cell r="C564">
            <v>8010071419</v>
          </cell>
        </row>
        <row r="564">
          <cell r="H564">
            <v>120029</v>
          </cell>
        </row>
        <row r="565">
          <cell r="C565">
            <v>8010072709</v>
          </cell>
        </row>
        <row r="565">
          <cell r="H565">
            <v>753</v>
          </cell>
        </row>
        <row r="566">
          <cell r="C566">
            <v>8010071420</v>
          </cell>
        </row>
        <row r="566">
          <cell r="H566">
            <v>421290</v>
          </cell>
        </row>
        <row r="567">
          <cell r="C567">
            <v>8010071411</v>
          </cell>
        </row>
        <row r="567">
          <cell r="H567">
            <v>1198</v>
          </cell>
        </row>
        <row r="568">
          <cell r="C568">
            <v>8010071412</v>
          </cell>
        </row>
        <row r="568">
          <cell r="H568">
            <v>2220</v>
          </cell>
        </row>
        <row r="569">
          <cell r="C569">
            <v>8010071413</v>
          </cell>
        </row>
        <row r="569">
          <cell r="H569">
            <v>4241</v>
          </cell>
        </row>
        <row r="570">
          <cell r="C570">
            <v>8010071414</v>
          </cell>
        </row>
        <row r="570">
          <cell r="H570">
            <v>7294</v>
          </cell>
        </row>
        <row r="571">
          <cell r="C571">
            <v>8010071415</v>
          </cell>
        </row>
        <row r="571">
          <cell r="H571">
            <v>13517</v>
          </cell>
        </row>
        <row r="572">
          <cell r="C572">
            <v>8010071416</v>
          </cell>
        </row>
        <row r="572">
          <cell r="H572">
            <v>24061</v>
          </cell>
        </row>
        <row r="573">
          <cell r="C573">
            <v>8010071417</v>
          </cell>
        </row>
        <row r="573">
          <cell r="H573">
            <v>37658</v>
          </cell>
        </row>
        <row r="574">
          <cell r="C574">
            <v>8010071418</v>
          </cell>
        </row>
        <row r="574">
          <cell r="H574">
            <v>65921</v>
          </cell>
        </row>
        <row r="575">
          <cell r="C575">
            <v>8010072710</v>
          </cell>
        </row>
        <row r="575">
          <cell r="H575">
            <v>2497</v>
          </cell>
        </row>
        <row r="576">
          <cell r="C576">
            <v>8010072711</v>
          </cell>
        </row>
        <row r="576">
          <cell r="H576">
            <v>1744</v>
          </cell>
        </row>
        <row r="577">
          <cell r="C577">
            <v>8010071360</v>
          </cell>
        </row>
        <row r="577">
          <cell r="H577">
            <v>1942</v>
          </cell>
        </row>
        <row r="578">
          <cell r="C578">
            <v>8010072712</v>
          </cell>
        </row>
        <row r="578">
          <cell r="H578">
            <v>2973</v>
          </cell>
        </row>
        <row r="579">
          <cell r="C579">
            <v>8010071361</v>
          </cell>
        </row>
        <row r="579">
          <cell r="H579">
            <v>3171</v>
          </cell>
        </row>
        <row r="580">
          <cell r="C580">
            <v>8010071362</v>
          </cell>
        </row>
        <row r="580">
          <cell r="H580">
            <v>3647</v>
          </cell>
        </row>
        <row r="581">
          <cell r="C581">
            <v>8010071363</v>
          </cell>
        </row>
        <row r="581">
          <cell r="H581">
            <v>6342</v>
          </cell>
        </row>
        <row r="582">
          <cell r="C582">
            <v>8010071364</v>
          </cell>
        </row>
        <row r="582">
          <cell r="H582">
            <v>7056</v>
          </cell>
        </row>
        <row r="583">
          <cell r="C583">
            <v>8010071365</v>
          </cell>
        </row>
        <row r="583">
          <cell r="H583">
            <v>7650</v>
          </cell>
        </row>
        <row r="584">
          <cell r="C584">
            <v>8010071366</v>
          </cell>
        </row>
        <row r="584">
          <cell r="H584">
            <v>10227</v>
          </cell>
        </row>
        <row r="585">
          <cell r="C585">
            <v>8010071367</v>
          </cell>
        </row>
        <row r="585">
          <cell r="H585">
            <v>10386</v>
          </cell>
        </row>
        <row r="586">
          <cell r="C586">
            <v>8010071368</v>
          </cell>
        </row>
        <row r="586">
          <cell r="H586">
            <v>10861</v>
          </cell>
        </row>
        <row r="587">
          <cell r="C587">
            <v>8010071369</v>
          </cell>
        </row>
        <row r="587">
          <cell r="H587">
            <v>11178</v>
          </cell>
        </row>
        <row r="588">
          <cell r="C588">
            <v>8010071370</v>
          </cell>
        </row>
        <row r="588">
          <cell r="H588">
            <v>14389</v>
          </cell>
        </row>
        <row r="589">
          <cell r="C589">
            <v>8010071371</v>
          </cell>
        </row>
        <row r="589">
          <cell r="H589">
            <v>15301</v>
          </cell>
        </row>
        <row r="590">
          <cell r="C590">
            <v>8010071372</v>
          </cell>
        </row>
        <row r="590">
          <cell r="H590">
            <v>17085</v>
          </cell>
        </row>
        <row r="591">
          <cell r="C591">
            <v>8010071373</v>
          </cell>
        </row>
        <row r="591">
          <cell r="H591">
            <v>20018</v>
          </cell>
        </row>
        <row r="592">
          <cell r="C592">
            <v>8010072304</v>
          </cell>
        </row>
        <row r="592">
          <cell r="H592">
            <v>23546</v>
          </cell>
        </row>
        <row r="593">
          <cell r="C593">
            <v>8010071374</v>
          </cell>
        </row>
        <row r="593">
          <cell r="H593">
            <v>26598</v>
          </cell>
        </row>
        <row r="594">
          <cell r="C594">
            <v>8010071375</v>
          </cell>
        </row>
        <row r="594">
          <cell r="H594">
            <v>27074</v>
          </cell>
        </row>
        <row r="595">
          <cell r="C595">
            <v>8010071376</v>
          </cell>
        </row>
        <row r="595">
          <cell r="H595">
            <v>43088</v>
          </cell>
        </row>
        <row r="596">
          <cell r="C596">
            <v>8010071352</v>
          </cell>
        </row>
        <row r="596">
          <cell r="H596">
            <v>41899</v>
          </cell>
        </row>
        <row r="597">
          <cell r="C597">
            <v>8010071353</v>
          </cell>
        </row>
        <row r="597">
          <cell r="H597">
            <v>58270</v>
          </cell>
        </row>
        <row r="598">
          <cell r="C598">
            <v>8010071354</v>
          </cell>
        </row>
        <row r="598">
          <cell r="H598">
            <v>66595</v>
          </cell>
        </row>
        <row r="599">
          <cell r="C599">
            <v>8010071355</v>
          </cell>
        </row>
        <row r="599">
          <cell r="H599">
            <v>124270</v>
          </cell>
        </row>
        <row r="600">
          <cell r="C600">
            <v>8010071356</v>
          </cell>
        </row>
        <row r="600">
          <cell r="H600">
            <v>101081</v>
          </cell>
        </row>
        <row r="601">
          <cell r="C601">
            <v>8010071357</v>
          </cell>
        </row>
        <row r="601">
          <cell r="H601">
            <v>111784</v>
          </cell>
        </row>
        <row r="602">
          <cell r="C602">
            <v>8010071358</v>
          </cell>
        </row>
        <row r="602">
          <cell r="H602">
            <v>128274</v>
          </cell>
        </row>
        <row r="603">
          <cell r="C603">
            <v>8010071359</v>
          </cell>
        </row>
        <row r="603">
          <cell r="H603">
            <v>151820</v>
          </cell>
        </row>
        <row r="604">
          <cell r="C604">
            <v>80576871</v>
          </cell>
        </row>
        <row r="604">
          <cell r="H604">
            <v>652635</v>
          </cell>
        </row>
        <row r="605">
          <cell r="C605">
            <v>8010072475</v>
          </cell>
        </row>
        <row r="605">
          <cell r="H605">
            <v>1744</v>
          </cell>
        </row>
        <row r="606">
          <cell r="C606">
            <v>8010072476</v>
          </cell>
        </row>
        <row r="606">
          <cell r="H606">
            <v>1982</v>
          </cell>
        </row>
        <row r="607">
          <cell r="C607">
            <v>8010072754</v>
          </cell>
        </row>
        <row r="607">
          <cell r="H607">
            <v>34924</v>
          </cell>
        </row>
        <row r="608">
          <cell r="C608">
            <v>8010071491</v>
          </cell>
        </row>
        <row r="608">
          <cell r="H608">
            <v>11150</v>
          </cell>
        </row>
        <row r="609">
          <cell r="C609">
            <v>8010072350</v>
          </cell>
        </row>
        <row r="609">
          <cell r="H609">
            <v>14007</v>
          </cell>
        </row>
        <row r="610">
          <cell r="C610">
            <v>8010071492</v>
          </cell>
        </row>
        <row r="610">
          <cell r="H610">
            <v>11243</v>
          </cell>
        </row>
        <row r="611">
          <cell r="C611">
            <v>8010071493</v>
          </cell>
        </row>
        <row r="611">
          <cell r="H611">
            <v>14195</v>
          </cell>
        </row>
        <row r="612">
          <cell r="C612">
            <v>8010071494</v>
          </cell>
        </row>
        <row r="612">
          <cell r="H612">
            <v>12274</v>
          </cell>
        </row>
        <row r="613">
          <cell r="C613">
            <v>8010071732</v>
          </cell>
        </row>
        <row r="613">
          <cell r="H613">
            <v>14663</v>
          </cell>
        </row>
        <row r="614">
          <cell r="C614">
            <v>8010071616</v>
          </cell>
        </row>
        <row r="614">
          <cell r="H614">
            <v>50126</v>
          </cell>
        </row>
        <row r="615">
          <cell r="C615">
            <v>8010072351</v>
          </cell>
        </row>
        <row r="615">
          <cell r="H615">
            <v>50688</v>
          </cell>
        </row>
        <row r="616">
          <cell r="C616">
            <v>8010071495</v>
          </cell>
        </row>
        <row r="616">
          <cell r="H616">
            <v>90555</v>
          </cell>
        </row>
        <row r="617">
          <cell r="C617">
            <v>8010071496</v>
          </cell>
        </row>
        <row r="617">
          <cell r="H617">
            <v>111027</v>
          </cell>
        </row>
        <row r="618">
          <cell r="C618">
            <v>8010072755</v>
          </cell>
        </row>
        <row r="618">
          <cell r="H618">
            <v>91445</v>
          </cell>
        </row>
        <row r="619">
          <cell r="C619">
            <v>8010070745</v>
          </cell>
        </row>
        <row r="619">
          <cell r="H619">
            <v>312890</v>
          </cell>
        </row>
        <row r="620">
          <cell r="C620">
            <v>8010071497</v>
          </cell>
        </row>
        <row r="620">
          <cell r="H620">
            <v>157359</v>
          </cell>
        </row>
        <row r="621">
          <cell r="C621">
            <v>8010072358</v>
          </cell>
        </row>
        <row r="621">
          <cell r="H621">
            <v>162652</v>
          </cell>
        </row>
        <row r="622">
          <cell r="C622">
            <v>8010072748</v>
          </cell>
        </row>
        <row r="622">
          <cell r="H622">
            <v>29514</v>
          </cell>
        </row>
        <row r="623">
          <cell r="C623">
            <v>8010071387</v>
          </cell>
        </row>
        <row r="623">
          <cell r="H623">
            <v>8058</v>
          </cell>
        </row>
        <row r="624">
          <cell r="C624">
            <v>8010072347</v>
          </cell>
        </row>
        <row r="624">
          <cell r="H624">
            <v>10447</v>
          </cell>
        </row>
        <row r="625">
          <cell r="C625">
            <v>8010071388</v>
          </cell>
        </row>
        <row r="625">
          <cell r="H625">
            <v>8058</v>
          </cell>
        </row>
        <row r="626">
          <cell r="C626">
            <v>8010071389</v>
          </cell>
        </row>
        <row r="626">
          <cell r="H626">
            <v>10728</v>
          </cell>
        </row>
        <row r="627">
          <cell r="C627">
            <v>8010072348</v>
          </cell>
        </row>
        <row r="627">
          <cell r="H627">
            <v>8245</v>
          </cell>
        </row>
        <row r="628">
          <cell r="C628">
            <v>8010071731</v>
          </cell>
        </row>
        <row r="628">
          <cell r="H628">
            <v>10868</v>
          </cell>
        </row>
        <row r="629">
          <cell r="C629">
            <v>8010072480</v>
          </cell>
        </row>
        <row r="629">
          <cell r="H629">
            <v>19629</v>
          </cell>
        </row>
        <row r="630">
          <cell r="C630">
            <v>8010072481</v>
          </cell>
        </row>
        <row r="630">
          <cell r="H630">
            <v>33402</v>
          </cell>
        </row>
        <row r="631">
          <cell r="C631">
            <v>8010072482</v>
          </cell>
        </row>
        <row r="631">
          <cell r="H631">
            <v>29045</v>
          </cell>
        </row>
        <row r="632">
          <cell r="C632">
            <v>8010071390</v>
          </cell>
        </row>
        <row r="632">
          <cell r="H632">
            <v>36353</v>
          </cell>
        </row>
        <row r="633">
          <cell r="C633">
            <v>8010072349</v>
          </cell>
        </row>
        <row r="633">
          <cell r="H633">
            <v>36634</v>
          </cell>
        </row>
        <row r="634">
          <cell r="C634">
            <v>8010071391</v>
          </cell>
        </row>
        <row r="634">
          <cell r="H634">
            <v>63009</v>
          </cell>
        </row>
        <row r="635">
          <cell r="C635">
            <v>8010071392</v>
          </cell>
        </row>
        <row r="635">
          <cell r="H635">
            <v>77953</v>
          </cell>
        </row>
        <row r="636">
          <cell r="C636">
            <v>8010072749</v>
          </cell>
        </row>
        <row r="636">
          <cell r="H636">
            <v>63899</v>
          </cell>
        </row>
        <row r="637">
          <cell r="C637">
            <v>8010071393</v>
          </cell>
        </row>
        <row r="637">
          <cell r="H637">
            <v>117492</v>
          </cell>
        </row>
        <row r="638">
          <cell r="C638">
            <v>8010072357</v>
          </cell>
        </row>
        <row r="638">
          <cell r="H638">
            <v>129813</v>
          </cell>
        </row>
        <row r="639">
          <cell r="C639">
            <v>8010072270</v>
          </cell>
        </row>
        <row r="639">
          <cell r="H639">
            <v>26234</v>
          </cell>
        </row>
        <row r="640">
          <cell r="C640">
            <v>8010072305</v>
          </cell>
        </row>
        <row r="640">
          <cell r="H640">
            <v>46613</v>
          </cell>
        </row>
        <row r="641">
          <cell r="C641">
            <v>8010072271</v>
          </cell>
        </row>
        <row r="641">
          <cell r="H641">
            <v>37524</v>
          </cell>
        </row>
        <row r="642">
          <cell r="C642">
            <v>8010072355</v>
          </cell>
        </row>
        <row r="642">
          <cell r="H642">
            <v>69755</v>
          </cell>
        </row>
        <row r="643">
          <cell r="C643">
            <v>8010072306</v>
          </cell>
        </row>
        <row r="643">
          <cell r="H643">
            <v>66523</v>
          </cell>
        </row>
        <row r="644">
          <cell r="C644">
            <v>8010073616</v>
          </cell>
        </row>
        <row r="644">
          <cell r="H644">
            <v>172201</v>
          </cell>
        </row>
        <row r="645">
          <cell r="C645">
            <v>8010072272</v>
          </cell>
        </row>
        <row r="645">
          <cell r="H645">
            <v>34573</v>
          </cell>
        </row>
        <row r="646">
          <cell r="C646">
            <v>8010072307</v>
          </cell>
        </row>
        <row r="646">
          <cell r="H646">
            <v>65070</v>
          </cell>
        </row>
        <row r="647">
          <cell r="C647">
            <v>8010072273</v>
          </cell>
        </row>
        <row r="647">
          <cell r="H647">
            <v>47456</v>
          </cell>
        </row>
        <row r="648">
          <cell r="C648">
            <v>8010072356</v>
          </cell>
        </row>
        <row r="648">
          <cell r="H648">
            <v>76501</v>
          </cell>
        </row>
        <row r="649">
          <cell r="C649">
            <v>8010072308</v>
          </cell>
        </row>
        <row r="649">
          <cell r="H649">
            <v>84980</v>
          </cell>
        </row>
        <row r="650">
          <cell r="C650">
            <v>8010072850</v>
          </cell>
        </row>
        <row r="650">
          <cell r="H650">
            <v>108123</v>
          </cell>
        </row>
        <row r="651">
          <cell r="C651">
            <v>8010072852</v>
          </cell>
        </row>
        <row r="651">
          <cell r="H651">
            <v>175535</v>
          </cell>
        </row>
        <row r="652">
          <cell r="C652">
            <v>8010072851</v>
          </cell>
        </row>
        <row r="652">
          <cell r="H652">
            <v>379741</v>
          </cell>
        </row>
        <row r="653">
          <cell r="C653">
            <v>8010072837</v>
          </cell>
        </row>
        <row r="653">
          <cell r="H653">
            <v>148832</v>
          </cell>
        </row>
        <row r="654">
          <cell r="C654">
            <v>8010072501</v>
          </cell>
        </row>
        <row r="654">
          <cell r="H654">
            <v>22580</v>
          </cell>
        </row>
        <row r="655">
          <cell r="C655">
            <v>8010072502</v>
          </cell>
        </row>
        <row r="655">
          <cell r="H655">
            <v>28436</v>
          </cell>
        </row>
        <row r="656">
          <cell r="C656">
            <v>8010072503</v>
          </cell>
        </row>
        <row r="656">
          <cell r="H656">
            <v>22861</v>
          </cell>
        </row>
        <row r="657">
          <cell r="C657">
            <v>8010072504</v>
          </cell>
        </row>
        <row r="657">
          <cell r="H657">
            <v>28717</v>
          </cell>
        </row>
        <row r="658">
          <cell r="C658">
            <v>8010072507</v>
          </cell>
        </row>
        <row r="658">
          <cell r="H658">
            <v>46613</v>
          </cell>
        </row>
        <row r="659">
          <cell r="C659">
            <v>8010072505</v>
          </cell>
        </row>
        <row r="659">
          <cell r="H659">
            <v>23142</v>
          </cell>
        </row>
        <row r="660">
          <cell r="C660">
            <v>8010072506</v>
          </cell>
        </row>
        <row r="660">
          <cell r="H660">
            <v>29326</v>
          </cell>
        </row>
        <row r="661">
          <cell r="C661">
            <v>8010072831</v>
          </cell>
        </row>
        <row r="661">
          <cell r="H661">
            <v>54811</v>
          </cell>
        </row>
        <row r="662">
          <cell r="C662">
            <v>8010072832</v>
          </cell>
        </row>
        <row r="662">
          <cell r="H662">
            <v>92288</v>
          </cell>
        </row>
        <row r="663">
          <cell r="C663">
            <v>8010072823</v>
          </cell>
        </row>
        <row r="663">
          <cell r="H663">
            <v>34901</v>
          </cell>
        </row>
        <row r="664">
          <cell r="C664">
            <v>8010072824</v>
          </cell>
        </row>
        <row r="664">
          <cell r="H664">
            <v>56872</v>
          </cell>
        </row>
        <row r="665">
          <cell r="C665">
            <v>8010072825</v>
          </cell>
        </row>
        <row r="665">
          <cell r="H665">
            <v>94677</v>
          </cell>
        </row>
        <row r="666">
          <cell r="C666">
            <v>8010071338</v>
          </cell>
        </row>
        <row r="666">
          <cell r="H666">
            <v>1942</v>
          </cell>
        </row>
        <row r="667">
          <cell r="C667">
            <v>8010071339</v>
          </cell>
        </row>
        <row r="667">
          <cell r="H667">
            <v>2656</v>
          </cell>
        </row>
        <row r="668">
          <cell r="C668">
            <v>8010071340</v>
          </cell>
        </row>
        <row r="668">
          <cell r="H668">
            <v>5034</v>
          </cell>
        </row>
        <row r="669">
          <cell r="C669">
            <v>8010072743</v>
          </cell>
        </row>
        <row r="669">
          <cell r="H669">
            <v>30005</v>
          </cell>
        </row>
        <row r="670">
          <cell r="C670">
            <v>8010071733</v>
          </cell>
        </row>
        <row r="670">
          <cell r="H670">
            <v>7477</v>
          </cell>
        </row>
        <row r="671">
          <cell r="C671">
            <v>8010072354</v>
          </cell>
        </row>
        <row r="671">
          <cell r="H671">
            <v>11150</v>
          </cell>
        </row>
        <row r="672">
          <cell r="C672">
            <v>8010071394</v>
          </cell>
        </row>
        <row r="672">
          <cell r="H672">
            <v>8292</v>
          </cell>
        </row>
        <row r="673">
          <cell r="C673">
            <v>8010071395</v>
          </cell>
        </row>
        <row r="673">
          <cell r="H673">
            <v>11571</v>
          </cell>
        </row>
        <row r="674">
          <cell r="C674">
            <v>8010072485</v>
          </cell>
        </row>
        <row r="674">
          <cell r="H674">
            <v>8714</v>
          </cell>
        </row>
        <row r="675">
          <cell r="C675">
            <v>8010071734</v>
          </cell>
        </row>
        <row r="675">
          <cell r="H675">
            <v>11196</v>
          </cell>
        </row>
        <row r="676">
          <cell r="C676">
            <v>8010070552</v>
          </cell>
        </row>
        <row r="676">
          <cell r="H676">
            <v>49845</v>
          </cell>
        </row>
        <row r="677">
          <cell r="C677">
            <v>8010071288</v>
          </cell>
        </row>
        <row r="677">
          <cell r="H677">
            <v>225052</v>
          </cell>
        </row>
        <row r="678">
          <cell r="C678">
            <v>8010071230</v>
          </cell>
        </row>
        <row r="678">
          <cell r="H678">
            <v>224865</v>
          </cell>
        </row>
        <row r="679">
          <cell r="C679">
            <v>8010072744</v>
          </cell>
        </row>
        <row r="679">
          <cell r="H679">
            <v>23142</v>
          </cell>
        </row>
        <row r="680">
          <cell r="C680">
            <v>8010071396</v>
          </cell>
        </row>
        <row r="680">
          <cell r="H680">
            <v>37805</v>
          </cell>
        </row>
        <row r="681">
          <cell r="C681">
            <v>8010072775</v>
          </cell>
        </row>
        <row r="681">
          <cell r="H681">
            <v>65632</v>
          </cell>
        </row>
        <row r="682">
          <cell r="C682">
            <v>8010072767</v>
          </cell>
        </row>
        <row r="682">
          <cell r="H682">
            <v>83528</v>
          </cell>
        </row>
        <row r="683">
          <cell r="C683">
            <v>8010072776</v>
          </cell>
        </row>
        <row r="683">
          <cell r="H683">
            <v>128360</v>
          </cell>
        </row>
        <row r="684">
          <cell r="C684">
            <v>8010071397</v>
          </cell>
        </row>
        <row r="684">
          <cell r="H684">
            <v>11852</v>
          </cell>
        </row>
        <row r="685">
          <cell r="C685">
            <v>8010072352</v>
          </cell>
        </row>
        <row r="685">
          <cell r="H685">
            <v>14476</v>
          </cell>
        </row>
        <row r="686">
          <cell r="C686">
            <v>8010071398</v>
          </cell>
        </row>
        <row r="686">
          <cell r="H686">
            <v>12180</v>
          </cell>
        </row>
        <row r="687">
          <cell r="C687">
            <v>8010071399</v>
          </cell>
        </row>
        <row r="687">
          <cell r="H687">
            <v>14944</v>
          </cell>
        </row>
        <row r="688">
          <cell r="C688">
            <v>8010072483</v>
          </cell>
        </row>
        <row r="688">
          <cell r="H688">
            <v>12836</v>
          </cell>
        </row>
        <row r="689">
          <cell r="C689">
            <v>8010071735</v>
          </cell>
        </row>
        <row r="689">
          <cell r="H689">
            <v>15834</v>
          </cell>
        </row>
        <row r="690">
          <cell r="C690">
            <v>8010071400</v>
          </cell>
        </row>
        <row r="690">
          <cell r="H690">
            <v>51578</v>
          </cell>
        </row>
        <row r="691">
          <cell r="C691">
            <v>8010071286</v>
          </cell>
        </row>
        <row r="691">
          <cell r="H691">
            <v>341654</v>
          </cell>
        </row>
        <row r="692">
          <cell r="C692">
            <v>8010072768</v>
          </cell>
        </row>
        <row r="692">
          <cell r="H692">
            <v>108123</v>
          </cell>
        </row>
        <row r="693">
          <cell r="C693">
            <v>8010072781</v>
          </cell>
        </row>
        <row r="693">
          <cell r="H693">
            <v>134216</v>
          </cell>
        </row>
        <row r="694">
          <cell r="C694">
            <v>8010072769</v>
          </cell>
        </row>
        <row r="694">
          <cell r="H694">
            <v>193946</v>
          </cell>
        </row>
        <row r="695">
          <cell r="C695">
            <v>8010071874</v>
          </cell>
        </row>
        <row r="695">
          <cell r="H695">
            <v>515550</v>
          </cell>
        </row>
        <row r="696">
          <cell r="C696">
            <v>8010072770</v>
          </cell>
        </row>
        <row r="696">
          <cell r="H696">
            <v>406068</v>
          </cell>
        </row>
        <row r="697">
          <cell r="C697">
            <v>8010072508</v>
          </cell>
        </row>
        <row r="697">
          <cell r="H697">
            <v>26094</v>
          </cell>
        </row>
        <row r="698">
          <cell r="C698">
            <v>8010072509</v>
          </cell>
        </row>
        <row r="698">
          <cell r="H698">
            <v>33402</v>
          </cell>
        </row>
        <row r="699">
          <cell r="C699">
            <v>8010072510</v>
          </cell>
        </row>
        <row r="699">
          <cell r="H699">
            <v>26656</v>
          </cell>
        </row>
        <row r="700">
          <cell r="C700">
            <v>8010072511</v>
          </cell>
        </row>
        <row r="700">
          <cell r="H700">
            <v>34011</v>
          </cell>
        </row>
        <row r="701">
          <cell r="C701">
            <v>8010072512</v>
          </cell>
        </row>
        <row r="701">
          <cell r="H701">
            <v>27265</v>
          </cell>
        </row>
        <row r="702">
          <cell r="C702">
            <v>8010072513</v>
          </cell>
        </row>
        <row r="702">
          <cell r="H702">
            <v>34901</v>
          </cell>
        </row>
        <row r="703">
          <cell r="C703">
            <v>8010072838</v>
          </cell>
        </row>
        <row r="703">
          <cell r="H703">
            <v>56263</v>
          </cell>
        </row>
        <row r="704">
          <cell r="C704">
            <v>8010072839</v>
          </cell>
        </row>
        <row r="704">
          <cell r="H704">
            <v>94959</v>
          </cell>
        </row>
        <row r="705">
          <cell r="C705">
            <v>8010072833</v>
          </cell>
        </row>
        <row r="705">
          <cell r="H705">
            <v>59495</v>
          </cell>
        </row>
        <row r="706">
          <cell r="C706">
            <v>8010072834</v>
          </cell>
        </row>
        <row r="706">
          <cell r="H706">
            <v>98472</v>
          </cell>
        </row>
        <row r="707">
          <cell r="C707">
            <v>8010072764</v>
          </cell>
        </row>
        <row r="707">
          <cell r="H707">
            <v>26656</v>
          </cell>
        </row>
        <row r="708">
          <cell r="C708">
            <v>8010072771</v>
          </cell>
        </row>
        <row r="708">
          <cell r="H708">
            <v>34011</v>
          </cell>
        </row>
        <row r="709">
          <cell r="C709">
            <v>8010072765</v>
          </cell>
        </row>
        <row r="709">
          <cell r="H709">
            <v>27265</v>
          </cell>
        </row>
        <row r="710">
          <cell r="C710">
            <v>8010072766</v>
          </cell>
        </row>
        <row r="710">
          <cell r="H710">
            <v>34573</v>
          </cell>
        </row>
        <row r="711">
          <cell r="C711">
            <v>8010072772</v>
          </cell>
        </row>
        <row r="711">
          <cell r="H711">
            <v>55654</v>
          </cell>
        </row>
        <row r="712">
          <cell r="C712">
            <v>8010071471</v>
          </cell>
        </row>
        <row r="712">
          <cell r="H712">
            <v>7777</v>
          </cell>
        </row>
        <row r="713">
          <cell r="C713">
            <v>8010072484</v>
          </cell>
        </row>
        <row r="713">
          <cell r="H713">
            <v>11431</v>
          </cell>
        </row>
        <row r="714">
          <cell r="C714">
            <v>8010071472</v>
          </cell>
        </row>
        <row r="714">
          <cell r="H714">
            <v>8667</v>
          </cell>
        </row>
        <row r="715">
          <cell r="C715">
            <v>8010071473</v>
          </cell>
        </row>
        <row r="715">
          <cell r="H715">
            <v>10587</v>
          </cell>
        </row>
        <row r="716">
          <cell r="C716">
            <v>8010071474</v>
          </cell>
        </row>
        <row r="716">
          <cell r="H716">
            <v>9416</v>
          </cell>
        </row>
        <row r="717">
          <cell r="C717">
            <v>8010071475</v>
          </cell>
        </row>
        <row r="717">
          <cell r="H717">
            <v>11899</v>
          </cell>
        </row>
        <row r="718">
          <cell r="C718">
            <v>8010070525</v>
          </cell>
        </row>
        <row r="718">
          <cell r="H718">
            <v>51906</v>
          </cell>
        </row>
        <row r="719">
          <cell r="C719">
            <v>8010071289</v>
          </cell>
        </row>
        <row r="719">
          <cell r="H719">
            <v>278270</v>
          </cell>
        </row>
        <row r="720">
          <cell r="C720">
            <v>8010072742</v>
          </cell>
        </row>
        <row r="720">
          <cell r="H720">
            <v>23423</v>
          </cell>
        </row>
        <row r="721">
          <cell r="C721">
            <v>8010071476</v>
          </cell>
        </row>
        <row r="721">
          <cell r="H721">
            <v>38086</v>
          </cell>
        </row>
        <row r="722">
          <cell r="C722">
            <v>8010072773</v>
          </cell>
        </row>
        <row r="722">
          <cell r="H722">
            <v>67694</v>
          </cell>
        </row>
        <row r="723">
          <cell r="C723">
            <v>8010072774</v>
          </cell>
        </row>
        <row r="723">
          <cell r="H723">
            <v>102829</v>
          </cell>
        </row>
        <row r="724">
          <cell r="C724">
            <v>8010073712</v>
          </cell>
        </row>
        <row r="724">
          <cell r="H724">
            <v>174926</v>
          </cell>
        </row>
        <row r="725">
          <cell r="C725">
            <v>8010071477</v>
          </cell>
        </row>
        <row r="725">
          <cell r="H725">
            <v>11899</v>
          </cell>
        </row>
        <row r="726">
          <cell r="C726">
            <v>8010071478</v>
          </cell>
        </row>
        <row r="726">
          <cell r="H726">
            <v>16724</v>
          </cell>
        </row>
        <row r="727">
          <cell r="C727">
            <v>8010071479</v>
          </cell>
        </row>
        <row r="727">
          <cell r="H727">
            <v>14569</v>
          </cell>
        </row>
        <row r="728">
          <cell r="C728">
            <v>8010071480</v>
          </cell>
        </row>
        <row r="728">
          <cell r="H728">
            <v>17614</v>
          </cell>
        </row>
        <row r="729">
          <cell r="C729">
            <v>8010071481</v>
          </cell>
        </row>
        <row r="729">
          <cell r="H729">
            <v>14382</v>
          </cell>
        </row>
        <row r="730">
          <cell r="C730">
            <v>8010071482</v>
          </cell>
        </row>
        <row r="730">
          <cell r="H730">
            <v>16724</v>
          </cell>
        </row>
        <row r="731">
          <cell r="C731">
            <v>8010072835</v>
          </cell>
        </row>
        <row r="731">
          <cell r="H731">
            <v>59777</v>
          </cell>
        </row>
        <row r="732">
          <cell r="C732">
            <v>8010071483</v>
          </cell>
        </row>
        <row r="732">
          <cell r="H732">
            <v>60058</v>
          </cell>
        </row>
        <row r="733">
          <cell r="C733">
            <v>8010072840</v>
          </cell>
        </row>
        <row r="733">
          <cell r="H733">
            <v>63009</v>
          </cell>
        </row>
        <row r="734">
          <cell r="C734">
            <v>8010072777</v>
          </cell>
        </row>
        <row r="734">
          <cell r="H734">
            <v>109903</v>
          </cell>
        </row>
        <row r="735">
          <cell r="C735">
            <v>8010071287</v>
          </cell>
        </row>
        <row r="735">
          <cell r="H735">
            <v>340108</v>
          </cell>
        </row>
        <row r="736">
          <cell r="C736">
            <v>8010071875</v>
          </cell>
        </row>
        <row r="736">
          <cell r="H736">
            <v>422933</v>
          </cell>
        </row>
        <row r="737">
          <cell r="C737">
            <v>8010072841</v>
          </cell>
        </row>
        <row r="737">
          <cell r="H737">
            <v>61557</v>
          </cell>
        </row>
        <row r="738">
          <cell r="C738">
            <v>8010072778</v>
          </cell>
        </row>
        <row r="738">
          <cell r="H738">
            <v>139182</v>
          </cell>
        </row>
        <row r="739">
          <cell r="C739">
            <v>8010072779</v>
          </cell>
        </row>
        <row r="739">
          <cell r="H739">
            <v>198677</v>
          </cell>
        </row>
        <row r="740">
          <cell r="C740">
            <v>8010072780</v>
          </cell>
        </row>
        <row r="740">
          <cell r="H740">
            <v>417827</v>
          </cell>
        </row>
        <row r="741">
          <cell r="C741">
            <v>8010072477</v>
          </cell>
        </row>
        <row r="741">
          <cell r="H741">
            <v>2061</v>
          </cell>
        </row>
        <row r="742">
          <cell r="C742">
            <v>8010072478</v>
          </cell>
        </row>
        <row r="742">
          <cell r="H742">
            <v>3290</v>
          </cell>
        </row>
        <row r="743">
          <cell r="C743">
            <v>8010072479</v>
          </cell>
        </row>
        <row r="743">
          <cell r="H743">
            <v>6342</v>
          </cell>
        </row>
        <row r="744">
          <cell r="C744">
            <v>8010072686</v>
          </cell>
        </row>
        <row r="744">
          <cell r="H744">
            <v>9395</v>
          </cell>
        </row>
        <row r="745">
          <cell r="C745">
            <v>8010072687</v>
          </cell>
        </row>
        <row r="745">
          <cell r="H745">
            <v>16569</v>
          </cell>
        </row>
        <row r="746">
          <cell r="C746">
            <v>8010072514</v>
          </cell>
        </row>
        <row r="746">
          <cell r="H746">
            <v>77532</v>
          </cell>
        </row>
        <row r="747">
          <cell r="C747">
            <v>8010072515</v>
          </cell>
        </row>
        <row r="747">
          <cell r="H747">
            <v>134216</v>
          </cell>
        </row>
        <row r="748">
          <cell r="C748">
            <v>8010072516</v>
          </cell>
        </row>
        <row r="748">
          <cell r="H748">
            <v>209077</v>
          </cell>
        </row>
        <row r="749">
          <cell r="C749">
            <v>8010071342</v>
          </cell>
        </row>
        <row r="749">
          <cell r="H749">
            <v>71769</v>
          </cell>
        </row>
        <row r="750">
          <cell r="C750">
            <v>8010071343</v>
          </cell>
        </row>
        <row r="750">
          <cell r="H750">
            <v>97301</v>
          </cell>
        </row>
        <row r="751">
          <cell r="C751">
            <v>8010071344</v>
          </cell>
        </row>
        <row r="751">
          <cell r="H751">
            <v>178768</v>
          </cell>
        </row>
        <row r="752">
          <cell r="C752">
            <v>8010072739</v>
          </cell>
        </row>
        <row r="752">
          <cell r="H752">
            <v>335798</v>
          </cell>
        </row>
        <row r="753">
          <cell r="C753">
            <v>8010072740</v>
          </cell>
        </row>
        <row r="753">
          <cell r="H753">
            <v>487254</v>
          </cell>
        </row>
        <row r="754">
          <cell r="C754">
            <v>8010072741</v>
          </cell>
        </row>
        <row r="754">
          <cell r="H754">
            <v>718443</v>
          </cell>
        </row>
        <row r="755">
          <cell r="H755">
            <v>95700</v>
          </cell>
        </row>
        <row r="756">
          <cell r="H756">
            <v>124100</v>
          </cell>
        </row>
        <row r="757">
          <cell r="H757">
            <v>164150</v>
          </cell>
        </row>
        <row r="758">
          <cell r="H758">
            <v>227700</v>
          </cell>
        </row>
        <row r="759">
          <cell r="H759">
            <v>611000</v>
          </cell>
        </row>
        <row r="760">
          <cell r="H760">
            <v>748700</v>
          </cell>
        </row>
        <row r="761">
          <cell r="H761">
            <v>4467500</v>
          </cell>
        </row>
        <row r="762">
          <cell r="C762">
            <v>8010072730</v>
          </cell>
        </row>
        <row r="762">
          <cell r="H762">
            <v>67132</v>
          </cell>
        </row>
        <row r="763">
          <cell r="C763">
            <v>8010072731</v>
          </cell>
        </row>
        <row r="763">
          <cell r="H763">
            <v>97582</v>
          </cell>
        </row>
        <row r="764">
          <cell r="C764">
            <v>8010072732</v>
          </cell>
        </row>
        <row r="764">
          <cell r="H764">
            <v>170241</v>
          </cell>
        </row>
        <row r="765">
          <cell r="C765">
            <v>8010072760</v>
          </cell>
        </row>
        <row r="765">
          <cell r="H765">
            <v>443874</v>
          </cell>
        </row>
        <row r="766">
          <cell r="C766">
            <v>8010072762</v>
          </cell>
        </row>
        <row r="766">
          <cell r="H766">
            <v>672440</v>
          </cell>
        </row>
        <row r="767">
          <cell r="C767">
            <v>8010072736</v>
          </cell>
        </row>
        <row r="767">
          <cell r="H767">
            <v>65351</v>
          </cell>
        </row>
        <row r="768">
          <cell r="C768">
            <v>8010072737</v>
          </cell>
        </row>
        <row r="768">
          <cell r="H768">
            <v>91445</v>
          </cell>
        </row>
        <row r="769">
          <cell r="C769">
            <v>8010072738</v>
          </cell>
        </row>
        <row r="769">
          <cell r="H769">
            <v>152393</v>
          </cell>
        </row>
        <row r="770">
          <cell r="C770">
            <v>8010072761</v>
          </cell>
        </row>
        <row r="770">
          <cell r="H770">
            <v>406396</v>
          </cell>
        </row>
        <row r="771">
          <cell r="C771">
            <v>8010072763</v>
          </cell>
        </row>
        <row r="771">
          <cell r="H771">
            <v>578652</v>
          </cell>
        </row>
        <row r="772">
          <cell r="C772">
            <v>8010071345</v>
          </cell>
        </row>
        <row r="772">
          <cell r="H772">
            <v>34714</v>
          </cell>
        </row>
        <row r="773">
          <cell r="C773">
            <v>8010071346</v>
          </cell>
        </row>
        <row r="773">
          <cell r="H773">
            <v>47503</v>
          </cell>
        </row>
        <row r="774">
          <cell r="C774">
            <v>8010071347</v>
          </cell>
        </row>
        <row r="774">
          <cell r="H774">
            <v>81186</v>
          </cell>
        </row>
        <row r="775">
          <cell r="C775">
            <v>8010071348</v>
          </cell>
        </row>
        <row r="775">
          <cell r="H775">
            <v>81186</v>
          </cell>
        </row>
        <row r="776">
          <cell r="C776">
            <v>8010071349</v>
          </cell>
        </row>
        <row r="776">
          <cell r="H776">
            <v>139135</v>
          </cell>
        </row>
        <row r="777">
          <cell r="C777">
            <v>8010071350</v>
          </cell>
        </row>
        <row r="777">
          <cell r="H777">
            <v>196523</v>
          </cell>
        </row>
        <row r="778">
          <cell r="C778">
            <v>8010072853</v>
          </cell>
        </row>
        <row r="778">
          <cell r="H778">
            <v>224724</v>
          </cell>
        </row>
        <row r="779">
          <cell r="C779">
            <v>8010072854</v>
          </cell>
        </row>
        <row r="779">
          <cell r="H779">
            <v>367139</v>
          </cell>
        </row>
        <row r="780">
          <cell r="C780">
            <v>8010072855</v>
          </cell>
        </row>
        <row r="780">
          <cell r="H780">
            <v>599780</v>
          </cell>
        </row>
        <row r="781">
          <cell r="C781">
            <v>8010072486</v>
          </cell>
        </row>
        <row r="781">
          <cell r="H781">
            <v>515</v>
          </cell>
        </row>
        <row r="782">
          <cell r="C782">
            <v>8010072487</v>
          </cell>
        </row>
        <row r="782">
          <cell r="H782">
            <v>753</v>
          </cell>
        </row>
        <row r="783">
          <cell r="C783">
            <v>8010072488</v>
          </cell>
        </row>
        <row r="783">
          <cell r="H783">
            <v>1268</v>
          </cell>
        </row>
        <row r="784">
          <cell r="C784">
            <v>8010072726</v>
          </cell>
        </row>
        <row r="784">
          <cell r="H784">
            <v>416</v>
          </cell>
        </row>
        <row r="785">
          <cell r="C785">
            <v>8010071421</v>
          </cell>
        </row>
        <row r="785">
          <cell r="H785">
            <v>674</v>
          </cell>
        </row>
        <row r="786">
          <cell r="C786">
            <v>8010071422</v>
          </cell>
        </row>
        <row r="786">
          <cell r="H786">
            <v>951</v>
          </cell>
        </row>
        <row r="787">
          <cell r="C787">
            <v>8010071423</v>
          </cell>
        </row>
        <row r="787">
          <cell r="H787">
            <v>1467</v>
          </cell>
        </row>
        <row r="788">
          <cell r="C788">
            <v>8010071424</v>
          </cell>
        </row>
        <row r="788">
          <cell r="H788">
            <v>2973</v>
          </cell>
        </row>
        <row r="789">
          <cell r="C789">
            <v>8010071425</v>
          </cell>
        </row>
        <row r="789">
          <cell r="H789">
            <v>6025</v>
          </cell>
        </row>
        <row r="790">
          <cell r="C790">
            <v>8010071426</v>
          </cell>
        </row>
        <row r="790">
          <cell r="H790">
            <v>10227</v>
          </cell>
        </row>
        <row r="791">
          <cell r="C791">
            <v>8010071427</v>
          </cell>
        </row>
        <row r="791">
          <cell r="H791">
            <v>18829</v>
          </cell>
        </row>
        <row r="792">
          <cell r="C792">
            <v>8010071428</v>
          </cell>
        </row>
        <row r="792">
          <cell r="H792">
            <v>22595</v>
          </cell>
        </row>
        <row r="793">
          <cell r="C793">
            <v>8010071429</v>
          </cell>
        </row>
        <row r="793">
          <cell r="H793">
            <v>59023</v>
          </cell>
        </row>
        <row r="794">
          <cell r="C794">
            <v>8010071736</v>
          </cell>
        </row>
        <row r="794">
          <cell r="H794">
            <v>163117</v>
          </cell>
        </row>
        <row r="795">
          <cell r="C795">
            <v>8010072497</v>
          </cell>
        </row>
        <row r="795">
          <cell r="H795">
            <v>17286</v>
          </cell>
        </row>
        <row r="796">
          <cell r="C796">
            <v>8010072498</v>
          </cell>
        </row>
        <row r="796">
          <cell r="H796">
            <v>21409</v>
          </cell>
        </row>
        <row r="797">
          <cell r="C797">
            <v>8010072847</v>
          </cell>
        </row>
        <row r="797">
          <cell r="H797">
            <v>23751</v>
          </cell>
        </row>
        <row r="798">
          <cell r="C798">
            <v>8010072499</v>
          </cell>
        </row>
        <row r="798">
          <cell r="H798">
            <v>28998</v>
          </cell>
        </row>
        <row r="799">
          <cell r="C799">
            <v>8010072359</v>
          </cell>
        </row>
        <row r="799">
          <cell r="H799">
            <v>17614</v>
          </cell>
        </row>
        <row r="800">
          <cell r="C800">
            <v>8010072360</v>
          </cell>
        </row>
        <row r="800">
          <cell r="H800">
            <v>18177</v>
          </cell>
        </row>
        <row r="801">
          <cell r="C801">
            <v>8010072500</v>
          </cell>
        </row>
        <row r="801">
          <cell r="H801">
            <v>26094</v>
          </cell>
        </row>
        <row r="802">
          <cell r="C802">
            <v>8010072842</v>
          </cell>
        </row>
        <row r="802">
          <cell r="H802">
            <v>27827</v>
          </cell>
        </row>
        <row r="803">
          <cell r="C803">
            <v>8010072494</v>
          </cell>
        </row>
        <row r="803">
          <cell r="H803">
            <v>3766</v>
          </cell>
        </row>
        <row r="804">
          <cell r="C804">
            <v>8010072495</v>
          </cell>
        </row>
        <row r="804">
          <cell r="H804">
            <v>5906</v>
          </cell>
        </row>
        <row r="805">
          <cell r="C805">
            <v>8010072496</v>
          </cell>
        </row>
        <row r="805">
          <cell r="H805">
            <v>10584</v>
          </cell>
        </row>
        <row r="806">
          <cell r="C806">
            <v>8010073016</v>
          </cell>
        </row>
        <row r="806">
          <cell r="H806">
            <v>1268</v>
          </cell>
        </row>
        <row r="807">
          <cell r="C807">
            <v>8010073789</v>
          </cell>
        </row>
        <row r="807">
          <cell r="H807">
            <v>2299</v>
          </cell>
        </row>
        <row r="808">
          <cell r="C808">
            <v>8010073790</v>
          </cell>
        </row>
        <row r="808">
          <cell r="H808">
            <v>7413</v>
          </cell>
        </row>
        <row r="809">
          <cell r="C809">
            <v>8010071351</v>
          </cell>
        </row>
        <row r="809">
          <cell r="H809">
            <v>3211</v>
          </cell>
        </row>
        <row r="810">
          <cell r="C810">
            <v>8010072489</v>
          </cell>
        </row>
        <row r="810">
          <cell r="H810">
            <v>4717</v>
          </cell>
        </row>
        <row r="811">
          <cell r="C811">
            <v>8010072490</v>
          </cell>
        </row>
        <row r="811">
          <cell r="H811">
            <v>7175</v>
          </cell>
        </row>
        <row r="812">
          <cell r="C812">
            <v>8010072491</v>
          </cell>
        </row>
        <row r="812">
          <cell r="H812">
            <v>3726</v>
          </cell>
        </row>
        <row r="813">
          <cell r="C813">
            <v>8010072492</v>
          </cell>
        </row>
        <row r="813">
          <cell r="H813">
            <v>5193</v>
          </cell>
        </row>
        <row r="814">
          <cell r="C814">
            <v>8010072493</v>
          </cell>
        </row>
        <row r="814">
          <cell r="H814">
            <v>8681</v>
          </cell>
        </row>
        <row r="815">
          <cell r="C815">
            <v>8010072716</v>
          </cell>
        </row>
        <row r="815">
          <cell r="H815">
            <v>416</v>
          </cell>
        </row>
        <row r="816">
          <cell r="C816">
            <v>8010072718</v>
          </cell>
        </row>
        <row r="816">
          <cell r="H816">
            <v>277</v>
          </cell>
        </row>
        <row r="817">
          <cell r="C817">
            <v>8010072719</v>
          </cell>
        </row>
        <row r="817">
          <cell r="H817">
            <v>357</v>
          </cell>
        </row>
        <row r="818">
          <cell r="C818">
            <v>8010072720</v>
          </cell>
        </row>
        <row r="818">
          <cell r="H818">
            <v>436</v>
          </cell>
        </row>
        <row r="819">
          <cell r="C819">
            <v>8010072721</v>
          </cell>
        </row>
        <row r="819">
          <cell r="H819">
            <v>515</v>
          </cell>
        </row>
        <row r="820">
          <cell r="C820">
            <v>8010072722</v>
          </cell>
        </row>
        <row r="820">
          <cell r="H820">
            <v>595</v>
          </cell>
        </row>
        <row r="821">
          <cell r="C821">
            <v>8010072723</v>
          </cell>
        </row>
        <row r="821">
          <cell r="H821">
            <v>753</v>
          </cell>
        </row>
        <row r="822">
          <cell r="C822">
            <v>8010072724</v>
          </cell>
        </row>
        <row r="822">
          <cell r="H822">
            <v>832</v>
          </cell>
        </row>
        <row r="823">
          <cell r="C823">
            <v>8010072725</v>
          </cell>
        </row>
        <row r="823">
          <cell r="H823">
            <v>991</v>
          </cell>
        </row>
        <row r="824">
          <cell r="C824">
            <v>8010072715</v>
          </cell>
        </row>
        <row r="824">
          <cell r="H824">
            <v>1982</v>
          </cell>
        </row>
        <row r="825">
          <cell r="C825">
            <v>8010072717</v>
          </cell>
        </row>
        <row r="825">
          <cell r="H825">
            <v>5470</v>
          </cell>
        </row>
        <row r="826">
          <cell r="C826">
            <v>8010071430</v>
          </cell>
        </row>
        <row r="826">
          <cell r="H826">
            <v>555</v>
          </cell>
        </row>
        <row r="827">
          <cell r="C827">
            <v>8010071431</v>
          </cell>
        </row>
        <row r="827">
          <cell r="H827">
            <v>634</v>
          </cell>
        </row>
        <row r="828">
          <cell r="C828">
            <v>8010071432</v>
          </cell>
        </row>
        <row r="828">
          <cell r="H828">
            <v>872</v>
          </cell>
        </row>
        <row r="829">
          <cell r="C829">
            <v>8010071433</v>
          </cell>
        </row>
        <row r="829">
          <cell r="H829">
            <v>991</v>
          </cell>
        </row>
        <row r="830">
          <cell r="C830">
            <v>8010071434</v>
          </cell>
        </row>
        <row r="830">
          <cell r="H830">
            <v>1150</v>
          </cell>
        </row>
        <row r="831">
          <cell r="C831">
            <v>8010072816</v>
          </cell>
        </row>
        <row r="831">
          <cell r="H831">
            <v>416</v>
          </cell>
        </row>
        <row r="832">
          <cell r="C832">
            <v>8010072817</v>
          </cell>
        </row>
        <row r="832">
          <cell r="H832">
            <v>515</v>
          </cell>
        </row>
        <row r="833">
          <cell r="C833">
            <v>8010072818</v>
          </cell>
        </row>
        <row r="833">
          <cell r="H833">
            <v>515</v>
          </cell>
        </row>
        <row r="834">
          <cell r="C834">
            <v>8010072819</v>
          </cell>
        </row>
        <row r="834">
          <cell r="H834">
            <v>753</v>
          </cell>
        </row>
        <row r="835">
          <cell r="C835">
            <v>8010072826</v>
          </cell>
        </row>
        <row r="835">
          <cell r="H835">
            <v>515</v>
          </cell>
        </row>
        <row r="836">
          <cell r="C836">
            <v>8010072827</v>
          </cell>
        </row>
        <row r="836">
          <cell r="H836">
            <v>555</v>
          </cell>
        </row>
        <row r="837">
          <cell r="C837">
            <v>8010072828</v>
          </cell>
        </row>
        <row r="837">
          <cell r="H837">
            <v>674</v>
          </cell>
        </row>
        <row r="838">
          <cell r="C838">
            <v>8010072836</v>
          </cell>
        </row>
        <row r="838">
          <cell r="H838">
            <v>753</v>
          </cell>
        </row>
        <row r="839">
          <cell r="C839">
            <v>8010072810</v>
          </cell>
        </row>
        <row r="839">
          <cell r="H839">
            <v>991</v>
          </cell>
        </row>
        <row r="840">
          <cell r="C840">
            <v>8010072812</v>
          </cell>
        </row>
        <row r="840">
          <cell r="H840">
            <v>991</v>
          </cell>
        </row>
        <row r="841">
          <cell r="C841">
            <v>8010072789</v>
          </cell>
        </row>
        <row r="841">
          <cell r="H841">
            <v>991</v>
          </cell>
        </row>
        <row r="842">
          <cell r="C842">
            <v>8010072791</v>
          </cell>
        </row>
        <row r="842">
          <cell r="H842">
            <v>1268</v>
          </cell>
        </row>
        <row r="843">
          <cell r="C843">
            <v>8010072793</v>
          </cell>
        </row>
        <row r="843">
          <cell r="H843">
            <v>1744</v>
          </cell>
        </row>
        <row r="844">
          <cell r="C844">
            <v>8010072795</v>
          </cell>
        </row>
        <row r="844">
          <cell r="H844">
            <v>2220</v>
          </cell>
        </row>
        <row r="845">
          <cell r="C845">
            <v>8010072797</v>
          </cell>
        </row>
        <row r="845">
          <cell r="H845">
            <v>2735</v>
          </cell>
        </row>
        <row r="846">
          <cell r="C846">
            <v>8010072799</v>
          </cell>
        </row>
        <row r="846">
          <cell r="H846">
            <v>2973</v>
          </cell>
        </row>
        <row r="847">
          <cell r="C847">
            <v>8010072814</v>
          </cell>
        </row>
        <row r="847">
          <cell r="H847">
            <v>4717</v>
          </cell>
        </row>
        <row r="848">
          <cell r="C848">
            <v>8010072811</v>
          </cell>
        </row>
        <row r="848">
          <cell r="H848">
            <v>1982</v>
          </cell>
        </row>
        <row r="849">
          <cell r="C849">
            <v>8010072790</v>
          </cell>
        </row>
        <row r="849">
          <cell r="H849">
            <v>2220</v>
          </cell>
        </row>
        <row r="850">
          <cell r="C850">
            <v>8010072792</v>
          </cell>
        </row>
        <row r="850">
          <cell r="H850">
            <v>2220</v>
          </cell>
        </row>
        <row r="851">
          <cell r="C851">
            <v>8010072794</v>
          </cell>
        </row>
        <row r="851">
          <cell r="H851">
            <v>3964</v>
          </cell>
        </row>
        <row r="852">
          <cell r="C852">
            <v>8010072796</v>
          </cell>
        </row>
        <row r="852">
          <cell r="H852">
            <v>4479</v>
          </cell>
        </row>
        <row r="853">
          <cell r="C853">
            <v>8010072798</v>
          </cell>
        </row>
        <row r="853">
          <cell r="H853">
            <v>5193</v>
          </cell>
        </row>
        <row r="854">
          <cell r="C854">
            <v>8010072800</v>
          </cell>
        </row>
        <row r="854">
          <cell r="H854">
            <v>5708</v>
          </cell>
        </row>
        <row r="855">
          <cell r="C855">
            <v>8010072815</v>
          </cell>
        </row>
        <row r="855">
          <cell r="H855">
            <v>7690</v>
          </cell>
        </row>
        <row r="856">
          <cell r="C856">
            <v>8010072813</v>
          </cell>
        </row>
        <row r="856">
          <cell r="H856">
            <v>1025</v>
          </cell>
        </row>
        <row r="857">
          <cell r="C857">
            <v>8010072362</v>
          </cell>
        </row>
        <row r="857">
          <cell r="H857">
            <v>13914</v>
          </cell>
        </row>
        <row r="858">
          <cell r="C858">
            <v>8010072751</v>
          </cell>
        </row>
        <row r="858">
          <cell r="H858">
            <v>17286</v>
          </cell>
        </row>
        <row r="859">
          <cell r="C859">
            <v>8010072752</v>
          </cell>
        </row>
        <row r="859">
          <cell r="H859">
            <v>14476</v>
          </cell>
        </row>
        <row r="860">
          <cell r="C860">
            <v>8010072753</v>
          </cell>
        </row>
        <row r="860">
          <cell r="H860">
            <v>18177</v>
          </cell>
        </row>
        <row r="861">
          <cell r="C861">
            <v>8010071337</v>
          </cell>
        </row>
        <row r="861">
          <cell r="H861">
            <v>7823</v>
          </cell>
        </row>
        <row r="862">
          <cell r="C862">
            <v>8010072745</v>
          </cell>
        </row>
        <row r="862">
          <cell r="H862">
            <v>12836</v>
          </cell>
        </row>
        <row r="863">
          <cell r="C863">
            <v>8010072746</v>
          </cell>
        </row>
        <row r="863">
          <cell r="H863">
            <v>9885</v>
          </cell>
        </row>
        <row r="864">
          <cell r="C864">
            <v>8010072747</v>
          </cell>
        </row>
        <row r="864">
          <cell r="H864">
            <v>12180</v>
          </cell>
        </row>
        <row r="865">
          <cell r="C865">
            <v>8010072523</v>
          </cell>
        </row>
        <row r="865">
          <cell r="H865">
            <v>125409</v>
          </cell>
        </row>
        <row r="866">
          <cell r="C866">
            <v>8010072524</v>
          </cell>
        </row>
        <row r="866">
          <cell r="H866">
            <v>125690</v>
          </cell>
        </row>
        <row r="867">
          <cell r="C867">
            <v>8010070922</v>
          </cell>
        </row>
        <row r="867">
          <cell r="H867">
            <v>729647</v>
          </cell>
        </row>
        <row r="868">
          <cell r="C868">
            <v>8010070923</v>
          </cell>
        </row>
        <row r="868">
          <cell r="H868">
            <v>1412162</v>
          </cell>
        </row>
        <row r="869">
          <cell r="C869">
            <v>8010070924</v>
          </cell>
        </row>
        <row r="869">
          <cell r="H869">
            <v>2588964</v>
          </cell>
        </row>
        <row r="870">
          <cell r="C870">
            <v>8010070966</v>
          </cell>
        </row>
        <row r="870">
          <cell r="H870">
            <v>95333</v>
          </cell>
        </row>
        <row r="871">
          <cell r="C871">
            <v>8030050055</v>
          </cell>
        </row>
        <row r="871">
          <cell r="H871">
            <v>5973</v>
          </cell>
        </row>
        <row r="872">
          <cell r="C872">
            <v>8030050068</v>
          </cell>
        </row>
        <row r="872">
          <cell r="H872">
            <v>5473</v>
          </cell>
        </row>
        <row r="873">
          <cell r="C873">
            <v>8030050080</v>
          </cell>
        </row>
        <row r="873">
          <cell r="H873">
            <v>7969</v>
          </cell>
        </row>
        <row r="874">
          <cell r="C874">
            <v>8030050090</v>
          </cell>
        </row>
        <row r="874">
          <cell r="H874">
            <v>12364</v>
          </cell>
        </row>
        <row r="875">
          <cell r="C875">
            <v>8030050101</v>
          </cell>
        </row>
        <row r="875">
          <cell r="H875">
            <v>21135</v>
          </cell>
        </row>
        <row r="876">
          <cell r="C876">
            <v>8030051700</v>
          </cell>
        </row>
        <row r="876">
          <cell r="H876">
            <v>5114</v>
          </cell>
        </row>
        <row r="877">
          <cell r="C877">
            <v>8030052245</v>
          </cell>
        </row>
        <row r="877">
          <cell r="H877">
            <v>3708</v>
          </cell>
        </row>
        <row r="878">
          <cell r="C878">
            <v>8030051550</v>
          </cell>
        </row>
        <row r="878">
          <cell r="H878">
            <v>7351</v>
          </cell>
        </row>
        <row r="879">
          <cell r="C879">
            <v>8030020288</v>
          </cell>
        </row>
        <row r="879">
          <cell r="H879">
            <v>357</v>
          </cell>
        </row>
        <row r="880">
          <cell r="C880">
            <v>8030020289</v>
          </cell>
        </row>
        <row r="880">
          <cell r="H880">
            <v>551</v>
          </cell>
        </row>
        <row r="881">
          <cell r="C881">
            <v>8030020290</v>
          </cell>
        </row>
        <row r="881">
          <cell r="H881">
            <v>973</v>
          </cell>
        </row>
        <row r="882">
          <cell r="C882">
            <v>8030020291</v>
          </cell>
        </row>
        <row r="882">
          <cell r="H882">
            <v>1686</v>
          </cell>
        </row>
        <row r="883">
          <cell r="C883">
            <v>8030020170</v>
          </cell>
        </row>
        <row r="883">
          <cell r="H883">
            <v>681</v>
          </cell>
        </row>
        <row r="884">
          <cell r="C884">
            <v>8030020171</v>
          </cell>
        </row>
        <row r="884">
          <cell r="H884">
            <v>843</v>
          </cell>
        </row>
        <row r="885">
          <cell r="C885">
            <v>8030020172</v>
          </cell>
        </row>
        <row r="885">
          <cell r="H885">
            <v>1232</v>
          </cell>
        </row>
        <row r="886">
          <cell r="C886">
            <v>8030020173</v>
          </cell>
        </row>
        <row r="886">
          <cell r="H886">
            <v>1946</v>
          </cell>
        </row>
        <row r="887">
          <cell r="C887">
            <v>8030020174</v>
          </cell>
        </row>
        <row r="887">
          <cell r="H887">
            <v>4832</v>
          </cell>
        </row>
        <row r="888">
          <cell r="C888">
            <v>8030020175</v>
          </cell>
        </row>
        <row r="888">
          <cell r="H888">
            <v>3746</v>
          </cell>
        </row>
        <row r="889">
          <cell r="C889">
            <v>8030021230</v>
          </cell>
        </row>
        <row r="889">
          <cell r="H889">
            <v>681</v>
          </cell>
        </row>
        <row r="890">
          <cell r="C890">
            <v>8030021231</v>
          </cell>
        </row>
        <row r="890">
          <cell r="H890">
            <v>1022</v>
          </cell>
        </row>
        <row r="891">
          <cell r="C891">
            <v>8030021212</v>
          </cell>
        </row>
        <row r="891">
          <cell r="H891">
            <v>1703</v>
          </cell>
        </row>
        <row r="892">
          <cell r="C892">
            <v>8030021213</v>
          </cell>
        </row>
        <row r="892">
          <cell r="H892">
            <v>2384</v>
          </cell>
        </row>
        <row r="893">
          <cell r="C893">
            <v>8030020206</v>
          </cell>
        </row>
        <row r="893">
          <cell r="H893">
            <v>341</v>
          </cell>
        </row>
        <row r="894">
          <cell r="C894">
            <v>8030020207</v>
          </cell>
        </row>
        <row r="894">
          <cell r="H894">
            <v>486</v>
          </cell>
        </row>
        <row r="895">
          <cell r="C895">
            <v>8030020208</v>
          </cell>
        </row>
        <row r="895">
          <cell r="H895">
            <v>843</v>
          </cell>
        </row>
        <row r="896">
          <cell r="C896">
            <v>8030020209</v>
          </cell>
        </row>
        <row r="896">
          <cell r="H896">
            <v>1362</v>
          </cell>
        </row>
        <row r="897">
          <cell r="C897">
            <v>8030020210</v>
          </cell>
        </row>
        <row r="897">
          <cell r="H897">
            <v>3243</v>
          </cell>
        </row>
        <row r="898">
          <cell r="C898">
            <v>8030020621</v>
          </cell>
        </row>
        <row r="898">
          <cell r="H898">
            <v>681</v>
          </cell>
        </row>
        <row r="899">
          <cell r="C899">
            <v>8030020202</v>
          </cell>
        </row>
        <row r="899">
          <cell r="H899">
            <v>649</v>
          </cell>
        </row>
        <row r="900">
          <cell r="C900">
            <v>8030020203</v>
          </cell>
        </row>
        <row r="900">
          <cell r="H900">
            <v>1038</v>
          </cell>
        </row>
        <row r="901">
          <cell r="C901">
            <v>8030020204</v>
          </cell>
        </row>
        <row r="901">
          <cell r="H901">
            <v>1849</v>
          </cell>
        </row>
        <row r="902">
          <cell r="C902">
            <v>8030020205</v>
          </cell>
        </row>
        <row r="902">
          <cell r="H902">
            <v>4216</v>
          </cell>
        </row>
        <row r="903">
          <cell r="C903">
            <v>8030040024</v>
          </cell>
        </row>
        <row r="903">
          <cell r="H903">
            <v>4427</v>
          </cell>
        </row>
        <row r="904">
          <cell r="C904">
            <v>8030020221</v>
          </cell>
        </row>
        <row r="904">
          <cell r="H904">
            <v>843</v>
          </cell>
        </row>
        <row r="905">
          <cell r="C905">
            <v>8030020222</v>
          </cell>
        </row>
        <row r="905">
          <cell r="H905">
            <v>1070</v>
          </cell>
        </row>
        <row r="906">
          <cell r="C906">
            <v>8030020223</v>
          </cell>
        </row>
        <row r="906">
          <cell r="H906">
            <v>2303</v>
          </cell>
        </row>
        <row r="907">
          <cell r="C907">
            <v>8030020224</v>
          </cell>
        </row>
        <row r="907">
          <cell r="H907">
            <v>5578</v>
          </cell>
        </row>
        <row r="908">
          <cell r="C908">
            <v>8030020225</v>
          </cell>
        </row>
        <row r="908">
          <cell r="H908">
            <v>5108</v>
          </cell>
        </row>
        <row r="909">
          <cell r="C909">
            <v>8030020185</v>
          </cell>
        </row>
        <row r="909">
          <cell r="H909">
            <v>1751</v>
          </cell>
        </row>
        <row r="910">
          <cell r="C910">
            <v>8030020186</v>
          </cell>
        </row>
        <row r="910">
          <cell r="H910">
            <v>2627</v>
          </cell>
        </row>
        <row r="911">
          <cell r="C911">
            <v>8030020187</v>
          </cell>
        </row>
        <row r="911">
          <cell r="H911">
            <v>4476</v>
          </cell>
        </row>
        <row r="912">
          <cell r="C912">
            <v>8030020580</v>
          </cell>
        </row>
        <row r="912">
          <cell r="H912">
            <v>7978</v>
          </cell>
        </row>
        <row r="913">
          <cell r="C913">
            <v>8030020231</v>
          </cell>
        </row>
        <row r="913">
          <cell r="H913">
            <v>3405</v>
          </cell>
        </row>
        <row r="914">
          <cell r="C914">
            <v>8030020232</v>
          </cell>
        </row>
        <row r="914">
          <cell r="H914">
            <v>2497</v>
          </cell>
        </row>
        <row r="915">
          <cell r="C915">
            <v>8030020233</v>
          </cell>
        </row>
        <row r="915">
          <cell r="H915">
            <v>2692</v>
          </cell>
        </row>
        <row r="916">
          <cell r="C916">
            <v>8030020239</v>
          </cell>
        </row>
        <row r="916">
          <cell r="H916">
            <v>3405</v>
          </cell>
        </row>
        <row r="917">
          <cell r="C917">
            <v>8030020240</v>
          </cell>
        </row>
        <row r="917">
          <cell r="H917">
            <v>2692</v>
          </cell>
        </row>
        <row r="918">
          <cell r="C918">
            <v>8030020241</v>
          </cell>
        </row>
        <row r="918">
          <cell r="H918">
            <v>2919</v>
          </cell>
        </row>
        <row r="919">
          <cell r="C919">
            <v>8030020257</v>
          </cell>
        </row>
        <row r="919">
          <cell r="H919">
            <v>2627</v>
          </cell>
        </row>
        <row r="920">
          <cell r="C920">
            <v>8030020258</v>
          </cell>
        </row>
        <row r="920">
          <cell r="H920">
            <v>2886</v>
          </cell>
        </row>
        <row r="921">
          <cell r="C921">
            <v>8030020191</v>
          </cell>
        </row>
        <row r="921">
          <cell r="H921">
            <v>3405</v>
          </cell>
        </row>
        <row r="922">
          <cell r="C922">
            <v>8030020192</v>
          </cell>
        </row>
        <row r="922">
          <cell r="H922">
            <v>2789</v>
          </cell>
        </row>
        <row r="923">
          <cell r="C923">
            <v>8030020193</v>
          </cell>
        </row>
        <row r="923">
          <cell r="H923">
            <v>3114</v>
          </cell>
        </row>
        <row r="924">
          <cell r="C924">
            <v>8030020247</v>
          </cell>
        </row>
        <row r="924">
          <cell r="H924">
            <v>3405</v>
          </cell>
        </row>
        <row r="925">
          <cell r="C925">
            <v>8030020248</v>
          </cell>
        </row>
        <row r="925">
          <cell r="H925">
            <v>3568</v>
          </cell>
        </row>
        <row r="926">
          <cell r="C926">
            <v>8030020249</v>
          </cell>
        </row>
        <row r="926">
          <cell r="H926">
            <v>4314</v>
          </cell>
        </row>
        <row r="927">
          <cell r="C927">
            <v>8030020112</v>
          </cell>
        </row>
        <row r="927">
          <cell r="H927">
            <v>3746</v>
          </cell>
        </row>
        <row r="928">
          <cell r="C928">
            <v>8030020113</v>
          </cell>
        </row>
        <row r="928">
          <cell r="H928">
            <v>3405</v>
          </cell>
        </row>
        <row r="929">
          <cell r="C929">
            <v>8030020114</v>
          </cell>
        </row>
        <row r="929">
          <cell r="H929">
            <v>3405</v>
          </cell>
        </row>
        <row r="930">
          <cell r="C930">
            <v>8030020378</v>
          </cell>
        </row>
        <row r="930">
          <cell r="H930">
            <v>3746</v>
          </cell>
        </row>
        <row r="931">
          <cell r="C931">
            <v>8030020368</v>
          </cell>
        </row>
        <row r="931">
          <cell r="H931">
            <v>3746</v>
          </cell>
        </row>
        <row r="932">
          <cell r="C932">
            <v>8030020167</v>
          </cell>
        </row>
        <row r="932">
          <cell r="H932">
            <v>4086</v>
          </cell>
        </row>
        <row r="933">
          <cell r="C933">
            <v>8030020168</v>
          </cell>
        </row>
        <row r="933">
          <cell r="H933">
            <v>3746</v>
          </cell>
        </row>
        <row r="934">
          <cell r="C934">
            <v>8030020169</v>
          </cell>
        </row>
        <row r="934">
          <cell r="H934">
            <v>4086</v>
          </cell>
        </row>
        <row r="935">
          <cell r="C935">
            <v>8030020382</v>
          </cell>
        </row>
        <row r="935">
          <cell r="H935">
            <v>2573</v>
          </cell>
        </row>
        <row r="936">
          <cell r="C936">
            <v>8030020383</v>
          </cell>
        </row>
        <row r="936">
          <cell r="H936">
            <v>5449</v>
          </cell>
        </row>
        <row r="937">
          <cell r="C937">
            <v>8030020116</v>
          </cell>
        </row>
        <row r="937">
          <cell r="H937">
            <v>3405</v>
          </cell>
        </row>
        <row r="938">
          <cell r="C938">
            <v>8030020117</v>
          </cell>
        </row>
        <row r="938">
          <cell r="H938">
            <v>3746</v>
          </cell>
        </row>
        <row r="939">
          <cell r="C939">
            <v>8030020379</v>
          </cell>
        </row>
        <row r="939">
          <cell r="H939">
            <v>3746</v>
          </cell>
        </row>
        <row r="940">
          <cell r="C940">
            <v>8030020268</v>
          </cell>
        </row>
        <row r="940">
          <cell r="H940">
            <v>3503</v>
          </cell>
        </row>
        <row r="941">
          <cell r="C941">
            <v>8030020380</v>
          </cell>
        </row>
        <row r="941">
          <cell r="H941">
            <v>4086</v>
          </cell>
        </row>
        <row r="942">
          <cell r="C942">
            <v>8030020118</v>
          </cell>
        </row>
        <row r="942">
          <cell r="H942">
            <v>4086</v>
          </cell>
        </row>
        <row r="943">
          <cell r="C943">
            <v>8030020119</v>
          </cell>
        </row>
        <row r="943">
          <cell r="H943">
            <v>3746</v>
          </cell>
        </row>
        <row r="944">
          <cell r="C944">
            <v>8030020120</v>
          </cell>
        </row>
        <row r="944">
          <cell r="H944">
            <v>4427</v>
          </cell>
        </row>
        <row r="945">
          <cell r="C945">
            <v>8030020121</v>
          </cell>
        </row>
        <row r="945">
          <cell r="H945">
            <v>4427</v>
          </cell>
        </row>
        <row r="946">
          <cell r="C946">
            <v>8030020122</v>
          </cell>
        </row>
        <row r="946">
          <cell r="H946">
            <v>4427</v>
          </cell>
        </row>
        <row r="947">
          <cell r="C947">
            <v>8030020123</v>
          </cell>
        </row>
        <row r="947">
          <cell r="H947">
            <v>5789</v>
          </cell>
        </row>
        <row r="948">
          <cell r="C948">
            <v>8030020140</v>
          </cell>
        </row>
        <row r="948">
          <cell r="H948">
            <v>341</v>
          </cell>
        </row>
        <row r="949">
          <cell r="C949">
            <v>8030020141</v>
          </cell>
        </row>
        <row r="949">
          <cell r="H949">
            <v>389</v>
          </cell>
        </row>
        <row r="950">
          <cell r="C950">
            <v>8030020142</v>
          </cell>
        </row>
        <row r="950">
          <cell r="H950">
            <v>551</v>
          </cell>
        </row>
        <row r="951">
          <cell r="C951">
            <v>8030020143</v>
          </cell>
        </row>
        <row r="951">
          <cell r="H951">
            <v>941</v>
          </cell>
        </row>
        <row r="952">
          <cell r="C952">
            <v>8030020144</v>
          </cell>
        </row>
        <row r="952">
          <cell r="H952">
            <v>3341</v>
          </cell>
        </row>
        <row r="953">
          <cell r="C953">
            <v>8030020155</v>
          </cell>
        </row>
        <row r="953">
          <cell r="H953">
            <v>681</v>
          </cell>
        </row>
        <row r="954">
          <cell r="C954">
            <v>8030020401</v>
          </cell>
        </row>
        <row r="954">
          <cell r="H954">
            <v>1022</v>
          </cell>
        </row>
        <row r="955">
          <cell r="C955">
            <v>8030020402</v>
          </cell>
        </row>
        <row r="955">
          <cell r="H955">
            <v>1022</v>
          </cell>
        </row>
        <row r="956">
          <cell r="C956">
            <v>8030020044</v>
          </cell>
        </row>
        <row r="956">
          <cell r="H956">
            <v>2432</v>
          </cell>
        </row>
        <row r="957">
          <cell r="C957">
            <v>8030020045</v>
          </cell>
        </row>
        <row r="957">
          <cell r="H957">
            <v>2692</v>
          </cell>
        </row>
        <row r="958">
          <cell r="C958">
            <v>8030020046</v>
          </cell>
        </row>
        <row r="958">
          <cell r="H958">
            <v>2432</v>
          </cell>
        </row>
        <row r="959">
          <cell r="C959">
            <v>8030020047</v>
          </cell>
        </row>
        <row r="959">
          <cell r="H959">
            <v>2692</v>
          </cell>
        </row>
        <row r="960">
          <cell r="C960">
            <v>8030020062</v>
          </cell>
        </row>
        <row r="960">
          <cell r="H960">
            <v>3405</v>
          </cell>
        </row>
        <row r="961">
          <cell r="C961">
            <v>8030020063</v>
          </cell>
        </row>
        <row r="961">
          <cell r="H961">
            <v>3405</v>
          </cell>
        </row>
        <row r="962">
          <cell r="C962">
            <v>8030020064</v>
          </cell>
        </row>
        <row r="962">
          <cell r="H962">
            <v>3405</v>
          </cell>
        </row>
        <row r="963">
          <cell r="C963">
            <v>8030020065</v>
          </cell>
        </row>
        <row r="963">
          <cell r="H963">
            <v>3405</v>
          </cell>
        </row>
        <row r="964">
          <cell r="C964">
            <v>8030020052</v>
          </cell>
        </row>
        <row r="964">
          <cell r="H964">
            <v>4768</v>
          </cell>
        </row>
        <row r="965">
          <cell r="C965">
            <v>8030020053</v>
          </cell>
        </row>
        <row r="965">
          <cell r="H965">
            <v>9195</v>
          </cell>
        </row>
        <row r="966">
          <cell r="C966">
            <v>8030020054</v>
          </cell>
        </row>
        <row r="966">
          <cell r="H966">
            <v>5789</v>
          </cell>
        </row>
        <row r="967">
          <cell r="C967">
            <v>8030020055</v>
          </cell>
        </row>
        <row r="967">
          <cell r="H967">
            <v>4086</v>
          </cell>
        </row>
        <row r="968">
          <cell r="C968">
            <v>8030020066</v>
          </cell>
        </row>
        <row r="968">
          <cell r="H968">
            <v>3065</v>
          </cell>
        </row>
        <row r="969">
          <cell r="C969">
            <v>8030021130</v>
          </cell>
        </row>
        <row r="969">
          <cell r="H969">
            <v>3065</v>
          </cell>
        </row>
        <row r="970">
          <cell r="C970">
            <v>8030020917</v>
          </cell>
        </row>
        <row r="970">
          <cell r="H970">
            <v>3957</v>
          </cell>
        </row>
        <row r="971">
          <cell r="C971">
            <v>8030020864</v>
          </cell>
        </row>
        <row r="971">
          <cell r="H971">
            <v>4768</v>
          </cell>
        </row>
        <row r="972">
          <cell r="C972">
            <v>8030020865</v>
          </cell>
        </row>
        <row r="972">
          <cell r="H972">
            <v>4281</v>
          </cell>
        </row>
        <row r="973">
          <cell r="C973">
            <v>8030020071</v>
          </cell>
        </row>
        <row r="973">
          <cell r="H973">
            <v>2530</v>
          </cell>
        </row>
        <row r="974">
          <cell r="C974">
            <v>8030021168</v>
          </cell>
        </row>
        <row r="974">
          <cell r="H974">
            <v>3405</v>
          </cell>
        </row>
        <row r="975">
          <cell r="C975">
            <v>8030020070</v>
          </cell>
        </row>
        <row r="975">
          <cell r="H975">
            <v>3081</v>
          </cell>
        </row>
        <row r="976">
          <cell r="C976">
            <v>8030020072</v>
          </cell>
        </row>
        <row r="976">
          <cell r="H976">
            <v>3081</v>
          </cell>
        </row>
        <row r="977">
          <cell r="C977">
            <v>8030020068</v>
          </cell>
        </row>
        <row r="977">
          <cell r="H977">
            <v>2724</v>
          </cell>
        </row>
        <row r="978">
          <cell r="C978">
            <v>8030020069</v>
          </cell>
        </row>
        <row r="978">
          <cell r="H978">
            <v>3211</v>
          </cell>
        </row>
        <row r="979">
          <cell r="C979">
            <v>8030020056</v>
          </cell>
        </row>
        <row r="979">
          <cell r="H979">
            <v>3065</v>
          </cell>
        </row>
        <row r="980">
          <cell r="C980">
            <v>8030020057</v>
          </cell>
        </row>
        <row r="980">
          <cell r="H980">
            <v>3746</v>
          </cell>
        </row>
        <row r="981">
          <cell r="C981">
            <v>8030020058</v>
          </cell>
        </row>
        <row r="981">
          <cell r="H981">
            <v>4086</v>
          </cell>
        </row>
        <row r="982">
          <cell r="C982">
            <v>8030020562</v>
          </cell>
        </row>
        <row r="982">
          <cell r="H982">
            <v>1800</v>
          </cell>
        </row>
        <row r="983">
          <cell r="C983">
            <v>8030020059</v>
          </cell>
        </row>
        <row r="983">
          <cell r="H983">
            <v>4086</v>
          </cell>
        </row>
        <row r="984">
          <cell r="C984">
            <v>8030020060</v>
          </cell>
        </row>
        <row r="984">
          <cell r="H984">
            <v>4086</v>
          </cell>
        </row>
        <row r="985">
          <cell r="C985">
            <v>8030020918</v>
          </cell>
        </row>
        <row r="985">
          <cell r="H985">
            <v>4086</v>
          </cell>
        </row>
        <row r="986">
          <cell r="C986">
            <v>8030020618</v>
          </cell>
        </row>
        <row r="986">
          <cell r="H986">
            <v>4427</v>
          </cell>
        </row>
        <row r="987">
          <cell r="C987">
            <v>8030020619</v>
          </cell>
        </row>
        <row r="987">
          <cell r="H987">
            <v>4427</v>
          </cell>
        </row>
        <row r="988">
          <cell r="C988">
            <v>8030020617</v>
          </cell>
        </row>
        <row r="988">
          <cell r="H988">
            <v>2724</v>
          </cell>
        </row>
        <row r="989">
          <cell r="C989">
            <v>8030020620</v>
          </cell>
        </row>
        <row r="989">
          <cell r="H989">
            <v>4086</v>
          </cell>
        </row>
        <row r="990">
          <cell r="C990">
            <v>8030020663</v>
          </cell>
        </row>
        <row r="990">
          <cell r="H990">
            <v>5449</v>
          </cell>
        </row>
        <row r="991">
          <cell r="C991">
            <v>8030020664</v>
          </cell>
        </row>
        <row r="991">
          <cell r="H991">
            <v>6470</v>
          </cell>
        </row>
        <row r="992">
          <cell r="C992">
            <v>8030021235</v>
          </cell>
        </row>
        <row r="992">
          <cell r="H992">
            <v>4768</v>
          </cell>
        </row>
        <row r="993">
          <cell r="C993">
            <v>8030021236</v>
          </cell>
        </row>
        <row r="993">
          <cell r="H993">
            <v>4768</v>
          </cell>
        </row>
        <row r="994">
          <cell r="C994">
            <v>8030020851</v>
          </cell>
        </row>
        <row r="994">
          <cell r="H994">
            <v>3405</v>
          </cell>
        </row>
        <row r="995">
          <cell r="C995">
            <v>8030020661</v>
          </cell>
        </row>
        <row r="995">
          <cell r="H995">
            <v>1986</v>
          </cell>
        </row>
        <row r="996">
          <cell r="C996">
            <v>8030020764</v>
          </cell>
        </row>
        <row r="996">
          <cell r="H996">
            <v>3405</v>
          </cell>
        </row>
        <row r="997">
          <cell r="C997">
            <v>8030020041</v>
          </cell>
        </row>
        <row r="997">
          <cell r="H997">
            <v>1519</v>
          </cell>
        </row>
        <row r="998">
          <cell r="C998">
            <v>8030020042</v>
          </cell>
        </row>
        <row r="998">
          <cell r="H998">
            <v>1640</v>
          </cell>
        </row>
        <row r="999">
          <cell r="C999">
            <v>8030020387</v>
          </cell>
        </row>
        <row r="999">
          <cell r="H999">
            <v>973</v>
          </cell>
        </row>
        <row r="1000">
          <cell r="C1000">
            <v>8030020920</v>
          </cell>
        </row>
        <row r="1000">
          <cell r="H1000">
            <v>686</v>
          </cell>
        </row>
        <row r="1001">
          <cell r="C1001">
            <v>8030020369</v>
          </cell>
        </row>
        <row r="1001">
          <cell r="H1001">
            <v>941</v>
          </cell>
        </row>
        <row r="1002">
          <cell r="C1002">
            <v>8030020386</v>
          </cell>
        </row>
        <row r="1002">
          <cell r="H1002">
            <v>1712</v>
          </cell>
        </row>
        <row r="1003">
          <cell r="C1003">
            <v>8030021196</v>
          </cell>
        </row>
        <row r="1003">
          <cell r="H1003">
            <v>1362</v>
          </cell>
        </row>
        <row r="1004">
          <cell r="C1004">
            <v>8030020255</v>
          </cell>
        </row>
        <row r="1004">
          <cell r="H1004">
            <v>359</v>
          </cell>
        </row>
        <row r="1005">
          <cell r="C1005">
            <v>8030021234</v>
          </cell>
        </row>
        <row r="1005">
          <cell r="H1005">
            <v>681</v>
          </cell>
        </row>
        <row r="1006">
          <cell r="C1006">
            <v>8030020126</v>
          </cell>
        </row>
        <row r="1006">
          <cell r="H1006">
            <v>341</v>
          </cell>
        </row>
        <row r="1007">
          <cell r="C1007">
            <v>8030020127</v>
          </cell>
        </row>
        <row r="1007">
          <cell r="H1007">
            <v>195</v>
          </cell>
        </row>
        <row r="1008">
          <cell r="C1008">
            <v>8030020128</v>
          </cell>
        </row>
        <row r="1008">
          <cell r="H1008">
            <v>292</v>
          </cell>
        </row>
        <row r="1009">
          <cell r="C1009">
            <v>8030020129</v>
          </cell>
        </row>
        <row r="1009">
          <cell r="H1009">
            <v>389</v>
          </cell>
        </row>
        <row r="1010">
          <cell r="C1010">
            <v>8030020130</v>
          </cell>
        </row>
        <row r="1010">
          <cell r="H1010">
            <v>1686</v>
          </cell>
        </row>
        <row r="1011">
          <cell r="C1011">
            <v>8030021111</v>
          </cell>
        </row>
        <row r="1011">
          <cell r="H1011">
            <v>195</v>
          </cell>
        </row>
        <row r="1012">
          <cell r="C1012">
            <v>8030021112</v>
          </cell>
        </row>
        <row r="1012">
          <cell r="H1012">
            <v>341</v>
          </cell>
        </row>
        <row r="1013">
          <cell r="C1013">
            <v>8030020594</v>
          </cell>
        </row>
        <row r="1013">
          <cell r="H1013">
            <v>162</v>
          </cell>
        </row>
        <row r="1014">
          <cell r="C1014">
            <v>8030020595</v>
          </cell>
        </row>
        <row r="1014">
          <cell r="H1014">
            <v>195</v>
          </cell>
        </row>
        <row r="1015">
          <cell r="C1015">
            <v>8030020596</v>
          </cell>
        </row>
        <row r="1015">
          <cell r="H1015">
            <v>243</v>
          </cell>
        </row>
        <row r="1016">
          <cell r="C1016">
            <v>8030020737</v>
          </cell>
        </row>
        <row r="1016">
          <cell r="H1016">
            <v>341</v>
          </cell>
        </row>
        <row r="1017">
          <cell r="C1017">
            <v>8030020158</v>
          </cell>
        </row>
        <row r="1017">
          <cell r="H1017">
            <v>341</v>
          </cell>
        </row>
        <row r="1018">
          <cell r="C1018">
            <v>8030020159</v>
          </cell>
        </row>
        <row r="1018">
          <cell r="H1018">
            <v>341</v>
          </cell>
        </row>
        <row r="1019">
          <cell r="C1019">
            <v>8030020160</v>
          </cell>
        </row>
        <row r="1019">
          <cell r="H1019">
            <v>341</v>
          </cell>
        </row>
        <row r="1020">
          <cell r="C1020">
            <v>8030020808</v>
          </cell>
        </row>
        <row r="1020">
          <cell r="H1020">
            <v>84324</v>
          </cell>
        </row>
        <row r="1021">
          <cell r="C1021">
            <v>8030020812</v>
          </cell>
        </row>
        <row r="1021">
          <cell r="H1021">
            <v>135856</v>
          </cell>
        </row>
        <row r="1022">
          <cell r="C1022">
            <v>8030020754</v>
          </cell>
        </row>
        <row r="1022">
          <cell r="H1022">
            <v>344324</v>
          </cell>
        </row>
        <row r="1023">
          <cell r="C1023">
            <v>8030021225</v>
          </cell>
        </row>
        <row r="1023">
          <cell r="H1023">
            <v>510</v>
          </cell>
        </row>
        <row r="1024">
          <cell r="C1024">
            <v>8030020351</v>
          </cell>
        </row>
        <row r="1024">
          <cell r="H1024">
            <v>523</v>
          </cell>
        </row>
        <row r="1025">
          <cell r="C1025">
            <v>8030020352</v>
          </cell>
        </row>
        <row r="1025">
          <cell r="H1025">
            <v>836</v>
          </cell>
        </row>
        <row r="1026">
          <cell r="C1026">
            <v>8030020353</v>
          </cell>
        </row>
        <row r="1026">
          <cell r="H1026">
            <v>61396</v>
          </cell>
        </row>
        <row r="1027">
          <cell r="C1027">
            <v>8030020790</v>
          </cell>
        </row>
        <row r="1027">
          <cell r="H1027">
            <v>378</v>
          </cell>
        </row>
        <row r="1028">
          <cell r="C1028">
            <v>8030020935</v>
          </cell>
        </row>
        <row r="1028">
          <cell r="H1028">
            <v>3746</v>
          </cell>
        </row>
        <row r="1029">
          <cell r="C1029">
            <v>8030020936</v>
          </cell>
        </row>
        <row r="1029">
          <cell r="H1029">
            <v>3746</v>
          </cell>
        </row>
        <row r="1030">
          <cell r="C1030">
            <v>8030020361</v>
          </cell>
        </row>
        <row r="1030">
          <cell r="H1030">
            <v>12908</v>
          </cell>
        </row>
        <row r="1031">
          <cell r="C1031">
            <v>8030020364</v>
          </cell>
        </row>
        <row r="1031">
          <cell r="H1031">
            <v>17027</v>
          </cell>
        </row>
        <row r="1032">
          <cell r="C1032">
            <v>8030020376</v>
          </cell>
        </row>
        <row r="1032">
          <cell r="H1032">
            <v>25784</v>
          </cell>
        </row>
        <row r="1033">
          <cell r="C1033">
            <v>8030020076</v>
          </cell>
        </row>
        <row r="1033">
          <cell r="H1033">
            <v>4427</v>
          </cell>
        </row>
        <row r="1034">
          <cell r="C1034">
            <v>8030020077</v>
          </cell>
        </row>
        <row r="1034">
          <cell r="H1034">
            <v>4768</v>
          </cell>
        </row>
        <row r="1035">
          <cell r="C1035">
            <v>8030020389</v>
          </cell>
        </row>
        <row r="1035">
          <cell r="H1035">
            <v>4768</v>
          </cell>
        </row>
        <row r="1036">
          <cell r="C1036">
            <v>8030020078</v>
          </cell>
        </row>
        <row r="1036">
          <cell r="H1036">
            <v>4768</v>
          </cell>
        </row>
        <row r="1037">
          <cell r="C1037">
            <v>8010036442</v>
          </cell>
        </row>
        <row r="1037">
          <cell r="H1037">
            <v>526306</v>
          </cell>
        </row>
        <row r="1038">
          <cell r="C1038">
            <v>8010036443</v>
          </cell>
        </row>
        <row r="1038">
          <cell r="H1038">
            <v>263153</v>
          </cell>
        </row>
        <row r="1039">
          <cell r="C1039">
            <v>8010036452</v>
          </cell>
        </row>
        <row r="1039">
          <cell r="H1039">
            <v>808739</v>
          </cell>
        </row>
        <row r="1040">
          <cell r="C1040">
            <v>8010036453</v>
          </cell>
        </row>
        <row r="1040">
          <cell r="H1040">
            <v>404369</v>
          </cell>
        </row>
        <row r="1041">
          <cell r="C1041">
            <v>8010036462</v>
          </cell>
        </row>
        <row r="1041">
          <cell r="H1041">
            <v>1246396</v>
          </cell>
        </row>
        <row r="1042">
          <cell r="C1042">
            <v>8010036463</v>
          </cell>
        </row>
        <row r="1042">
          <cell r="H1042">
            <v>623198</v>
          </cell>
        </row>
        <row r="1043">
          <cell r="C1043">
            <v>8010036472</v>
          </cell>
        </row>
        <row r="1043">
          <cell r="H1043">
            <v>1985946</v>
          </cell>
        </row>
        <row r="1044">
          <cell r="C1044">
            <v>8010036473</v>
          </cell>
        </row>
        <row r="1044">
          <cell r="H1044">
            <v>992973</v>
          </cell>
        </row>
        <row r="1045">
          <cell r="C1045">
            <v>8010036482</v>
          </cell>
        </row>
        <row r="1045">
          <cell r="H1045">
            <v>1398739</v>
          </cell>
        </row>
        <row r="1046">
          <cell r="C1046">
            <v>8010036483</v>
          </cell>
        </row>
        <row r="1046">
          <cell r="H1046">
            <v>2797477</v>
          </cell>
        </row>
        <row r="1047">
          <cell r="C1047">
            <v>8010036492</v>
          </cell>
        </row>
        <row r="1047">
          <cell r="H1047">
            <v>4041171</v>
          </cell>
        </row>
        <row r="1048">
          <cell r="C1048">
            <v>8010036493</v>
          </cell>
        </row>
        <row r="1048">
          <cell r="H1048">
            <v>2020586</v>
          </cell>
        </row>
        <row r="1049">
          <cell r="C1049">
            <v>8010036502</v>
          </cell>
        </row>
        <row r="1049">
          <cell r="H1049">
            <v>6032613</v>
          </cell>
        </row>
        <row r="1050">
          <cell r="C1050">
            <v>8010036503</v>
          </cell>
        </row>
        <row r="1050">
          <cell r="H1050">
            <v>3016306</v>
          </cell>
        </row>
        <row r="1051">
          <cell r="C1051">
            <v>8010036540</v>
          </cell>
        </row>
        <row r="1051">
          <cell r="H1051">
            <v>30523</v>
          </cell>
        </row>
        <row r="1052">
          <cell r="C1052">
            <v>8010036541</v>
          </cell>
        </row>
        <row r="1052">
          <cell r="H1052">
            <v>31576</v>
          </cell>
        </row>
        <row r="1053">
          <cell r="C1053">
            <v>8010036542</v>
          </cell>
        </row>
        <row r="1053">
          <cell r="H1053">
            <v>62099</v>
          </cell>
        </row>
        <row r="1054">
          <cell r="C1054">
            <v>8010036543</v>
          </cell>
        </row>
        <row r="1054">
          <cell r="H1054">
            <v>63151</v>
          </cell>
        </row>
        <row r="1055">
          <cell r="C1055">
            <v>8010036560</v>
          </cell>
        </row>
        <row r="1055">
          <cell r="H1055">
            <v>46921</v>
          </cell>
        </row>
        <row r="1056">
          <cell r="C1056">
            <v>8010036561</v>
          </cell>
        </row>
        <row r="1056">
          <cell r="H1056">
            <v>48527</v>
          </cell>
        </row>
        <row r="1057">
          <cell r="C1057">
            <v>8010036562</v>
          </cell>
        </row>
        <row r="1057">
          <cell r="H1057">
            <v>95448</v>
          </cell>
        </row>
        <row r="1058">
          <cell r="C1058">
            <v>8010036563</v>
          </cell>
        </row>
        <row r="1058">
          <cell r="H1058">
            <v>97054</v>
          </cell>
        </row>
        <row r="1059">
          <cell r="C1059">
            <v>8010036580</v>
          </cell>
        </row>
        <row r="1059">
          <cell r="H1059">
            <v>72292</v>
          </cell>
        </row>
        <row r="1060">
          <cell r="C1060">
            <v>8010036581</v>
          </cell>
        </row>
        <row r="1060">
          <cell r="H1060">
            <v>74785</v>
          </cell>
        </row>
        <row r="1061">
          <cell r="C1061">
            <v>8010036582</v>
          </cell>
        </row>
        <row r="1061">
          <cell r="H1061">
            <v>147077</v>
          </cell>
        </row>
        <row r="1062">
          <cell r="C1062">
            <v>8010036583</v>
          </cell>
        </row>
        <row r="1062">
          <cell r="H1062">
            <v>149569</v>
          </cell>
        </row>
        <row r="1063">
          <cell r="C1063">
            <v>8010036600</v>
          </cell>
        </row>
        <row r="1063">
          <cell r="H1063">
            <v>115196</v>
          </cell>
        </row>
        <row r="1064">
          <cell r="C1064">
            <v>8010036601</v>
          </cell>
        </row>
        <row r="1064">
          <cell r="H1064">
            <v>119157</v>
          </cell>
        </row>
        <row r="1065">
          <cell r="C1065">
            <v>8010036602</v>
          </cell>
        </row>
        <row r="1065">
          <cell r="H1065">
            <v>234353</v>
          </cell>
        </row>
        <row r="1066">
          <cell r="C1066">
            <v>8010036603</v>
          </cell>
        </row>
        <row r="1066">
          <cell r="H1066">
            <v>238314</v>
          </cell>
        </row>
        <row r="1067">
          <cell r="C1067">
            <v>8010036620</v>
          </cell>
        </row>
        <row r="1067">
          <cell r="H1067">
            <v>162255</v>
          </cell>
        </row>
        <row r="1068">
          <cell r="C1068">
            <v>8010036621</v>
          </cell>
        </row>
        <row r="1068">
          <cell r="H1068">
            <v>167850</v>
          </cell>
        </row>
        <row r="1069">
          <cell r="C1069">
            <v>8010036622</v>
          </cell>
        </row>
        <row r="1069">
          <cell r="H1069">
            <v>330105</v>
          </cell>
        </row>
        <row r="1070">
          <cell r="C1070">
            <v>8010036623</v>
          </cell>
        </row>
        <row r="1070">
          <cell r="H1070">
            <v>335701</v>
          </cell>
        </row>
        <row r="1071">
          <cell r="C1071">
            <v>8010036644</v>
          </cell>
        </row>
        <row r="1071">
          <cell r="H1071">
            <v>234381</v>
          </cell>
        </row>
        <row r="1072">
          <cell r="C1072">
            <v>8010036645</v>
          </cell>
        </row>
        <row r="1072">
          <cell r="H1072">
            <v>242468</v>
          </cell>
        </row>
        <row r="1073">
          <cell r="C1073">
            <v>8010036646</v>
          </cell>
        </row>
        <row r="1073">
          <cell r="H1073">
            <v>476850</v>
          </cell>
        </row>
        <row r="1074">
          <cell r="C1074">
            <v>8010036647</v>
          </cell>
        </row>
        <row r="1074">
          <cell r="H1074">
            <v>484938</v>
          </cell>
        </row>
        <row r="1075">
          <cell r="C1075">
            <v>8010036672</v>
          </cell>
        </row>
        <row r="1075">
          <cell r="H1075">
            <v>349882</v>
          </cell>
        </row>
        <row r="1076">
          <cell r="C1076">
            <v>8010036673</v>
          </cell>
        </row>
        <row r="1076">
          <cell r="H1076">
            <v>361959</v>
          </cell>
        </row>
        <row r="1077">
          <cell r="C1077">
            <v>8010036674</v>
          </cell>
        </row>
        <row r="1077">
          <cell r="H1077">
            <v>711841</v>
          </cell>
        </row>
        <row r="1078">
          <cell r="C1078">
            <v>8010036675</v>
          </cell>
        </row>
        <row r="1078">
          <cell r="H1078">
            <v>723917</v>
          </cell>
        </row>
        <row r="1079">
          <cell r="C1079">
            <v>8010036700</v>
          </cell>
        </row>
        <row r="1079">
          <cell r="H1079">
            <v>446271</v>
          </cell>
        </row>
        <row r="1080">
          <cell r="C1080">
            <v>8010036701</v>
          </cell>
        </row>
        <row r="1080">
          <cell r="H1080">
            <v>461671</v>
          </cell>
        </row>
        <row r="1081">
          <cell r="C1081">
            <v>8010036702</v>
          </cell>
        </row>
        <row r="1081">
          <cell r="H1081">
            <v>907943</v>
          </cell>
        </row>
        <row r="1082">
          <cell r="C1082">
            <v>8010036703</v>
          </cell>
        </row>
        <row r="1082">
          <cell r="H1082">
            <v>923343</v>
          </cell>
        </row>
        <row r="1083">
          <cell r="C1083">
            <v>8010036728</v>
          </cell>
        </row>
        <row r="1083">
          <cell r="H1083">
            <v>555208</v>
          </cell>
        </row>
        <row r="1084">
          <cell r="C1084">
            <v>8010036729</v>
          </cell>
        </row>
        <row r="1084">
          <cell r="H1084">
            <v>574347</v>
          </cell>
        </row>
        <row r="1085">
          <cell r="C1085">
            <v>8010036730</v>
          </cell>
        </row>
        <row r="1085">
          <cell r="H1085">
            <v>1129555</v>
          </cell>
        </row>
        <row r="1086">
          <cell r="C1086">
            <v>8010036731</v>
          </cell>
        </row>
        <row r="1086">
          <cell r="H1086">
            <v>1148695</v>
          </cell>
        </row>
        <row r="1087">
          <cell r="C1087">
            <v>8010036756</v>
          </cell>
        </row>
        <row r="1087">
          <cell r="H1087">
            <v>723252</v>
          </cell>
        </row>
        <row r="1088">
          <cell r="C1088">
            <v>8010036757</v>
          </cell>
        </row>
        <row r="1088">
          <cell r="H1088">
            <v>748180</v>
          </cell>
        </row>
        <row r="1089">
          <cell r="C1089">
            <v>8010036758</v>
          </cell>
        </row>
        <row r="1089">
          <cell r="H1089">
            <v>1471432</v>
          </cell>
        </row>
        <row r="1090">
          <cell r="C1090">
            <v>8010036759</v>
          </cell>
        </row>
        <row r="1090">
          <cell r="H1090">
            <v>1496360</v>
          </cell>
        </row>
        <row r="1091">
          <cell r="C1091">
            <v>8010036784</v>
          </cell>
        </row>
        <row r="1091">
          <cell r="H1091">
            <v>925005</v>
          </cell>
        </row>
        <row r="1092">
          <cell r="C1092">
            <v>8010036785</v>
          </cell>
        </row>
        <row r="1092">
          <cell r="H1092">
            <v>956913</v>
          </cell>
        </row>
        <row r="1093">
          <cell r="C1093">
            <v>8010036786</v>
          </cell>
        </row>
        <row r="1093">
          <cell r="H1093">
            <v>1881918</v>
          </cell>
        </row>
        <row r="1094">
          <cell r="C1094">
            <v>8010036787</v>
          </cell>
        </row>
        <row r="1094">
          <cell r="H1094">
            <v>1913826</v>
          </cell>
        </row>
        <row r="1095">
          <cell r="C1095">
            <v>8010036812</v>
          </cell>
        </row>
        <row r="1095">
          <cell r="H1095">
            <v>1129998</v>
          </cell>
        </row>
        <row r="1096">
          <cell r="C1096">
            <v>8010036813</v>
          </cell>
        </row>
        <row r="1096">
          <cell r="H1096">
            <v>1168969</v>
          </cell>
        </row>
        <row r="1097">
          <cell r="C1097">
            <v>8010036814</v>
          </cell>
        </row>
        <row r="1097">
          <cell r="H1097">
            <v>2298968</v>
          </cell>
        </row>
        <row r="1098">
          <cell r="C1098">
            <v>8010036815</v>
          </cell>
        </row>
        <row r="1098">
          <cell r="H1098">
            <v>2337939</v>
          </cell>
        </row>
        <row r="1099">
          <cell r="C1099">
            <v>8010036840</v>
          </cell>
        </row>
        <row r="1099">
          <cell r="H1099">
            <v>1447778</v>
          </cell>
        </row>
        <row r="1100">
          <cell r="C1100">
            <v>8010036841</v>
          </cell>
        </row>
        <row r="1100">
          <cell r="H1100">
            <v>1497690</v>
          </cell>
        </row>
        <row r="1101">
          <cell r="C1101">
            <v>8010036842</v>
          </cell>
        </row>
        <row r="1101">
          <cell r="H1101">
            <v>2945468</v>
          </cell>
        </row>
        <row r="1102">
          <cell r="C1102">
            <v>8010036843</v>
          </cell>
        </row>
        <row r="1102">
          <cell r="H1102">
            <v>2995380</v>
          </cell>
        </row>
        <row r="1103">
          <cell r="C1103">
            <v>8010036868</v>
          </cell>
        </row>
        <row r="1103">
          <cell r="H1103">
            <v>1774200</v>
          </cell>
        </row>
        <row r="1104">
          <cell r="C1104">
            <v>8010036869</v>
          </cell>
        </row>
        <row r="1104">
          <cell r="H1104">
            <v>1835385</v>
          </cell>
        </row>
        <row r="1105">
          <cell r="C1105">
            <v>8010036870</v>
          </cell>
        </row>
        <row r="1105">
          <cell r="H1105">
            <v>3609586</v>
          </cell>
        </row>
        <row r="1106">
          <cell r="C1106">
            <v>8010036871</v>
          </cell>
        </row>
        <row r="1106">
          <cell r="H1106">
            <v>3670770</v>
          </cell>
        </row>
        <row r="1107">
          <cell r="C1107">
            <v>8010036896</v>
          </cell>
        </row>
        <row r="1107">
          <cell r="H1107">
            <v>2229003</v>
          </cell>
        </row>
        <row r="1108">
          <cell r="C1108">
            <v>8010036897</v>
          </cell>
        </row>
        <row r="1108">
          <cell r="H1108">
            <v>2305865</v>
          </cell>
        </row>
        <row r="1109">
          <cell r="C1109">
            <v>8010036898</v>
          </cell>
        </row>
        <row r="1109">
          <cell r="H1109">
            <v>4534868</v>
          </cell>
        </row>
        <row r="1110">
          <cell r="C1110">
            <v>8010036899</v>
          </cell>
        </row>
        <row r="1110">
          <cell r="H1110">
            <v>4611730</v>
          </cell>
        </row>
        <row r="1111">
          <cell r="C1111">
            <v>8010036924</v>
          </cell>
        </row>
        <row r="1111">
          <cell r="H1111">
            <v>5742863</v>
          </cell>
        </row>
        <row r="1112">
          <cell r="C1112">
            <v>8010036925</v>
          </cell>
        </row>
        <row r="1112">
          <cell r="H1112">
            <v>5840195</v>
          </cell>
        </row>
        <row r="1113">
          <cell r="C1113">
            <v>8010036926</v>
          </cell>
        </row>
        <row r="1113">
          <cell r="H1113">
            <v>2822766</v>
          </cell>
        </row>
        <row r="1114">
          <cell r="C1114">
            <v>8010036927</v>
          </cell>
        </row>
        <row r="1114">
          <cell r="H1114">
            <v>2920097</v>
          </cell>
        </row>
        <row r="1115">
          <cell r="C1115">
            <v>8010036952</v>
          </cell>
        </row>
        <row r="1115">
          <cell r="H1115">
            <v>3592745</v>
          </cell>
        </row>
        <row r="1116">
          <cell r="C1116">
            <v>8010036953</v>
          </cell>
        </row>
        <row r="1116">
          <cell r="H1116">
            <v>3716639</v>
          </cell>
        </row>
        <row r="1117">
          <cell r="C1117">
            <v>8010036954</v>
          </cell>
        </row>
        <row r="1117">
          <cell r="H1117">
            <v>7309384</v>
          </cell>
        </row>
        <row r="1118">
          <cell r="C1118">
            <v>8010036955</v>
          </cell>
        </row>
        <row r="1118">
          <cell r="H1118">
            <v>7433277</v>
          </cell>
        </row>
        <row r="1119">
          <cell r="C1119">
            <v>8010036980</v>
          </cell>
        </row>
        <row r="1119">
          <cell r="H1119">
            <v>4540407</v>
          </cell>
        </row>
        <row r="1120">
          <cell r="C1120">
            <v>8010036981</v>
          </cell>
        </row>
        <row r="1120">
          <cell r="H1120">
            <v>4696984</v>
          </cell>
        </row>
        <row r="1121">
          <cell r="C1121">
            <v>8010036982</v>
          </cell>
        </row>
        <row r="1121">
          <cell r="H1121">
            <v>9237391</v>
          </cell>
        </row>
        <row r="1122">
          <cell r="C1122">
            <v>8010036983</v>
          </cell>
        </row>
        <row r="1122">
          <cell r="H1122">
            <v>9393968</v>
          </cell>
        </row>
        <row r="1123">
          <cell r="C1123">
            <v>8010037008</v>
          </cell>
        </row>
        <row r="1123">
          <cell r="H1123">
            <v>5752364</v>
          </cell>
        </row>
        <row r="1124">
          <cell r="C1124">
            <v>8010037009</v>
          </cell>
        </row>
        <row r="1124">
          <cell r="H1124">
            <v>5950710</v>
          </cell>
        </row>
        <row r="1125">
          <cell r="C1125">
            <v>8010037010</v>
          </cell>
        </row>
        <row r="1125">
          <cell r="H1125">
            <v>11703074</v>
          </cell>
        </row>
        <row r="1126">
          <cell r="C1126">
            <v>8010037011</v>
          </cell>
        </row>
        <row r="1126">
          <cell r="H1126">
            <v>11901420</v>
          </cell>
        </row>
        <row r="1127">
          <cell r="C1127">
            <v>8010037036</v>
          </cell>
        </row>
        <row r="1127">
          <cell r="H1127">
            <v>7109680</v>
          </cell>
        </row>
        <row r="1128">
          <cell r="C1128">
            <v>8010037037</v>
          </cell>
        </row>
        <row r="1128">
          <cell r="H1128">
            <v>7354836</v>
          </cell>
        </row>
        <row r="1129">
          <cell r="C1129">
            <v>8010037038</v>
          </cell>
        </row>
        <row r="1129">
          <cell r="H1129">
            <v>14464516</v>
          </cell>
        </row>
        <row r="1130">
          <cell r="C1130">
            <v>8010037039</v>
          </cell>
        </row>
        <row r="1130">
          <cell r="H1130">
            <v>14709672</v>
          </cell>
        </row>
        <row r="1131">
          <cell r="C1131">
            <v>8010037060</v>
          </cell>
        </row>
        <row r="1131">
          <cell r="H1131">
            <v>8904294</v>
          </cell>
        </row>
        <row r="1132">
          <cell r="C1132">
            <v>8010037061</v>
          </cell>
        </row>
        <row r="1132">
          <cell r="H1132">
            <v>9211327</v>
          </cell>
        </row>
        <row r="1133">
          <cell r="C1133">
            <v>8010037062</v>
          </cell>
        </row>
        <row r="1133">
          <cell r="H1133">
            <v>18115621</v>
          </cell>
        </row>
        <row r="1134">
          <cell r="C1134">
            <v>8010037063</v>
          </cell>
        </row>
        <row r="1134">
          <cell r="H1134">
            <v>18422654</v>
          </cell>
        </row>
        <row r="1135">
          <cell r="C1135">
            <v>8010037084</v>
          </cell>
        </row>
        <row r="1135">
          <cell r="H1135">
            <v>11277548</v>
          </cell>
        </row>
        <row r="1136">
          <cell r="C1136">
            <v>8010037085</v>
          </cell>
        </row>
        <row r="1136">
          <cell r="H1136">
            <v>11666429</v>
          </cell>
        </row>
        <row r="1137">
          <cell r="C1137">
            <v>8010037086</v>
          </cell>
        </row>
        <row r="1137">
          <cell r="H1137">
            <v>22943977</v>
          </cell>
        </row>
        <row r="1138">
          <cell r="C1138">
            <v>8010037087</v>
          </cell>
        </row>
        <row r="1138">
          <cell r="H1138">
            <v>23332858</v>
          </cell>
        </row>
        <row r="1139">
          <cell r="C1139">
            <v>8010037132</v>
          </cell>
        </row>
        <row r="1139">
          <cell r="H1139">
            <v>18173399</v>
          </cell>
        </row>
        <row r="1140">
          <cell r="C1140">
            <v>8010037133</v>
          </cell>
        </row>
        <row r="1140">
          <cell r="H1140">
            <v>18800068</v>
          </cell>
        </row>
        <row r="1141">
          <cell r="C1141">
            <v>8010037134</v>
          </cell>
        </row>
        <row r="1141">
          <cell r="H1141">
            <v>36973468</v>
          </cell>
        </row>
        <row r="1142">
          <cell r="C1142">
            <v>8010037135</v>
          </cell>
        </row>
        <row r="1142">
          <cell r="H1142">
            <v>37600136</v>
          </cell>
        </row>
        <row r="1143">
          <cell r="C1143">
            <v>8010037171</v>
          </cell>
        </row>
        <row r="1143">
          <cell r="H1143">
            <v>14332120</v>
          </cell>
        </row>
        <row r="1144">
          <cell r="C1144">
            <v>8010037172</v>
          </cell>
        </row>
        <row r="1144">
          <cell r="H1144">
            <v>14826336</v>
          </cell>
        </row>
        <row r="1145">
          <cell r="C1145">
            <v>8010037173</v>
          </cell>
        </row>
        <row r="1145">
          <cell r="H1145">
            <v>29158456</v>
          </cell>
        </row>
        <row r="1146">
          <cell r="C1146">
            <v>8010037174</v>
          </cell>
        </row>
        <row r="1146">
          <cell r="H1146">
            <v>29652672</v>
          </cell>
        </row>
        <row r="1147">
          <cell r="C1147">
            <v>8010037105</v>
          </cell>
        </row>
        <row r="1147">
          <cell r="H1147">
            <v>28411882</v>
          </cell>
        </row>
        <row r="1148">
          <cell r="C1148">
            <v>8010037106</v>
          </cell>
        </row>
        <row r="1148">
          <cell r="H1148">
            <v>29391590</v>
          </cell>
        </row>
        <row r="1149">
          <cell r="C1149">
            <v>8010037107</v>
          </cell>
        </row>
        <row r="1149">
          <cell r="H1149">
            <v>57803472</v>
          </cell>
        </row>
        <row r="1150">
          <cell r="C1150">
            <v>8010037108</v>
          </cell>
        </row>
        <row r="1150">
          <cell r="H1150">
            <v>58783181</v>
          </cell>
        </row>
        <row r="1151">
          <cell r="C1151">
            <v>8010037156</v>
          </cell>
        </row>
        <row r="1151">
          <cell r="H1151">
            <v>22988848</v>
          </cell>
        </row>
        <row r="1152">
          <cell r="C1152">
            <v>8010037157</v>
          </cell>
        </row>
        <row r="1152">
          <cell r="H1152">
            <v>23781567</v>
          </cell>
        </row>
        <row r="1153">
          <cell r="C1153">
            <v>8010037158</v>
          </cell>
        </row>
        <row r="1153">
          <cell r="H1153">
            <v>46770415</v>
          </cell>
        </row>
        <row r="1154">
          <cell r="C1154">
            <v>8010037159</v>
          </cell>
        </row>
        <row r="1154">
          <cell r="H1154">
            <v>47563134</v>
          </cell>
        </row>
        <row r="1155">
          <cell r="C1155">
            <v>8010036428</v>
          </cell>
        </row>
        <row r="1155">
          <cell r="H1155">
            <v>304685</v>
          </cell>
        </row>
        <row r="1156">
          <cell r="C1156">
            <v>8010036429</v>
          </cell>
        </row>
        <row r="1156">
          <cell r="H1156">
            <v>152342</v>
          </cell>
        </row>
        <row r="1157">
          <cell r="C1157">
            <v>8010036436</v>
          </cell>
        </row>
        <row r="1157">
          <cell r="H1157">
            <v>470901</v>
          </cell>
        </row>
        <row r="1158">
          <cell r="C1158">
            <v>8010036437</v>
          </cell>
        </row>
        <row r="1158">
          <cell r="H1158">
            <v>235450</v>
          </cell>
        </row>
        <row r="1159">
          <cell r="C1159">
            <v>8010036446</v>
          </cell>
        </row>
        <row r="1159">
          <cell r="H1159">
            <v>772793</v>
          </cell>
        </row>
        <row r="1160">
          <cell r="C1160">
            <v>8010036447</v>
          </cell>
        </row>
        <row r="1160">
          <cell r="H1160">
            <v>386396</v>
          </cell>
        </row>
        <row r="1161">
          <cell r="C1161">
            <v>8010036456</v>
          </cell>
        </row>
        <row r="1161">
          <cell r="H1161">
            <v>1199279</v>
          </cell>
        </row>
        <row r="1162">
          <cell r="C1162">
            <v>8010036457</v>
          </cell>
        </row>
        <row r="1162">
          <cell r="H1162">
            <v>599640</v>
          </cell>
        </row>
        <row r="1163">
          <cell r="C1163">
            <v>8010036466</v>
          </cell>
        </row>
        <row r="1163">
          <cell r="H1163">
            <v>1850270</v>
          </cell>
        </row>
        <row r="1164">
          <cell r="C1164">
            <v>8010036467</v>
          </cell>
        </row>
        <row r="1164">
          <cell r="H1164">
            <v>925135</v>
          </cell>
        </row>
        <row r="1165">
          <cell r="C1165">
            <v>8010036476</v>
          </cell>
        </row>
        <row r="1165">
          <cell r="H1165">
            <v>2924955</v>
          </cell>
        </row>
        <row r="1166">
          <cell r="C1166">
            <v>8010036477</v>
          </cell>
        </row>
        <row r="1166">
          <cell r="H1166">
            <v>1462477</v>
          </cell>
        </row>
        <row r="1167">
          <cell r="C1167">
            <v>8010036486</v>
          </cell>
        </row>
        <row r="1167">
          <cell r="H1167">
            <v>2042748</v>
          </cell>
        </row>
        <row r="1168">
          <cell r="C1168">
            <v>8010036487</v>
          </cell>
        </row>
        <row r="1168">
          <cell r="H1168">
            <v>4085495</v>
          </cell>
        </row>
        <row r="1169">
          <cell r="C1169">
            <v>8010036496</v>
          </cell>
        </row>
        <row r="1169">
          <cell r="H1169">
            <v>5919099</v>
          </cell>
        </row>
        <row r="1170">
          <cell r="C1170">
            <v>8010036497</v>
          </cell>
        </row>
        <row r="1170">
          <cell r="H1170">
            <v>2959550</v>
          </cell>
        </row>
        <row r="1171">
          <cell r="C1171">
            <v>8010036506</v>
          </cell>
        </row>
        <row r="1171">
          <cell r="H1171">
            <v>8758108</v>
          </cell>
        </row>
        <row r="1172">
          <cell r="C1172">
            <v>8010036507</v>
          </cell>
        </row>
        <row r="1172">
          <cell r="H1172">
            <v>4379054</v>
          </cell>
        </row>
        <row r="1173">
          <cell r="C1173">
            <v>8010036512</v>
          </cell>
        </row>
        <row r="1173">
          <cell r="H1173">
            <v>17671</v>
          </cell>
        </row>
        <row r="1174">
          <cell r="C1174">
            <v>8010036513</v>
          </cell>
        </row>
        <row r="1174">
          <cell r="H1174">
            <v>18281</v>
          </cell>
        </row>
        <row r="1175">
          <cell r="C1175">
            <v>8010036514</v>
          </cell>
        </row>
        <row r="1175">
          <cell r="H1175">
            <v>35952</v>
          </cell>
        </row>
        <row r="1176">
          <cell r="C1176">
            <v>8010036515</v>
          </cell>
        </row>
        <row r="1176">
          <cell r="H1176">
            <v>36561</v>
          </cell>
        </row>
        <row r="1177">
          <cell r="C1177">
            <v>8010036528</v>
          </cell>
        </row>
        <row r="1177">
          <cell r="H1177">
            <v>27310</v>
          </cell>
        </row>
        <row r="1178">
          <cell r="C1178">
            <v>8010036529</v>
          </cell>
        </row>
        <row r="1178">
          <cell r="H1178">
            <v>28252</v>
          </cell>
        </row>
        <row r="1179">
          <cell r="C1179">
            <v>8010036530</v>
          </cell>
        </row>
        <row r="1179">
          <cell r="H1179">
            <v>55562</v>
          </cell>
        </row>
        <row r="1180">
          <cell r="C1180">
            <v>8010036531</v>
          </cell>
        </row>
        <row r="1180">
          <cell r="H1180">
            <v>56504</v>
          </cell>
        </row>
        <row r="1181">
          <cell r="C1181">
            <v>8010036548</v>
          </cell>
        </row>
        <row r="1181">
          <cell r="H1181">
            <v>44815</v>
          </cell>
        </row>
        <row r="1182">
          <cell r="C1182">
            <v>8010036549</v>
          </cell>
        </row>
        <row r="1182">
          <cell r="H1182">
            <v>46367</v>
          </cell>
        </row>
        <row r="1183">
          <cell r="C1183">
            <v>8010036550</v>
          </cell>
        </row>
        <row r="1183">
          <cell r="H1183">
            <v>91182</v>
          </cell>
        </row>
        <row r="1184">
          <cell r="C1184">
            <v>8010036551</v>
          </cell>
        </row>
        <row r="1184">
          <cell r="H1184">
            <v>92733</v>
          </cell>
        </row>
        <row r="1185">
          <cell r="C1185">
            <v>8010036568</v>
          </cell>
        </row>
        <row r="1185">
          <cell r="H1185">
            <v>69550</v>
          </cell>
        </row>
        <row r="1186">
          <cell r="C1186">
            <v>8010036569</v>
          </cell>
        </row>
        <row r="1186">
          <cell r="H1186">
            <v>71959</v>
          </cell>
        </row>
        <row r="1187">
          <cell r="C1187">
            <v>8010036570</v>
          </cell>
        </row>
        <row r="1187">
          <cell r="H1187">
            <v>141509</v>
          </cell>
        </row>
        <row r="1188">
          <cell r="C1188">
            <v>8010036571</v>
          </cell>
        </row>
        <row r="1188">
          <cell r="H1188">
            <v>143919</v>
          </cell>
        </row>
        <row r="1189">
          <cell r="C1189">
            <v>8010036588</v>
          </cell>
        </row>
        <row r="1189">
          <cell r="H1189">
            <v>107303</v>
          </cell>
        </row>
        <row r="1190">
          <cell r="C1190">
            <v>8010036589</v>
          </cell>
        </row>
        <row r="1190">
          <cell r="H1190">
            <v>111014</v>
          </cell>
        </row>
        <row r="1191">
          <cell r="C1191">
            <v>8010036590</v>
          </cell>
        </row>
        <row r="1191">
          <cell r="H1191">
            <v>218316</v>
          </cell>
        </row>
        <row r="1192">
          <cell r="C1192">
            <v>8010036591</v>
          </cell>
        </row>
        <row r="1192">
          <cell r="H1192">
            <v>222028</v>
          </cell>
        </row>
        <row r="1193">
          <cell r="C1193">
            <v>8010036608</v>
          </cell>
        </row>
        <row r="1193">
          <cell r="H1193">
            <v>169650</v>
          </cell>
        </row>
        <row r="1194">
          <cell r="C1194">
            <v>8010036609</v>
          </cell>
        </row>
        <row r="1194">
          <cell r="H1194">
            <v>175495</v>
          </cell>
        </row>
        <row r="1195">
          <cell r="C1195">
            <v>8010036610</v>
          </cell>
        </row>
        <row r="1195">
          <cell r="H1195">
            <v>345146</v>
          </cell>
        </row>
        <row r="1196">
          <cell r="C1196">
            <v>8010036611</v>
          </cell>
        </row>
        <row r="1196">
          <cell r="H1196">
            <v>350990</v>
          </cell>
        </row>
        <row r="1197">
          <cell r="C1197">
            <v>8010036628</v>
          </cell>
        </row>
        <row r="1197">
          <cell r="H1197">
            <v>236957</v>
          </cell>
        </row>
        <row r="1198">
          <cell r="C1198">
            <v>8010036629</v>
          </cell>
        </row>
        <row r="1198">
          <cell r="H1198">
            <v>245128</v>
          </cell>
        </row>
        <row r="1199">
          <cell r="C1199">
            <v>8010036630</v>
          </cell>
        </row>
        <row r="1199">
          <cell r="H1199">
            <v>482085</v>
          </cell>
        </row>
        <row r="1200">
          <cell r="C1200">
            <v>8010036631</v>
          </cell>
        </row>
        <row r="1200">
          <cell r="H1200">
            <v>490256</v>
          </cell>
        </row>
        <row r="1201">
          <cell r="C1201">
            <v>8010036652</v>
          </cell>
        </row>
        <row r="1201">
          <cell r="H1201">
            <v>343317</v>
          </cell>
        </row>
        <row r="1202">
          <cell r="C1202">
            <v>8010036653</v>
          </cell>
        </row>
        <row r="1202">
          <cell r="H1202">
            <v>355144</v>
          </cell>
        </row>
        <row r="1203">
          <cell r="C1203">
            <v>8010036654</v>
          </cell>
        </row>
        <row r="1203">
          <cell r="H1203">
            <v>698462</v>
          </cell>
        </row>
        <row r="1204">
          <cell r="C1204">
            <v>8010036655</v>
          </cell>
        </row>
        <row r="1204">
          <cell r="H1204">
            <v>710289</v>
          </cell>
        </row>
        <row r="1205">
          <cell r="C1205">
            <v>8010036680</v>
          </cell>
        </row>
        <row r="1205">
          <cell r="H1205">
            <v>507983</v>
          </cell>
        </row>
        <row r="1206">
          <cell r="C1206">
            <v>8010036681</v>
          </cell>
        </row>
        <row r="1206">
          <cell r="H1206">
            <v>525487</v>
          </cell>
        </row>
        <row r="1207">
          <cell r="C1207">
            <v>8010036682</v>
          </cell>
        </row>
        <row r="1207">
          <cell r="H1207">
            <v>1033470</v>
          </cell>
        </row>
        <row r="1208">
          <cell r="C1208">
            <v>8010036683</v>
          </cell>
        </row>
        <row r="1208">
          <cell r="H1208">
            <v>1050976</v>
          </cell>
        </row>
        <row r="1209">
          <cell r="C1209">
            <v>8010036708</v>
          </cell>
        </row>
        <row r="1209">
          <cell r="H1209">
            <v>660599</v>
          </cell>
        </row>
        <row r="1210">
          <cell r="C1210">
            <v>8010036709</v>
          </cell>
        </row>
        <row r="1210">
          <cell r="H1210">
            <v>683367</v>
          </cell>
        </row>
        <row r="1211">
          <cell r="C1211">
            <v>8010036710</v>
          </cell>
        </row>
        <row r="1211">
          <cell r="H1211">
            <v>1343966</v>
          </cell>
        </row>
        <row r="1212">
          <cell r="C1212">
            <v>8010036711</v>
          </cell>
        </row>
        <row r="1212">
          <cell r="H1212">
            <v>1366733</v>
          </cell>
        </row>
        <row r="1213">
          <cell r="C1213">
            <v>8010036736</v>
          </cell>
        </row>
        <row r="1213">
          <cell r="H1213">
            <v>823491</v>
          </cell>
        </row>
        <row r="1214">
          <cell r="C1214">
            <v>8010036737</v>
          </cell>
        </row>
        <row r="1214">
          <cell r="H1214">
            <v>851882</v>
          </cell>
        </row>
        <row r="1215">
          <cell r="C1215">
            <v>8010036738</v>
          </cell>
        </row>
        <row r="1215">
          <cell r="H1215">
            <v>1675374</v>
          </cell>
        </row>
        <row r="1216">
          <cell r="C1216">
            <v>8010036739</v>
          </cell>
        </row>
        <row r="1216">
          <cell r="H1216">
            <v>1703764</v>
          </cell>
        </row>
        <row r="1217">
          <cell r="C1217">
            <v>8010036764</v>
          </cell>
        </row>
        <row r="1217">
          <cell r="H1217">
            <v>1073771</v>
          </cell>
        </row>
        <row r="1218">
          <cell r="C1218">
            <v>8010036765</v>
          </cell>
        </row>
        <row r="1218">
          <cell r="H1218">
            <v>1110804</v>
          </cell>
        </row>
        <row r="1219">
          <cell r="C1219">
            <v>8010036766</v>
          </cell>
        </row>
        <row r="1219">
          <cell r="H1219">
            <v>2184575</v>
          </cell>
        </row>
        <row r="1220">
          <cell r="C1220">
            <v>8010036767</v>
          </cell>
        </row>
        <row r="1220">
          <cell r="H1220">
            <v>2221607</v>
          </cell>
        </row>
        <row r="1221">
          <cell r="C1221">
            <v>8010036792</v>
          </cell>
        </row>
        <row r="1221">
          <cell r="H1221">
            <v>1365986</v>
          </cell>
        </row>
        <row r="1222">
          <cell r="C1222">
            <v>8010036793</v>
          </cell>
        </row>
        <row r="1222">
          <cell r="H1222">
            <v>1413100</v>
          </cell>
        </row>
        <row r="1223">
          <cell r="C1223">
            <v>8010036794</v>
          </cell>
        </row>
        <row r="1223">
          <cell r="H1223">
            <v>2779086</v>
          </cell>
        </row>
        <row r="1224">
          <cell r="C1224">
            <v>8010036795</v>
          </cell>
        </row>
        <row r="1224">
          <cell r="H1224">
            <v>2826201</v>
          </cell>
        </row>
        <row r="1225">
          <cell r="C1225">
            <v>8010036820</v>
          </cell>
        </row>
        <row r="1225">
          <cell r="H1225">
            <v>1684569</v>
          </cell>
        </row>
        <row r="1226">
          <cell r="C1226">
            <v>8010036821</v>
          </cell>
        </row>
        <row r="1226">
          <cell r="H1226">
            <v>1742652</v>
          </cell>
        </row>
        <row r="1227">
          <cell r="C1227">
            <v>8010036822</v>
          </cell>
        </row>
        <row r="1227">
          <cell r="H1227">
            <v>3427222</v>
          </cell>
        </row>
        <row r="1228">
          <cell r="C1228">
            <v>8010036823</v>
          </cell>
        </row>
        <row r="1228">
          <cell r="H1228">
            <v>3485304</v>
          </cell>
        </row>
        <row r="1229">
          <cell r="C1229">
            <v>8010036848</v>
          </cell>
        </row>
        <row r="1229">
          <cell r="H1229">
            <v>2132281</v>
          </cell>
        </row>
        <row r="1230">
          <cell r="C1230">
            <v>8010036849</v>
          </cell>
        </row>
        <row r="1230">
          <cell r="H1230">
            <v>2205819</v>
          </cell>
        </row>
        <row r="1231">
          <cell r="C1231">
            <v>8010036850</v>
          </cell>
        </row>
        <row r="1231">
          <cell r="H1231">
            <v>4338100</v>
          </cell>
        </row>
        <row r="1232">
          <cell r="C1232">
            <v>8010036851</v>
          </cell>
        </row>
        <row r="1232">
          <cell r="H1232">
            <v>4411639</v>
          </cell>
        </row>
        <row r="1233">
          <cell r="C1233">
            <v>8010036876</v>
          </cell>
        </row>
        <row r="1233">
          <cell r="H1233">
            <v>2622259</v>
          </cell>
        </row>
        <row r="1234">
          <cell r="C1234">
            <v>8010036877</v>
          </cell>
        </row>
        <row r="1234">
          <cell r="H1234">
            <v>2712694</v>
          </cell>
        </row>
        <row r="1235">
          <cell r="C1235">
            <v>8010036878</v>
          </cell>
        </row>
        <row r="1235">
          <cell r="H1235">
            <v>5334954</v>
          </cell>
        </row>
        <row r="1236">
          <cell r="C1236">
            <v>8010036879</v>
          </cell>
        </row>
        <row r="1236">
          <cell r="H1236">
            <v>5425388</v>
          </cell>
        </row>
        <row r="1237">
          <cell r="C1237">
            <v>8010036904</v>
          </cell>
        </row>
        <row r="1237">
          <cell r="H1237">
            <v>3287512</v>
          </cell>
        </row>
        <row r="1238">
          <cell r="C1238">
            <v>8010036905</v>
          </cell>
        </row>
        <row r="1238">
          <cell r="H1238">
            <v>3400880</v>
          </cell>
        </row>
        <row r="1239">
          <cell r="C1239">
            <v>8010036906</v>
          </cell>
        </row>
        <row r="1239">
          <cell r="H1239">
            <v>6688393</v>
          </cell>
        </row>
        <row r="1240">
          <cell r="C1240">
            <v>8010036907</v>
          </cell>
        </row>
        <row r="1240">
          <cell r="H1240">
            <v>6801760</v>
          </cell>
        </row>
        <row r="1241">
          <cell r="C1241">
            <v>8010036932</v>
          </cell>
        </row>
        <row r="1241">
          <cell r="H1241">
            <v>4161441</v>
          </cell>
        </row>
        <row r="1242">
          <cell r="C1242">
            <v>8010036933</v>
          </cell>
        </row>
        <row r="1242">
          <cell r="H1242">
            <v>4304946</v>
          </cell>
        </row>
        <row r="1243">
          <cell r="C1243">
            <v>8010036934</v>
          </cell>
        </row>
        <row r="1243">
          <cell r="H1243">
            <v>8466387</v>
          </cell>
        </row>
        <row r="1244">
          <cell r="C1244">
            <v>8010036935</v>
          </cell>
        </row>
        <row r="1244">
          <cell r="H1244">
            <v>8609891</v>
          </cell>
        </row>
        <row r="1245">
          <cell r="C1245">
            <v>8010036960</v>
          </cell>
        </row>
        <row r="1245">
          <cell r="H1245">
            <v>5282937</v>
          </cell>
        </row>
        <row r="1246">
          <cell r="C1246">
            <v>8010036961</v>
          </cell>
        </row>
        <row r="1246">
          <cell r="H1246">
            <v>5465107</v>
          </cell>
        </row>
        <row r="1247">
          <cell r="C1247">
            <v>8010036962</v>
          </cell>
        </row>
        <row r="1247">
          <cell r="H1247">
            <v>10748044</v>
          </cell>
        </row>
        <row r="1248">
          <cell r="C1248">
            <v>8010036963</v>
          </cell>
        </row>
        <row r="1248">
          <cell r="H1248">
            <v>10930214</v>
          </cell>
        </row>
        <row r="1249">
          <cell r="C1249">
            <v>8010036988</v>
          </cell>
        </row>
        <row r="1249">
          <cell r="H1249">
            <v>6706757</v>
          </cell>
        </row>
        <row r="1250">
          <cell r="C1250">
            <v>8010036989</v>
          </cell>
        </row>
        <row r="1250">
          <cell r="H1250">
            <v>6938035</v>
          </cell>
        </row>
        <row r="1251">
          <cell r="C1251">
            <v>8010036990</v>
          </cell>
        </row>
        <row r="1251">
          <cell r="H1251">
            <v>13644792</v>
          </cell>
        </row>
        <row r="1252">
          <cell r="C1252">
            <v>8010036991</v>
          </cell>
        </row>
        <row r="1252">
          <cell r="H1252">
            <v>13876071</v>
          </cell>
        </row>
        <row r="1253">
          <cell r="C1253">
            <v>8010037016</v>
          </cell>
        </row>
        <row r="1253">
          <cell r="H1253">
            <v>8492701</v>
          </cell>
        </row>
        <row r="1254">
          <cell r="C1254">
            <v>8010037017</v>
          </cell>
        </row>
        <row r="1254">
          <cell r="H1254">
            <v>8785552</v>
          </cell>
        </row>
        <row r="1255">
          <cell r="C1255">
            <v>8010037018</v>
          </cell>
        </row>
        <row r="1255">
          <cell r="H1255">
            <v>17278253</v>
          </cell>
        </row>
        <row r="1256">
          <cell r="C1256">
            <v>8010037019</v>
          </cell>
        </row>
        <row r="1256">
          <cell r="H1256">
            <v>17571105</v>
          </cell>
        </row>
        <row r="1257">
          <cell r="C1257">
            <v>8010037044</v>
          </cell>
        </row>
        <row r="1257">
          <cell r="H1257">
            <v>10479290</v>
          </cell>
        </row>
        <row r="1258">
          <cell r="C1258">
            <v>8010037045</v>
          </cell>
        </row>
        <row r="1258">
          <cell r="H1258">
            <v>10840639</v>
          </cell>
        </row>
        <row r="1259">
          <cell r="C1259">
            <v>8010037046</v>
          </cell>
        </row>
        <row r="1259">
          <cell r="H1259">
            <v>21319928</v>
          </cell>
        </row>
        <row r="1260">
          <cell r="C1260">
            <v>8010037047</v>
          </cell>
        </row>
        <row r="1260">
          <cell r="H1260">
            <v>21681277</v>
          </cell>
        </row>
        <row r="1261">
          <cell r="C1261">
            <v>8010037068</v>
          </cell>
        </row>
        <row r="1261">
          <cell r="H1261">
            <v>13128223</v>
          </cell>
        </row>
        <row r="1262">
          <cell r="C1262">
            <v>8010037069</v>
          </cell>
        </row>
        <row r="1262">
          <cell r="H1262">
            <v>13580920</v>
          </cell>
        </row>
        <row r="1263">
          <cell r="C1263">
            <v>8010037070</v>
          </cell>
        </row>
        <row r="1263">
          <cell r="H1263">
            <v>26709142</v>
          </cell>
        </row>
        <row r="1264">
          <cell r="C1264">
            <v>8010037071</v>
          </cell>
        </row>
        <row r="1264">
          <cell r="H1264">
            <v>27161840</v>
          </cell>
        </row>
        <row r="1265">
          <cell r="C1265">
            <v>8010037092</v>
          </cell>
        </row>
        <row r="1265">
          <cell r="H1265">
            <v>16633580</v>
          </cell>
        </row>
        <row r="1266">
          <cell r="C1266">
            <v>8010037093</v>
          </cell>
        </row>
        <row r="1266">
          <cell r="H1266">
            <v>17207152</v>
          </cell>
        </row>
        <row r="1267">
          <cell r="C1267">
            <v>8010037094</v>
          </cell>
        </row>
        <row r="1267">
          <cell r="H1267">
            <v>33840732</v>
          </cell>
        </row>
        <row r="1268">
          <cell r="C1268">
            <v>8010037095</v>
          </cell>
        </row>
        <row r="1268">
          <cell r="H1268">
            <v>34414304</v>
          </cell>
        </row>
        <row r="1269">
          <cell r="C1269">
            <v>8010037117</v>
          </cell>
        </row>
        <row r="1269">
          <cell r="H1269">
            <v>21893998</v>
          </cell>
        </row>
        <row r="1270">
          <cell r="C1270">
            <v>8010037118</v>
          </cell>
        </row>
        <row r="1270">
          <cell r="H1270">
            <v>43058208</v>
          </cell>
        </row>
        <row r="1271">
          <cell r="C1271">
            <v>8010037119</v>
          </cell>
        </row>
        <row r="1271">
          <cell r="H1271">
            <v>43787997</v>
          </cell>
        </row>
        <row r="1272">
          <cell r="C1272">
            <v>8010037140</v>
          </cell>
        </row>
        <row r="1272">
          <cell r="H1272">
            <v>26584335</v>
          </cell>
        </row>
        <row r="1273">
          <cell r="C1273">
            <v>8010037141</v>
          </cell>
        </row>
        <row r="1273">
          <cell r="H1273">
            <v>27501031</v>
          </cell>
        </row>
        <row r="1274">
          <cell r="C1274">
            <v>8010037142</v>
          </cell>
        </row>
        <row r="1274">
          <cell r="H1274">
            <v>54085366</v>
          </cell>
        </row>
        <row r="1275">
          <cell r="C1275">
            <v>8010037143</v>
          </cell>
        </row>
        <row r="1275">
          <cell r="H1275">
            <v>55002061</v>
          </cell>
        </row>
        <row r="1276">
          <cell r="C1276">
            <v>8010037179</v>
          </cell>
        </row>
        <row r="1276">
          <cell r="H1276">
            <v>21164210</v>
          </cell>
        </row>
        <row r="1277">
          <cell r="C1277">
            <v>8010046179</v>
          </cell>
        </row>
        <row r="1277">
          <cell r="H1277">
            <v>22760</v>
          </cell>
        </row>
        <row r="1278">
          <cell r="C1278">
            <v>8010045560</v>
          </cell>
        </row>
        <row r="1278">
          <cell r="H1278">
            <v>352592</v>
          </cell>
        </row>
        <row r="1279">
          <cell r="C1279">
            <v>8010045561</v>
          </cell>
        </row>
        <row r="1279">
          <cell r="H1279">
            <v>628723</v>
          </cell>
        </row>
        <row r="1280">
          <cell r="C1280">
            <v>8010045492</v>
          </cell>
        </row>
        <row r="1280">
          <cell r="H1280">
            <v>23441</v>
          </cell>
        </row>
        <row r="1281">
          <cell r="C1281">
            <v>8010045493</v>
          </cell>
        </row>
        <row r="1281">
          <cell r="H1281">
            <v>25232</v>
          </cell>
        </row>
        <row r="1282">
          <cell r="C1282">
            <v>8010044891</v>
          </cell>
        </row>
        <row r="1282">
          <cell r="H1282">
            <v>36152</v>
          </cell>
        </row>
        <row r="1283">
          <cell r="C1283">
            <v>8010044821</v>
          </cell>
        </row>
        <row r="1283">
          <cell r="H1283">
            <v>48735</v>
          </cell>
        </row>
        <row r="1284">
          <cell r="C1284">
            <v>8010044825</v>
          </cell>
        </row>
        <row r="1284">
          <cell r="H1284">
            <v>195434</v>
          </cell>
        </row>
        <row r="1285">
          <cell r="C1285">
            <v>8010044468</v>
          </cell>
        </row>
        <row r="1285">
          <cell r="H1285">
            <v>93607</v>
          </cell>
        </row>
        <row r="1286">
          <cell r="C1286">
            <v>8010046195</v>
          </cell>
        </row>
        <row r="1286">
          <cell r="H1286">
            <v>290085</v>
          </cell>
        </row>
        <row r="1287">
          <cell r="C1287">
            <v>8010045597</v>
          </cell>
        </row>
        <row r="1287">
          <cell r="H1287">
            <v>162871</v>
          </cell>
        </row>
        <row r="1288">
          <cell r="C1288">
            <v>8010044959</v>
          </cell>
        </row>
        <row r="1288">
          <cell r="H1288">
            <v>366839</v>
          </cell>
        </row>
        <row r="1289">
          <cell r="C1289">
            <v>8010040355</v>
          </cell>
        </row>
        <row r="1289">
          <cell r="H1289">
            <v>68495</v>
          </cell>
        </row>
        <row r="1290">
          <cell r="C1290">
            <v>8010040356</v>
          </cell>
        </row>
        <row r="1290">
          <cell r="H1290">
            <v>85368</v>
          </cell>
        </row>
        <row r="1291">
          <cell r="C1291">
            <v>8010040358</v>
          </cell>
        </row>
        <row r="1291">
          <cell r="H1291">
            <v>225498</v>
          </cell>
        </row>
        <row r="1292">
          <cell r="C1292">
            <v>8010040360</v>
          </cell>
        </row>
        <row r="1292">
          <cell r="H1292">
            <v>500888</v>
          </cell>
        </row>
        <row r="1293">
          <cell r="C1293">
            <v>8010040361</v>
          </cell>
        </row>
        <row r="1293">
          <cell r="H1293">
            <v>854155</v>
          </cell>
        </row>
        <row r="1294">
          <cell r="C1294">
            <v>8010040362</v>
          </cell>
        </row>
        <row r="1294">
          <cell r="H1294">
            <v>11888</v>
          </cell>
        </row>
        <row r="1295">
          <cell r="C1295">
            <v>8010040363</v>
          </cell>
        </row>
        <row r="1295">
          <cell r="H1295">
            <v>17575</v>
          </cell>
        </row>
        <row r="1296">
          <cell r="C1296">
            <v>8010040364</v>
          </cell>
        </row>
        <row r="1296">
          <cell r="H1296">
            <v>1607005</v>
          </cell>
        </row>
        <row r="1297">
          <cell r="C1297">
            <v>8010040365</v>
          </cell>
        </row>
        <row r="1297">
          <cell r="H1297">
            <v>24638</v>
          </cell>
        </row>
        <row r="1298">
          <cell r="C1298">
            <v>8010040366</v>
          </cell>
        </row>
        <row r="1298">
          <cell r="H1298">
            <v>26830</v>
          </cell>
        </row>
        <row r="1299">
          <cell r="C1299">
            <v>8010040367</v>
          </cell>
        </row>
        <row r="1299">
          <cell r="H1299">
            <v>34047</v>
          </cell>
        </row>
        <row r="1300">
          <cell r="C1300">
            <v>8010040368</v>
          </cell>
        </row>
        <row r="1300">
          <cell r="H1300">
            <v>44471</v>
          </cell>
        </row>
        <row r="1301">
          <cell r="C1301">
            <v>8010045960</v>
          </cell>
        </row>
        <row r="1301">
          <cell r="H1301">
            <v>35350</v>
          </cell>
        </row>
        <row r="1302">
          <cell r="C1302">
            <v>8010045836</v>
          </cell>
        </row>
        <row r="1302">
          <cell r="H1302">
            <v>340550</v>
          </cell>
        </row>
        <row r="1303">
          <cell r="C1303">
            <v>8010045837</v>
          </cell>
        </row>
        <row r="1303">
          <cell r="H1303">
            <v>564231</v>
          </cell>
        </row>
        <row r="1304">
          <cell r="C1304">
            <v>8010045967</v>
          </cell>
        </row>
        <row r="1304">
          <cell r="H1304">
            <v>24651</v>
          </cell>
        </row>
        <row r="1305">
          <cell r="C1305">
            <v>8010045236</v>
          </cell>
        </row>
        <row r="1305">
          <cell r="H1305">
            <v>68101</v>
          </cell>
        </row>
        <row r="1306">
          <cell r="C1306">
            <v>8010044954</v>
          </cell>
        </row>
        <row r="1306">
          <cell r="H1306">
            <v>163151</v>
          </cell>
        </row>
        <row r="1307">
          <cell r="C1307">
            <v>8010044643</v>
          </cell>
        </row>
        <row r="1307">
          <cell r="H1307">
            <v>445859</v>
          </cell>
        </row>
        <row r="1308">
          <cell r="C1308">
            <v>8010044644</v>
          </cell>
        </row>
        <row r="1308">
          <cell r="H1308">
            <v>1753310</v>
          </cell>
        </row>
        <row r="1309">
          <cell r="C1309">
            <v>8010040376</v>
          </cell>
        </row>
        <row r="1309">
          <cell r="H1309">
            <v>95686</v>
          </cell>
        </row>
        <row r="1310">
          <cell r="C1310">
            <v>8010040378</v>
          </cell>
        </row>
        <row r="1310">
          <cell r="H1310">
            <v>265279</v>
          </cell>
        </row>
        <row r="1311">
          <cell r="C1311">
            <v>8010040379</v>
          </cell>
        </row>
        <row r="1311">
          <cell r="H1311">
            <v>9068</v>
          </cell>
        </row>
        <row r="1312">
          <cell r="C1312">
            <v>8010040381</v>
          </cell>
        </row>
        <row r="1312">
          <cell r="H1312">
            <v>9302</v>
          </cell>
        </row>
        <row r="1313">
          <cell r="C1313">
            <v>8010040383</v>
          </cell>
        </row>
        <row r="1313">
          <cell r="H1313">
            <v>1025640</v>
          </cell>
        </row>
        <row r="1314">
          <cell r="C1314">
            <v>8010040384</v>
          </cell>
        </row>
        <row r="1314">
          <cell r="H1314">
            <v>12035</v>
          </cell>
        </row>
        <row r="1315">
          <cell r="C1315">
            <v>8010040385</v>
          </cell>
        </row>
        <row r="1315">
          <cell r="H1315">
            <v>17822</v>
          </cell>
        </row>
        <row r="1316">
          <cell r="C1316">
            <v>8010040386</v>
          </cell>
        </row>
        <row r="1316">
          <cell r="H1316">
            <v>2014132</v>
          </cell>
        </row>
        <row r="1317">
          <cell r="C1317">
            <v>8010040387</v>
          </cell>
        </row>
        <row r="1317">
          <cell r="H1317">
            <v>26041</v>
          </cell>
        </row>
        <row r="1318">
          <cell r="C1318">
            <v>8010040390</v>
          </cell>
        </row>
        <row r="1318">
          <cell r="H1318">
            <v>49677</v>
          </cell>
        </row>
        <row r="1319">
          <cell r="C1319">
            <v>8010045586</v>
          </cell>
        </row>
        <row r="1319">
          <cell r="H1319">
            <v>438702</v>
          </cell>
        </row>
        <row r="1320">
          <cell r="C1320">
            <v>8010045587</v>
          </cell>
        </row>
        <row r="1320">
          <cell r="H1320">
            <v>96995</v>
          </cell>
        </row>
        <row r="1321">
          <cell r="C1321">
            <v>8010045437</v>
          </cell>
        </row>
        <row r="1321">
          <cell r="H1321">
            <v>237621</v>
          </cell>
        </row>
        <row r="1322">
          <cell r="C1322">
            <v>8010044640</v>
          </cell>
        </row>
        <row r="1322">
          <cell r="H1322">
            <v>555103</v>
          </cell>
        </row>
        <row r="1323">
          <cell r="C1323">
            <v>8010040286</v>
          </cell>
        </row>
        <row r="1323">
          <cell r="H1323">
            <v>126064</v>
          </cell>
        </row>
        <row r="1324">
          <cell r="C1324">
            <v>8010040288</v>
          </cell>
        </row>
        <row r="1324">
          <cell r="H1324">
            <v>320904</v>
          </cell>
        </row>
        <row r="1325">
          <cell r="C1325">
            <v>8010040289</v>
          </cell>
        </row>
        <row r="1325">
          <cell r="H1325">
            <v>10411</v>
          </cell>
        </row>
        <row r="1326">
          <cell r="C1326">
            <v>8010040291</v>
          </cell>
        </row>
        <row r="1326">
          <cell r="H1326">
            <v>10899</v>
          </cell>
        </row>
        <row r="1327">
          <cell r="C1327">
            <v>8010040292</v>
          </cell>
        </row>
        <row r="1327">
          <cell r="H1327">
            <v>691344</v>
          </cell>
        </row>
        <row r="1328">
          <cell r="C1328">
            <v>8010040293</v>
          </cell>
        </row>
        <row r="1328">
          <cell r="H1328">
            <v>1270210</v>
          </cell>
        </row>
        <row r="1329">
          <cell r="C1329">
            <v>8010040294</v>
          </cell>
        </row>
        <row r="1329">
          <cell r="H1329">
            <v>13713</v>
          </cell>
        </row>
        <row r="1330">
          <cell r="C1330">
            <v>8010040295</v>
          </cell>
        </row>
        <row r="1330">
          <cell r="H1330">
            <v>20461</v>
          </cell>
        </row>
        <row r="1331">
          <cell r="C1331">
            <v>8010040296</v>
          </cell>
        </row>
        <row r="1331">
          <cell r="H1331">
            <v>2589162</v>
          </cell>
        </row>
        <row r="1332">
          <cell r="C1332">
            <v>8010040297</v>
          </cell>
        </row>
        <row r="1332">
          <cell r="H1332">
            <v>28955</v>
          </cell>
        </row>
        <row r="1333">
          <cell r="C1333">
            <v>8010040298</v>
          </cell>
        </row>
        <row r="1333">
          <cell r="H1333">
            <v>30986</v>
          </cell>
        </row>
        <row r="1334">
          <cell r="C1334">
            <v>8010040299</v>
          </cell>
        </row>
        <row r="1334">
          <cell r="H1334">
            <v>43135</v>
          </cell>
        </row>
        <row r="1335">
          <cell r="C1335">
            <v>8010040300</v>
          </cell>
        </row>
        <row r="1335">
          <cell r="H1335">
            <v>59253</v>
          </cell>
        </row>
        <row r="1336">
          <cell r="C1336">
            <v>8010040494</v>
          </cell>
        </row>
        <row r="1336">
          <cell r="H1336">
            <v>978529</v>
          </cell>
        </row>
        <row r="1337">
          <cell r="C1337">
            <v>8010040474</v>
          </cell>
        </row>
        <row r="1337">
          <cell r="H1337">
            <v>58097</v>
          </cell>
        </row>
        <row r="1338">
          <cell r="C1338">
            <v>8010040475</v>
          </cell>
        </row>
        <row r="1338">
          <cell r="H1338">
            <v>43877</v>
          </cell>
        </row>
        <row r="1339">
          <cell r="C1339">
            <v>8010040476</v>
          </cell>
        </row>
        <row r="1339">
          <cell r="H1339">
            <v>46704</v>
          </cell>
        </row>
        <row r="1340">
          <cell r="C1340">
            <v>8010040477</v>
          </cell>
        </row>
        <row r="1340">
          <cell r="H1340">
            <v>48368</v>
          </cell>
        </row>
        <row r="1341">
          <cell r="C1341">
            <v>8010040478</v>
          </cell>
        </row>
        <row r="1341">
          <cell r="H1341">
            <v>58385</v>
          </cell>
        </row>
        <row r="1342">
          <cell r="C1342">
            <v>8010040479</v>
          </cell>
        </row>
        <row r="1342">
          <cell r="H1342">
            <v>111690</v>
          </cell>
        </row>
        <row r="1343">
          <cell r="C1343">
            <v>8010040481</v>
          </cell>
        </row>
        <row r="1343">
          <cell r="H1343">
            <v>98212</v>
          </cell>
        </row>
        <row r="1344">
          <cell r="C1344">
            <v>8010040482</v>
          </cell>
        </row>
        <row r="1344">
          <cell r="H1344">
            <v>194386</v>
          </cell>
        </row>
        <row r="1345">
          <cell r="C1345">
            <v>8010040483</v>
          </cell>
        </row>
        <row r="1345">
          <cell r="H1345">
            <v>215054</v>
          </cell>
        </row>
        <row r="1346">
          <cell r="C1346">
            <v>8010040486</v>
          </cell>
        </row>
        <row r="1346">
          <cell r="H1346">
            <v>200252</v>
          </cell>
        </row>
        <row r="1347">
          <cell r="C1347">
            <v>8010040487</v>
          </cell>
        </row>
        <row r="1347">
          <cell r="H1347">
            <v>275757</v>
          </cell>
        </row>
        <row r="1348">
          <cell r="C1348">
            <v>8010040488</v>
          </cell>
        </row>
        <row r="1348">
          <cell r="H1348">
            <v>291608</v>
          </cell>
        </row>
        <row r="1349">
          <cell r="C1349">
            <v>8010040489</v>
          </cell>
        </row>
        <row r="1349">
          <cell r="H1349">
            <v>318123</v>
          </cell>
        </row>
        <row r="1350">
          <cell r="C1350">
            <v>8010040490</v>
          </cell>
        </row>
        <row r="1350">
          <cell r="H1350">
            <v>500159</v>
          </cell>
        </row>
        <row r="1351">
          <cell r="C1351">
            <v>8010040491</v>
          </cell>
        </row>
        <row r="1351">
          <cell r="H1351">
            <v>551815</v>
          </cell>
        </row>
        <row r="1352">
          <cell r="C1352">
            <v>8010040492</v>
          </cell>
        </row>
        <row r="1352">
          <cell r="H1352">
            <v>528621</v>
          </cell>
        </row>
        <row r="1353">
          <cell r="C1353">
            <v>8010040493</v>
          </cell>
        </row>
        <row r="1353">
          <cell r="H1353">
            <v>15296</v>
          </cell>
        </row>
        <row r="1354">
          <cell r="C1354">
            <v>8010040495</v>
          </cell>
        </row>
        <row r="1354">
          <cell r="H1354">
            <v>1015890</v>
          </cell>
        </row>
        <row r="1355">
          <cell r="C1355">
            <v>8010040496</v>
          </cell>
        </row>
        <row r="1355">
          <cell r="H1355">
            <v>13197</v>
          </cell>
        </row>
        <row r="1356">
          <cell r="C1356">
            <v>8010040497</v>
          </cell>
        </row>
        <row r="1356">
          <cell r="H1356">
            <v>15917</v>
          </cell>
        </row>
        <row r="1357">
          <cell r="C1357">
            <v>8010040498</v>
          </cell>
        </row>
        <row r="1357">
          <cell r="H1357">
            <v>19165</v>
          </cell>
        </row>
        <row r="1358">
          <cell r="C1358">
            <v>8010040499</v>
          </cell>
        </row>
        <row r="1358">
          <cell r="H1358">
            <v>21959</v>
          </cell>
        </row>
        <row r="1359">
          <cell r="C1359">
            <v>8010040500</v>
          </cell>
        </row>
        <row r="1359">
          <cell r="H1359">
            <v>22586</v>
          </cell>
        </row>
        <row r="1360">
          <cell r="C1360">
            <v>8010040501</v>
          </cell>
        </row>
        <row r="1360">
          <cell r="H1360">
            <v>28400</v>
          </cell>
        </row>
        <row r="1361">
          <cell r="C1361">
            <v>8010040502</v>
          </cell>
        </row>
        <row r="1361">
          <cell r="H1361">
            <v>23669</v>
          </cell>
        </row>
        <row r="1362">
          <cell r="C1362">
            <v>8010040503</v>
          </cell>
        </row>
        <row r="1362">
          <cell r="H1362">
            <v>30445</v>
          </cell>
        </row>
        <row r="1363">
          <cell r="C1363">
            <v>8010040504</v>
          </cell>
        </row>
        <row r="1363">
          <cell r="H1363">
            <v>33425</v>
          </cell>
        </row>
        <row r="1364">
          <cell r="C1364">
            <v>8010046192</v>
          </cell>
        </row>
        <row r="1364">
          <cell r="H1364">
            <v>173904</v>
          </cell>
        </row>
        <row r="1365">
          <cell r="C1365">
            <v>8010046193</v>
          </cell>
        </row>
        <row r="1365">
          <cell r="H1365">
            <v>167060</v>
          </cell>
        </row>
        <row r="1366">
          <cell r="C1366">
            <v>8010046194</v>
          </cell>
        </row>
        <row r="1366">
          <cell r="H1366">
            <v>290940</v>
          </cell>
        </row>
        <row r="1367">
          <cell r="C1367">
            <v>8010046180</v>
          </cell>
        </row>
        <row r="1367">
          <cell r="H1367">
            <v>156616</v>
          </cell>
        </row>
        <row r="1368">
          <cell r="C1368">
            <v>8010046181</v>
          </cell>
        </row>
        <row r="1368">
          <cell r="H1368">
            <v>303950</v>
          </cell>
        </row>
        <row r="1369">
          <cell r="C1369">
            <v>8010045550</v>
          </cell>
        </row>
        <row r="1369">
          <cell r="H1369">
            <v>325341</v>
          </cell>
        </row>
        <row r="1370">
          <cell r="C1370">
            <v>8010045551</v>
          </cell>
        </row>
        <row r="1370">
          <cell r="H1370">
            <v>388250</v>
          </cell>
        </row>
        <row r="1371">
          <cell r="C1371">
            <v>8010045439</v>
          </cell>
        </row>
        <row r="1371">
          <cell r="H1371">
            <v>192601</v>
          </cell>
        </row>
        <row r="1372">
          <cell r="C1372">
            <v>8010044239</v>
          </cell>
        </row>
        <row r="1372">
          <cell r="H1372">
            <v>373321</v>
          </cell>
        </row>
        <row r="1373">
          <cell r="C1373">
            <v>8010043150</v>
          </cell>
        </row>
        <row r="1373">
          <cell r="H1373">
            <v>293927</v>
          </cell>
        </row>
        <row r="1374">
          <cell r="C1374">
            <v>8010042154</v>
          </cell>
        </row>
        <row r="1374">
          <cell r="H1374">
            <v>433523</v>
          </cell>
        </row>
        <row r="1375">
          <cell r="C1375">
            <v>8010042157</v>
          </cell>
        </row>
        <row r="1375">
          <cell r="H1375">
            <v>1377884</v>
          </cell>
        </row>
        <row r="1376">
          <cell r="C1376">
            <v>8010040403</v>
          </cell>
        </row>
        <row r="1376">
          <cell r="H1376">
            <v>69945</v>
          </cell>
        </row>
        <row r="1377">
          <cell r="C1377">
            <v>8010040404</v>
          </cell>
        </row>
        <row r="1377">
          <cell r="H1377">
            <v>71522</v>
          </cell>
        </row>
        <row r="1378">
          <cell r="C1378">
            <v>8010040405</v>
          </cell>
        </row>
        <row r="1378">
          <cell r="H1378">
            <v>78525</v>
          </cell>
        </row>
        <row r="1379">
          <cell r="C1379">
            <v>8010040406</v>
          </cell>
        </row>
        <row r="1379">
          <cell r="H1379">
            <v>84178</v>
          </cell>
        </row>
        <row r="1380">
          <cell r="C1380">
            <v>8010040407</v>
          </cell>
        </row>
        <row r="1380">
          <cell r="H1380">
            <v>111182</v>
          </cell>
        </row>
        <row r="1381">
          <cell r="C1381">
            <v>8010040408</v>
          </cell>
        </row>
        <row r="1381">
          <cell r="H1381">
            <v>88963</v>
          </cell>
        </row>
        <row r="1382">
          <cell r="C1382">
            <v>8010040409</v>
          </cell>
        </row>
        <row r="1382">
          <cell r="H1382">
            <v>89497</v>
          </cell>
        </row>
        <row r="1383">
          <cell r="C1383">
            <v>8010040410</v>
          </cell>
        </row>
        <row r="1383">
          <cell r="H1383">
            <v>99815</v>
          </cell>
        </row>
        <row r="1384">
          <cell r="C1384">
            <v>8010040412</v>
          </cell>
        </row>
        <row r="1384">
          <cell r="H1384">
            <v>150148</v>
          </cell>
        </row>
        <row r="1385">
          <cell r="C1385">
            <v>8010040450</v>
          </cell>
        </row>
        <row r="1385">
          <cell r="H1385">
            <v>21951</v>
          </cell>
        </row>
        <row r="1386">
          <cell r="C1386">
            <v>8010040451</v>
          </cell>
        </row>
        <row r="1386">
          <cell r="H1386">
            <v>23455</v>
          </cell>
        </row>
        <row r="1387">
          <cell r="C1387">
            <v>8010040452</v>
          </cell>
        </row>
        <row r="1387">
          <cell r="H1387">
            <v>24464</v>
          </cell>
        </row>
        <row r="1388">
          <cell r="C1388">
            <v>8010040453</v>
          </cell>
        </row>
        <row r="1388">
          <cell r="H1388">
            <v>32463</v>
          </cell>
        </row>
        <row r="1389">
          <cell r="C1389">
            <v>8010040454</v>
          </cell>
        </row>
        <row r="1389">
          <cell r="H1389">
            <v>34260</v>
          </cell>
        </row>
        <row r="1390">
          <cell r="C1390">
            <v>8010040455</v>
          </cell>
        </row>
        <row r="1390">
          <cell r="H1390">
            <v>36686</v>
          </cell>
        </row>
        <row r="1391">
          <cell r="C1391">
            <v>8010040456</v>
          </cell>
        </row>
        <row r="1391">
          <cell r="H1391">
            <v>43128</v>
          </cell>
        </row>
        <row r="1392">
          <cell r="C1392">
            <v>8010040457</v>
          </cell>
        </row>
        <row r="1392">
          <cell r="H1392">
            <v>46041</v>
          </cell>
        </row>
        <row r="1393">
          <cell r="C1393">
            <v>8010040458</v>
          </cell>
        </row>
        <row r="1393">
          <cell r="H1393">
            <v>50125</v>
          </cell>
        </row>
        <row r="1394">
          <cell r="C1394">
            <v>8010040459</v>
          </cell>
        </row>
        <row r="1394">
          <cell r="H1394">
            <v>53266</v>
          </cell>
        </row>
        <row r="1395">
          <cell r="C1395">
            <v>8010040418</v>
          </cell>
        </row>
        <row r="1395">
          <cell r="H1395">
            <v>287318</v>
          </cell>
        </row>
        <row r="1396">
          <cell r="C1396">
            <v>8010040420</v>
          </cell>
        </row>
        <row r="1396">
          <cell r="H1396">
            <v>300228</v>
          </cell>
        </row>
        <row r="1397">
          <cell r="C1397">
            <v>8010040422</v>
          </cell>
        </row>
        <row r="1397">
          <cell r="H1397">
            <v>523201</v>
          </cell>
        </row>
        <row r="1398">
          <cell r="C1398">
            <v>8010040423</v>
          </cell>
        </row>
        <row r="1398">
          <cell r="H1398">
            <v>580704</v>
          </cell>
        </row>
        <row r="1399">
          <cell r="C1399">
            <v>8010040424</v>
          </cell>
        </row>
        <row r="1399">
          <cell r="H1399">
            <v>606471</v>
          </cell>
        </row>
        <row r="1400">
          <cell r="C1400">
            <v>8010040425</v>
          </cell>
        </row>
        <row r="1400">
          <cell r="H1400">
            <v>425069</v>
          </cell>
        </row>
        <row r="1401">
          <cell r="C1401">
            <v>8010040426</v>
          </cell>
        </row>
        <row r="1401">
          <cell r="H1401">
            <v>427107</v>
          </cell>
        </row>
        <row r="1402">
          <cell r="C1402">
            <v>8010040427</v>
          </cell>
        </row>
        <row r="1402">
          <cell r="H1402">
            <v>427468</v>
          </cell>
        </row>
        <row r="1403">
          <cell r="C1403">
            <v>8010040428</v>
          </cell>
        </row>
        <row r="1403">
          <cell r="H1403">
            <v>470002</v>
          </cell>
        </row>
        <row r="1404">
          <cell r="C1404">
            <v>8010040429</v>
          </cell>
        </row>
        <row r="1404">
          <cell r="H1404">
            <v>866010</v>
          </cell>
        </row>
        <row r="1405">
          <cell r="C1405">
            <v>8010040430</v>
          </cell>
        </row>
        <row r="1405">
          <cell r="H1405">
            <v>900745</v>
          </cell>
        </row>
        <row r="1406">
          <cell r="C1406">
            <v>8010040431</v>
          </cell>
        </row>
        <row r="1406">
          <cell r="H1406">
            <v>1030231</v>
          </cell>
        </row>
        <row r="1407">
          <cell r="C1407">
            <v>8010040432</v>
          </cell>
        </row>
        <row r="1407">
          <cell r="H1407">
            <v>1062620</v>
          </cell>
        </row>
        <row r="1408">
          <cell r="C1408">
            <v>8010040433</v>
          </cell>
        </row>
        <row r="1408">
          <cell r="H1408">
            <v>864419</v>
          </cell>
        </row>
        <row r="1409">
          <cell r="C1409">
            <v>8010040434</v>
          </cell>
        </row>
        <row r="1409">
          <cell r="H1409">
            <v>11841</v>
          </cell>
        </row>
        <row r="1410">
          <cell r="C1410">
            <v>8010040435</v>
          </cell>
        </row>
        <row r="1410">
          <cell r="H1410">
            <v>12082</v>
          </cell>
        </row>
        <row r="1411">
          <cell r="C1411">
            <v>8010040436</v>
          </cell>
        </row>
        <row r="1411">
          <cell r="H1411">
            <v>1381145</v>
          </cell>
        </row>
        <row r="1412">
          <cell r="C1412">
            <v>8010040437</v>
          </cell>
        </row>
        <row r="1412">
          <cell r="H1412">
            <v>1619568</v>
          </cell>
        </row>
        <row r="1413">
          <cell r="C1413">
            <v>8010040438</v>
          </cell>
        </row>
        <row r="1413">
          <cell r="H1413">
            <v>1657003</v>
          </cell>
        </row>
        <row r="1414">
          <cell r="C1414">
            <v>8010040439</v>
          </cell>
        </row>
        <row r="1414">
          <cell r="H1414">
            <v>2023240</v>
          </cell>
        </row>
        <row r="1415">
          <cell r="C1415">
            <v>8010040440</v>
          </cell>
        </row>
        <row r="1415">
          <cell r="H1415">
            <v>2158626</v>
          </cell>
        </row>
        <row r="1416">
          <cell r="C1416">
            <v>8010040441</v>
          </cell>
        </row>
        <row r="1416">
          <cell r="H1416">
            <v>17641</v>
          </cell>
        </row>
        <row r="1417">
          <cell r="C1417">
            <v>8010040442</v>
          </cell>
        </row>
        <row r="1417">
          <cell r="H1417">
            <v>17688</v>
          </cell>
        </row>
        <row r="1418">
          <cell r="C1418">
            <v>8010040443</v>
          </cell>
        </row>
        <row r="1418">
          <cell r="H1418">
            <v>18457</v>
          </cell>
        </row>
        <row r="1419">
          <cell r="C1419">
            <v>8010040444</v>
          </cell>
        </row>
        <row r="1419">
          <cell r="H1419">
            <v>24524</v>
          </cell>
        </row>
        <row r="1420">
          <cell r="C1420">
            <v>8010040445</v>
          </cell>
        </row>
        <row r="1420">
          <cell r="H1420">
            <v>24745</v>
          </cell>
        </row>
        <row r="1421">
          <cell r="C1421">
            <v>8010040446</v>
          </cell>
        </row>
        <row r="1421">
          <cell r="H1421">
            <v>25567</v>
          </cell>
        </row>
        <row r="1422">
          <cell r="C1422">
            <v>8010040447</v>
          </cell>
        </row>
        <row r="1422">
          <cell r="H1422">
            <v>26777</v>
          </cell>
        </row>
        <row r="1423">
          <cell r="C1423">
            <v>8010040448</v>
          </cell>
        </row>
        <row r="1423">
          <cell r="H1423">
            <v>20515</v>
          </cell>
        </row>
        <row r="1424">
          <cell r="C1424">
            <v>8010040449</v>
          </cell>
        </row>
        <row r="1424">
          <cell r="H1424">
            <v>21724</v>
          </cell>
        </row>
        <row r="1425">
          <cell r="C1425">
            <v>8010045632</v>
          </cell>
        </row>
        <row r="1425">
          <cell r="H1425">
            <v>239826</v>
          </cell>
        </row>
        <row r="1426">
          <cell r="C1426">
            <v>8010043995</v>
          </cell>
        </row>
        <row r="1426">
          <cell r="H1426">
            <v>163539</v>
          </cell>
        </row>
        <row r="1427">
          <cell r="C1427">
            <v>8010041512</v>
          </cell>
        </row>
        <row r="1427">
          <cell r="H1427">
            <v>163112</v>
          </cell>
        </row>
        <row r="1428">
          <cell r="C1428">
            <v>8010041360</v>
          </cell>
        </row>
        <row r="1428">
          <cell r="H1428">
            <v>182470</v>
          </cell>
        </row>
        <row r="1429">
          <cell r="C1429">
            <v>8010041361</v>
          </cell>
        </row>
        <row r="1429">
          <cell r="H1429">
            <v>207356</v>
          </cell>
        </row>
        <row r="1430">
          <cell r="C1430">
            <v>8010041364</v>
          </cell>
        </row>
        <row r="1430">
          <cell r="H1430">
            <v>104252</v>
          </cell>
        </row>
        <row r="1431">
          <cell r="C1431">
            <v>8010041365</v>
          </cell>
        </row>
        <row r="1431">
          <cell r="H1431">
            <v>160512</v>
          </cell>
        </row>
        <row r="1432">
          <cell r="C1432">
            <v>8010042724</v>
          </cell>
        </row>
        <row r="1432">
          <cell r="H1432">
            <v>189728</v>
          </cell>
        </row>
        <row r="1433">
          <cell r="C1433">
            <v>8010042710</v>
          </cell>
        </row>
        <row r="1433">
          <cell r="H1433">
            <v>103765</v>
          </cell>
        </row>
        <row r="1434">
          <cell r="C1434">
            <v>8010042712</v>
          </cell>
        </row>
        <row r="1434">
          <cell r="H1434">
            <v>109879</v>
          </cell>
        </row>
        <row r="1435">
          <cell r="C1435">
            <v>8010042713</v>
          </cell>
        </row>
        <row r="1435">
          <cell r="H1435">
            <v>118633</v>
          </cell>
        </row>
        <row r="1436">
          <cell r="C1436">
            <v>8010042715</v>
          </cell>
        </row>
        <row r="1436">
          <cell r="H1436">
            <v>129132</v>
          </cell>
        </row>
        <row r="1437">
          <cell r="C1437">
            <v>8010042718</v>
          </cell>
        </row>
        <row r="1437">
          <cell r="H1437">
            <v>143652</v>
          </cell>
        </row>
        <row r="1438">
          <cell r="C1438">
            <v>8010042719</v>
          </cell>
        </row>
        <row r="1438">
          <cell r="H1438">
            <v>186741</v>
          </cell>
        </row>
        <row r="1439">
          <cell r="C1439">
            <v>8010042722</v>
          </cell>
        </row>
        <row r="1439">
          <cell r="H1439">
            <v>169119</v>
          </cell>
        </row>
        <row r="1440">
          <cell r="C1440">
            <v>8010042723</v>
          </cell>
        </row>
        <row r="1440">
          <cell r="H1440">
            <v>219284</v>
          </cell>
        </row>
        <row r="1441">
          <cell r="C1441">
            <v>8010041366</v>
          </cell>
        </row>
        <row r="1441">
          <cell r="H1441">
            <v>72671</v>
          </cell>
        </row>
        <row r="1442">
          <cell r="C1442">
            <v>8010041367</v>
          </cell>
        </row>
        <row r="1442">
          <cell r="H1442">
            <v>77295</v>
          </cell>
        </row>
        <row r="1443">
          <cell r="C1443">
            <v>8010041368</v>
          </cell>
        </row>
        <row r="1443">
          <cell r="H1443">
            <v>85702</v>
          </cell>
        </row>
        <row r="1444">
          <cell r="C1444">
            <v>8010041369</v>
          </cell>
        </row>
        <row r="1444">
          <cell r="H1444">
            <v>114684</v>
          </cell>
        </row>
        <row r="1445">
          <cell r="C1445">
            <v>8010041374</v>
          </cell>
        </row>
        <row r="1445">
          <cell r="H1445">
            <v>70279</v>
          </cell>
        </row>
        <row r="1446">
          <cell r="C1446">
            <v>8010042696</v>
          </cell>
        </row>
        <row r="1446">
          <cell r="H1446">
            <v>68375</v>
          </cell>
        </row>
        <row r="1447">
          <cell r="C1447">
            <v>8010042701</v>
          </cell>
        </row>
        <row r="1447">
          <cell r="H1447">
            <v>104807</v>
          </cell>
        </row>
        <row r="1448">
          <cell r="C1448">
            <v>8010041353</v>
          </cell>
        </row>
        <row r="1448">
          <cell r="H1448">
            <v>174598</v>
          </cell>
        </row>
        <row r="1449">
          <cell r="C1449">
            <v>8010041354</v>
          </cell>
        </row>
        <row r="1449">
          <cell r="H1449">
            <v>247136</v>
          </cell>
        </row>
        <row r="1450">
          <cell r="C1450">
            <v>8010041355</v>
          </cell>
        </row>
        <row r="1450">
          <cell r="H1450">
            <v>212053</v>
          </cell>
        </row>
        <row r="1451">
          <cell r="C1451">
            <v>8010041356</v>
          </cell>
        </row>
        <row r="1451">
          <cell r="H1451">
            <v>242545</v>
          </cell>
        </row>
        <row r="1452">
          <cell r="C1452">
            <v>8010041357</v>
          </cell>
        </row>
        <row r="1452">
          <cell r="H1452">
            <v>489375</v>
          </cell>
        </row>
        <row r="1453">
          <cell r="C1453">
            <v>8010041358</v>
          </cell>
        </row>
        <row r="1453">
          <cell r="H1453">
            <v>731833</v>
          </cell>
        </row>
        <row r="1454">
          <cell r="C1454">
            <v>8010041359</v>
          </cell>
        </row>
        <row r="1454">
          <cell r="H1454">
            <v>162176</v>
          </cell>
        </row>
        <row r="1455">
          <cell r="C1455">
            <v>8010043578</v>
          </cell>
        </row>
        <row r="1455">
          <cell r="H1455">
            <v>22847</v>
          </cell>
        </row>
        <row r="1456">
          <cell r="C1456">
            <v>8010040732</v>
          </cell>
        </row>
        <row r="1456">
          <cell r="H1456">
            <v>34067</v>
          </cell>
        </row>
        <row r="1457">
          <cell r="C1457">
            <v>8010040733</v>
          </cell>
        </row>
        <row r="1457">
          <cell r="H1457">
            <v>45654</v>
          </cell>
        </row>
        <row r="1458">
          <cell r="C1458">
            <v>8010040725</v>
          </cell>
        </row>
        <row r="1458">
          <cell r="H1458">
            <v>66838</v>
          </cell>
        </row>
        <row r="1459">
          <cell r="C1459">
            <v>8010040726</v>
          </cell>
        </row>
        <row r="1459">
          <cell r="H1459">
            <v>82541</v>
          </cell>
        </row>
        <row r="1460">
          <cell r="C1460">
            <v>8010040727</v>
          </cell>
        </row>
        <row r="1460">
          <cell r="H1460">
            <v>149980</v>
          </cell>
        </row>
        <row r="1461">
          <cell r="C1461">
            <v>8010040728</v>
          </cell>
        </row>
        <row r="1461">
          <cell r="H1461">
            <v>194619</v>
          </cell>
        </row>
        <row r="1462">
          <cell r="C1462">
            <v>8010040729</v>
          </cell>
        </row>
        <row r="1462">
          <cell r="H1462">
            <v>238556</v>
          </cell>
        </row>
        <row r="1463">
          <cell r="C1463">
            <v>8010040730</v>
          </cell>
        </row>
        <row r="1463">
          <cell r="H1463">
            <v>360490</v>
          </cell>
        </row>
        <row r="1464">
          <cell r="C1464">
            <v>8010040731</v>
          </cell>
        </row>
        <row r="1464">
          <cell r="H1464">
            <v>532911</v>
          </cell>
        </row>
        <row r="1465">
          <cell r="C1465">
            <v>8010041412</v>
          </cell>
        </row>
        <row r="1465">
          <cell r="H1465">
            <v>696590</v>
          </cell>
        </row>
        <row r="1466">
          <cell r="C1466">
            <v>8010044463</v>
          </cell>
        </row>
        <row r="1466">
          <cell r="H1466">
            <v>1061872</v>
          </cell>
        </row>
        <row r="1467">
          <cell r="C1467">
            <v>8010044298</v>
          </cell>
        </row>
        <row r="1467">
          <cell r="H1467">
            <v>1232841</v>
          </cell>
        </row>
        <row r="1468">
          <cell r="C1468">
            <v>8010045993</v>
          </cell>
        </row>
        <row r="1468">
          <cell r="H1468">
            <v>4850042</v>
          </cell>
        </row>
        <row r="1469">
          <cell r="C1469">
            <v>8010041541</v>
          </cell>
        </row>
        <row r="1469">
          <cell r="H1469">
            <v>44745</v>
          </cell>
        </row>
        <row r="1470">
          <cell r="C1470">
            <v>8010043594</v>
          </cell>
        </row>
        <row r="1470">
          <cell r="H1470">
            <v>900477</v>
          </cell>
        </row>
        <row r="1471">
          <cell r="C1471">
            <v>8010042250</v>
          </cell>
        </row>
        <row r="1471">
          <cell r="H1471">
            <v>75485</v>
          </cell>
        </row>
        <row r="1472">
          <cell r="C1472">
            <v>8010042687</v>
          </cell>
        </row>
        <row r="1472">
          <cell r="H1472">
            <v>32924</v>
          </cell>
        </row>
        <row r="1473">
          <cell r="C1473">
            <v>8010040736</v>
          </cell>
        </row>
        <row r="1473">
          <cell r="H1473">
            <v>64445</v>
          </cell>
        </row>
        <row r="1474">
          <cell r="C1474">
            <v>8010040737</v>
          </cell>
        </row>
        <row r="1474">
          <cell r="H1474">
            <v>138433</v>
          </cell>
        </row>
        <row r="1475">
          <cell r="C1475">
            <v>8010040738</v>
          </cell>
        </row>
        <row r="1475">
          <cell r="H1475">
            <v>149740</v>
          </cell>
        </row>
        <row r="1476">
          <cell r="C1476">
            <v>8010040739</v>
          </cell>
        </row>
        <row r="1476">
          <cell r="H1476">
            <v>213590</v>
          </cell>
        </row>
        <row r="1477">
          <cell r="C1477">
            <v>8010040740</v>
          </cell>
        </row>
        <row r="1477">
          <cell r="H1477">
            <v>338713</v>
          </cell>
        </row>
        <row r="1478">
          <cell r="C1478">
            <v>8010040741</v>
          </cell>
        </row>
        <row r="1478">
          <cell r="H1478">
            <v>458014</v>
          </cell>
        </row>
        <row r="1479">
          <cell r="C1479">
            <v>8010040742</v>
          </cell>
        </row>
        <row r="1479">
          <cell r="H1479">
            <v>611904</v>
          </cell>
        </row>
        <row r="1480">
          <cell r="C1480">
            <v>8010045665</v>
          </cell>
        </row>
        <row r="1480">
          <cell r="H1480">
            <v>2823361</v>
          </cell>
        </row>
        <row r="1481">
          <cell r="C1481">
            <v>8010041623</v>
          </cell>
        </row>
        <row r="1481">
          <cell r="H1481">
            <v>1182858</v>
          </cell>
        </row>
        <row r="1482">
          <cell r="C1482">
            <v>8010043551</v>
          </cell>
        </row>
        <row r="1482">
          <cell r="H1482">
            <v>1264897</v>
          </cell>
        </row>
        <row r="1483">
          <cell r="C1483">
            <v>8010042256</v>
          </cell>
        </row>
        <row r="1483">
          <cell r="H1483">
            <v>84540</v>
          </cell>
        </row>
        <row r="1484">
          <cell r="C1484">
            <v>8010042257</v>
          </cell>
        </row>
        <row r="1484">
          <cell r="H1484">
            <v>33038</v>
          </cell>
        </row>
        <row r="1485">
          <cell r="C1485">
            <v>8010040759</v>
          </cell>
        </row>
        <row r="1485">
          <cell r="H1485">
            <v>68101</v>
          </cell>
        </row>
        <row r="1486">
          <cell r="C1486">
            <v>8010040760</v>
          </cell>
        </row>
        <row r="1486">
          <cell r="H1486">
            <v>148543</v>
          </cell>
        </row>
        <row r="1487">
          <cell r="C1487">
            <v>8010040761</v>
          </cell>
        </row>
        <row r="1487">
          <cell r="H1487">
            <v>170869</v>
          </cell>
        </row>
        <row r="1488">
          <cell r="C1488">
            <v>8010040762</v>
          </cell>
        </row>
        <row r="1488">
          <cell r="H1488">
            <v>248045</v>
          </cell>
        </row>
        <row r="1489">
          <cell r="C1489">
            <v>8010040763</v>
          </cell>
        </row>
        <row r="1489">
          <cell r="H1489">
            <v>396783</v>
          </cell>
        </row>
        <row r="1490">
          <cell r="C1490">
            <v>8010040764</v>
          </cell>
        </row>
        <row r="1490">
          <cell r="H1490">
            <v>575123</v>
          </cell>
        </row>
        <row r="1491">
          <cell r="C1491">
            <v>8010040765</v>
          </cell>
        </row>
        <row r="1491">
          <cell r="H1491">
            <v>729982</v>
          </cell>
        </row>
        <row r="1492">
          <cell r="C1492">
            <v>8010040766</v>
          </cell>
        </row>
        <row r="1492">
          <cell r="H1492">
            <v>45214</v>
          </cell>
        </row>
        <row r="1493">
          <cell r="C1493">
            <v>8010045991</v>
          </cell>
        </row>
        <row r="1493">
          <cell r="H1493">
            <v>7444611</v>
          </cell>
        </row>
        <row r="1494">
          <cell r="C1494">
            <v>8010045528</v>
          </cell>
        </row>
        <row r="1494">
          <cell r="H1494">
            <v>1455568</v>
          </cell>
        </row>
        <row r="1495">
          <cell r="C1495">
            <v>8010043577</v>
          </cell>
        </row>
        <row r="1495">
          <cell r="H1495">
            <v>21444</v>
          </cell>
        </row>
        <row r="1496">
          <cell r="C1496">
            <v>8010041624</v>
          </cell>
        </row>
        <row r="1496">
          <cell r="H1496">
            <v>1377403</v>
          </cell>
        </row>
        <row r="1497">
          <cell r="C1497">
            <v>8010040743</v>
          </cell>
        </row>
        <row r="1497">
          <cell r="H1497">
            <v>70493</v>
          </cell>
        </row>
        <row r="1498">
          <cell r="C1498">
            <v>8010040744</v>
          </cell>
        </row>
        <row r="1498">
          <cell r="H1498">
            <v>88823</v>
          </cell>
        </row>
        <row r="1499">
          <cell r="C1499">
            <v>8010040745</v>
          </cell>
        </row>
        <row r="1499">
          <cell r="H1499">
            <v>154765</v>
          </cell>
        </row>
        <row r="1500">
          <cell r="C1500">
            <v>8010040746</v>
          </cell>
        </row>
        <row r="1500">
          <cell r="H1500">
            <v>190002</v>
          </cell>
        </row>
        <row r="1501">
          <cell r="C1501">
            <v>8010040747</v>
          </cell>
        </row>
        <row r="1501">
          <cell r="H1501">
            <v>255784</v>
          </cell>
        </row>
        <row r="1502">
          <cell r="C1502">
            <v>8010040748</v>
          </cell>
        </row>
        <row r="1502">
          <cell r="H1502">
            <v>467436</v>
          </cell>
        </row>
        <row r="1503">
          <cell r="C1503">
            <v>8010040749</v>
          </cell>
        </row>
        <row r="1503">
          <cell r="H1503">
            <v>652559</v>
          </cell>
        </row>
        <row r="1504">
          <cell r="C1504">
            <v>8010040750</v>
          </cell>
        </row>
        <row r="1504">
          <cell r="H1504">
            <v>883878</v>
          </cell>
        </row>
        <row r="1505">
          <cell r="C1505">
            <v>8010040751</v>
          </cell>
        </row>
        <row r="1505">
          <cell r="H1505">
            <v>34268</v>
          </cell>
        </row>
        <row r="1506">
          <cell r="C1506">
            <v>8010040752</v>
          </cell>
        </row>
        <row r="1506">
          <cell r="H1506">
            <v>48221</v>
          </cell>
        </row>
        <row r="1507">
          <cell r="C1507">
            <v>8010042241</v>
          </cell>
        </row>
        <row r="1507">
          <cell r="H1507">
            <v>35731</v>
          </cell>
        </row>
        <row r="1508">
          <cell r="C1508">
            <v>8010040699</v>
          </cell>
        </row>
        <row r="1508">
          <cell r="H1508">
            <v>100544</v>
          </cell>
        </row>
        <row r="1509">
          <cell r="C1509">
            <v>8010040700</v>
          </cell>
        </row>
        <row r="1509">
          <cell r="H1509">
            <v>123952</v>
          </cell>
        </row>
        <row r="1510">
          <cell r="C1510">
            <v>8010040701</v>
          </cell>
        </row>
        <row r="1510">
          <cell r="H1510">
            <v>217239</v>
          </cell>
        </row>
        <row r="1511">
          <cell r="C1511">
            <v>8010040702</v>
          </cell>
        </row>
        <row r="1511">
          <cell r="H1511">
            <v>259238</v>
          </cell>
        </row>
        <row r="1512">
          <cell r="C1512">
            <v>8010040703</v>
          </cell>
        </row>
        <row r="1512">
          <cell r="H1512">
            <v>370695</v>
          </cell>
        </row>
        <row r="1513">
          <cell r="C1513">
            <v>8010040704</v>
          </cell>
        </row>
        <row r="1513">
          <cell r="H1513">
            <v>650802</v>
          </cell>
        </row>
        <row r="1514">
          <cell r="C1514">
            <v>8010040705</v>
          </cell>
        </row>
        <row r="1514">
          <cell r="H1514">
            <v>908877</v>
          </cell>
        </row>
        <row r="1515">
          <cell r="C1515">
            <v>8010040706</v>
          </cell>
        </row>
        <row r="1515">
          <cell r="H1515">
            <v>1175039</v>
          </cell>
        </row>
        <row r="1516">
          <cell r="C1516">
            <v>8010040707</v>
          </cell>
        </row>
        <row r="1516">
          <cell r="H1516">
            <v>1858913</v>
          </cell>
        </row>
        <row r="1517">
          <cell r="C1517">
            <v>8010040708</v>
          </cell>
        </row>
        <row r="1517">
          <cell r="H1517">
            <v>46690</v>
          </cell>
        </row>
        <row r="1518">
          <cell r="C1518">
            <v>8010040709</v>
          </cell>
        </row>
        <row r="1518">
          <cell r="H1518">
            <v>68308</v>
          </cell>
        </row>
        <row r="1519">
          <cell r="C1519">
            <v>8010044497</v>
          </cell>
        </row>
        <row r="1519">
          <cell r="H1519">
            <v>34374</v>
          </cell>
        </row>
        <row r="1520">
          <cell r="C1520">
            <v>8010041383</v>
          </cell>
        </row>
        <row r="1520">
          <cell r="H1520">
            <v>2174978</v>
          </cell>
        </row>
        <row r="1521">
          <cell r="C1521">
            <v>8010041540</v>
          </cell>
        </row>
        <row r="1521">
          <cell r="H1521">
            <v>64091</v>
          </cell>
        </row>
        <row r="1522">
          <cell r="C1522">
            <v>8010043768</v>
          </cell>
        </row>
        <row r="1522">
          <cell r="H1522">
            <v>45367</v>
          </cell>
        </row>
        <row r="1523">
          <cell r="C1523">
            <v>8010042243</v>
          </cell>
        </row>
        <row r="1523">
          <cell r="H1523">
            <v>115867</v>
          </cell>
        </row>
        <row r="1524">
          <cell r="C1524">
            <v>8010041620</v>
          </cell>
        </row>
        <row r="1524">
          <cell r="H1524">
            <v>251493</v>
          </cell>
        </row>
        <row r="1525">
          <cell r="C1525">
            <v>8010040717</v>
          </cell>
        </row>
        <row r="1525">
          <cell r="H1525">
            <v>96534</v>
          </cell>
        </row>
        <row r="1526">
          <cell r="C1526">
            <v>8010040718</v>
          </cell>
        </row>
        <row r="1526">
          <cell r="H1526">
            <v>209495</v>
          </cell>
        </row>
        <row r="1527">
          <cell r="C1527">
            <v>8010040719</v>
          </cell>
        </row>
        <row r="1527">
          <cell r="H1527">
            <v>359241</v>
          </cell>
        </row>
        <row r="1528">
          <cell r="C1528">
            <v>8010040720</v>
          </cell>
        </row>
        <row r="1528">
          <cell r="H1528">
            <v>558851</v>
          </cell>
        </row>
        <row r="1529">
          <cell r="C1529">
            <v>8010040721</v>
          </cell>
        </row>
        <row r="1529">
          <cell r="H1529">
            <v>783054</v>
          </cell>
        </row>
        <row r="1530">
          <cell r="C1530">
            <v>8010040722</v>
          </cell>
        </row>
        <row r="1530">
          <cell r="H1530">
            <v>1010497</v>
          </cell>
        </row>
        <row r="1531">
          <cell r="C1531">
            <v>8010040723</v>
          </cell>
        </row>
        <row r="1531">
          <cell r="H1531">
            <v>1553545</v>
          </cell>
        </row>
        <row r="1532">
          <cell r="C1532">
            <v>8010040724</v>
          </cell>
        </row>
        <row r="1532">
          <cell r="H1532">
            <v>1629886</v>
          </cell>
        </row>
        <row r="1533">
          <cell r="C1533">
            <v>8010044397</v>
          </cell>
        </row>
        <row r="1533">
          <cell r="H1533">
            <v>993544</v>
          </cell>
        </row>
        <row r="1534">
          <cell r="C1534">
            <v>8010044398</v>
          </cell>
        </row>
        <row r="1534">
          <cell r="H1534">
            <v>982170</v>
          </cell>
        </row>
        <row r="1535">
          <cell r="C1535">
            <v>8010044565</v>
          </cell>
        </row>
        <row r="1535">
          <cell r="H1535">
            <v>1171998</v>
          </cell>
        </row>
        <row r="1536">
          <cell r="C1536">
            <v>8010040814</v>
          </cell>
        </row>
        <row r="1536">
          <cell r="H1536">
            <v>571114</v>
          </cell>
        </row>
        <row r="1537">
          <cell r="C1537">
            <v>8010040815</v>
          </cell>
        </row>
        <row r="1537">
          <cell r="H1537">
            <v>610359</v>
          </cell>
        </row>
        <row r="1538">
          <cell r="C1538">
            <v>8010042269</v>
          </cell>
        </row>
        <row r="1538">
          <cell r="H1538">
            <v>83423</v>
          </cell>
        </row>
        <row r="1539">
          <cell r="C1539">
            <v>8010042270</v>
          </cell>
        </row>
        <row r="1539">
          <cell r="H1539">
            <v>166566</v>
          </cell>
        </row>
        <row r="1540">
          <cell r="C1540">
            <v>8010042271</v>
          </cell>
        </row>
        <row r="1540">
          <cell r="H1540">
            <v>153054</v>
          </cell>
        </row>
        <row r="1541">
          <cell r="C1541">
            <v>8010042272</v>
          </cell>
        </row>
        <row r="1541">
          <cell r="H1541">
            <v>165029</v>
          </cell>
        </row>
        <row r="1542">
          <cell r="C1542">
            <v>8010043037</v>
          </cell>
        </row>
        <row r="1542">
          <cell r="H1542">
            <v>265125</v>
          </cell>
        </row>
        <row r="1543">
          <cell r="C1543">
            <v>8010040809</v>
          </cell>
        </row>
        <row r="1543">
          <cell r="H1543">
            <v>77950</v>
          </cell>
        </row>
        <row r="1544">
          <cell r="C1544">
            <v>8010040810</v>
          </cell>
        </row>
        <row r="1544">
          <cell r="H1544">
            <v>80350</v>
          </cell>
        </row>
        <row r="1545">
          <cell r="C1545">
            <v>8010040811</v>
          </cell>
        </row>
        <row r="1545">
          <cell r="H1545">
            <v>161414</v>
          </cell>
        </row>
        <row r="1546">
          <cell r="C1546">
            <v>8010040812</v>
          </cell>
        </row>
        <row r="1546">
          <cell r="H1546">
            <v>253317</v>
          </cell>
        </row>
        <row r="1547">
          <cell r="C1547">
            <v>8010040813</v>
          </cell>
        </row>
        <row r="1547">
          <cell r="H1547">
            <v>274554</v>
          </cell>
        </row>
        <row r="1548">
          <cell r="C1548">
            <v>8010045432</v>
          </cell>
        </row>
        <row r="1548">
          <cell r="H1548">
            <v>722872</v>
          </cell>
        </row>
        <row r="1549">
          <cell r="C1549">
            <v>8010046190</v>
          </cell>
        </row>
        <row r="1549">
          <cell r="H1549">
            <v>448197</v>
          </cell>
        </row>
        <row r="1550">
          <cell r="C1550">
            <v>8010045523</v>
          </cell>
        </row>
        <row r="1550">
          <cell r="H1550">
            <v>475950</v>
          </cell>
        </row>
        <row r="1551">
          <cell r="C1551">
            <v>8010045559</v>
          </cell>
        </row>
        <row r="1551">
          <cell r="H1551">
            <v>569363</v>
          </cell>
        </row>
        <row r="1552">
          <cell r="C1552">
            <v>8010044907</v>
          </cell>
        </row>
        <row r="1552">
          <cell r="H1552">
            <v>1155325</v>
          </cell>
        </row>
        <row r="1553">
          <cell r="C1553">
            <v>8010044442</v>
          </cell>
        </row>
        <row r="1553">
          <cell r="H1553">
            <v>1009756</v>
          </cell>
        </row>
        <row r="1554">
          <cell r="C1554">
            <v>8010044443</v>
          </cell>
        </row>
        <row r="1554">
          <cell r="H1554">
            <v>1043148</v>
          </cell>
        </row>
        <row r="1555">
          <cell r="C1555">
            <v>8010044444</v>
          </cell>
        </row>
        <row r="1555">
          <cell r="H1555">
            <v>1213135</v>
          </cell>
        </row>
        <row r="1556">
          <cell r="C1556">
            <v>8010044445</v>
          </cell>
        </row>
        <row r="1556">
          <cell r="H1556">
            <v>1274908</v>
          </cell>
        </row>
        <row r="1557">
          <cell r="C1557">
            <v>8010044568</v>
          </cell>
        </row>
        <row r="1557">
          <cell r="H1557">
            <v>265065</v>
          </cell>
        </row>
        <row r="1558">
          <cell r="C1558">
            <v>8010043379</v>
          </cell>
        </row>
        <row r="1558">
          <cell r="H1558">
            <v>58231</v>
          </cell>
        </row>
        <row r="1559">
          <cell r="C1559">
            <v>8010044487</v>
          </cell>
        </row>
        <row r="1559">
          <cell r="H1559">
            <v>2530242</v>
          </cell>
        </row>
        <row r="1560">
          <cell r="C1560">
            <v>8010043357</v>
          </cell>
        </row>
        <row r="1560">
          <cell r="H1560">
            <v>51201</v>
          </cell>
        </row>
        <row r="1561">
          <cell r="C1561">
            <v>8010042265</v>
          </cell>
        </row>
        <row r="1561">
          <cell r="H1561">
            <v>279339</v>
          </cell>
        </row>
        <row r="1562">
          <cell r="C1562">
            <v>8010042747</v>
          </cell>
        </row>
        <row r="1562">
          <cell r="H1562">
            <v>716824</v>
          </cell>
        </row>
        <row r="1563">
          <cell r="C1563">
            <v>8010042984</v>
          </cell>
        </row>
        <row r="1563">
          <cell r="H1563">
            <v>525326</v>
          </cell>
        </row>
        <row r="1564">
          <cell r="C1564">
            <v>8010040789</v>
          </cell>
        </row>
        <row r="1564">
          <cell r="H1564">
            <v>81546</v>
          </cell>
        </row>
        <row r="1565">
          <cell r="C1565">
            <v>8010040790</v>
          </cell>
        </row>
        <row r="1565">
          <cell r="H1565">
            <v>83423</v>
          </cell>
        </row>
        <row r="1566">
          <cell r="C1566">
            <v>8010040791</v>
          </cell>
        </row>
        <row r="1566">
          <cell r="H1566">
            <v>87814</v>
          </cell>
        </row>
        <row r="1567">
          <cell r="C1567">
            <v>8010040792</v>
          </cell>
        </row>
        <row r="1567">
          <cell r="H1567">
            <v>147014</v>
          </cell>
        </row>
        <row r="1568">
          <cell r="C1568">
            <v>8010040793</v>
          </cell>
        </row>
        <row r="1568">
          <cell r="H1568">
            <v>171571</v>
          </cell>
        </row>
        <row r="1569">
          <cell r="C1569">
            <v>8010040794</v>
          </cell>
        </row>
        <row r="1569">
          <cell r="H1569">
            <v>156810</v>
          </cell>
        </row>
        <row r="1570">
          <cell r="C1570">
            <v>8010040795</v>
          </cell>
        </row>
        <row r="1570">
          <cell r="H1570">
            <v>165216</v>
          </cell>
        </row>
        <row r="1571">
          <cell r="C1571">
            <v>8010040796</v>
          </cell>
        </row>
        <row r="1571">
          <cell r="H1571">
            <v>169400</v>
          </cell>
        </row>
        <row r="1572">
          <cell r="C1572">
            <v>8010040797</v>
          </cell>
        </row>
        <row r="1572">
          <cell r="H1572">
            <v>276826</v>
          </cell>
        </row>
        <row r="1573">
          <cell r="C1573">
            <v>8010040798</v>
          </cell>
        </row>
        <row r="1573">
          <cell r="H1573">
            <v>358151</v>
          </cell>
        </row>
        <row r="1574">
          <cell r="C1574">
            <v>8010040799</v>
          </cell>
        </row>
        <row r="1574">
          <cell r="H1574">
            <v>669352</v>
          </cell>
        </row>
        <row r="1575">
          <cell r="C1575">
            <v>8010040800</v>
          </cell>
        </row>
        <row r="1575">
          <cell r="H1575">
            <v>702304</v>
          </cell>
        </row>
        <row r="1576">
          <cell r="C1576">
            <v>8010044505</v>
          </cell>
        </row>
        <row r="1576">
          <cell r="H1576">
            <v>21812</v>
          </cell>
        </row>
        <row r="1577">
          <cell r="C1577">
            <v>8010041552</v>
          </cell>
        </row>
        <row r="1577">
          <cell r="H1577">
            <v>31206</v>
          </cell>
        </row>
        <row r="1578">
          <cell r="C1578">
            <v>8010042208</v>
          </cell>
        </row>
        <row r="1578">
          <cell r="H1578">
            <v>53705</v>
          </cell>
        </row>
        <row r="1579">
          <cell r="C1579">
            <v>8010042209</v>
          </cell>
        </row>
        <row r="1579">
          <cell r="H1579">
            <v>117952</v>
          </cell>
        </row>
        <row r="1580">
          <cell r="C1580">
            <v>8010042213</v>
          </cell>
        </row>
        <row r="1580">
          <cell r="H1580">
            <v>18768</v>
          </cell>
        </row>
        <row r="1581">
          <cell r="C1581">
            <v>8010040659</v>
          </cell>
        </row>
        <row r="1581">
          <cell r="H1581">
            <v>1645769</v>
          </cell>
        </row>
        <row r="1582">
          <cell r="C1582">
            <v>8010040595</v>
          </cell>
        </row>
        <row r="1582">
          <cell r="H1582">
            <v>46491</v>
          </cell>
        </row>
        <row r="1583">
          <cell r="C1583">
            <v>8010040597</v>
          </cell>
        </row>
        <row r="1583">
          <cell r="H1583">
            <v>94641</v>
          </cell>
        </row>
        <row r="1584">
          <cell r="C1584">
            <v>8010040598</v>
          </cell>
        </row>
        <row r="1584">
          <cell r="H1584">
            <v>136720</v>
          </cell>
        </row>
        <row r="1585">
          <cell r="C1585">
            <v>8010040599</v>
          </cell>
        </row>
        <row r="1585">
          <cell r="H1585">
            <v>190770</v>
          </cell>
        </row>
        <row r="1586">
          <cell r="C1586">
            <v>8010040600</v>
          </cell>
        </row>
        <row r="1586">
          <cell r="H1586">
            <v>175505</v>
          </cell>
        </row>
        <row r="1587">
          <cell r="C1587">
            <v>8010040601</v>
          </cell>
        </row>
        <row r="1587">
          <cell r="H1587">
            <v>245259</v>
          </cell>
        </row>
        <row r="1588">
          <cell r="C1588">
            <v>8010040603</v>
          </cell>
        </row>
        <row r="1588">
          <cell r="H1588">
            <v>32320</v>
          </cell>
        </row>
        <row r="1589">
          <cell r="C1589">
            <v>8010040657</v>
          </cell>
        </row>
        <row r="1589">
          <cell r="H1589">
            <v>1263986</v>
          </cell>
        </row>
        <row r="1590">
          <cell r="C1590">
            <v>8010040658</v>
          </cell>
        </row>
        <row r="1590">
          <cell r="H1590">
            <v>1684900</v>
          </cell>
        </row>
        <row r="1591">
          <cell r="C1591">
            <v>8010040656</v>
          </cell>
        </row>
        <row r="1591">
          <cell r="H1591">
            <v>810418</v>
          </cell>
        </row>
        <row r="1592">
          <cell r="C1592">
            <v>8010040655</v>
          </cell>
        </row>
        <row r="1592">
          <cell r="H1592">
            <v>517232</v>
          </cell>
        </row>
        <row r="1593">
          <cell r="C1593">
            <v>8010040654</v>
          </cell>
        </row>
        <row r="1593">
          <cell r="H1593">
            <v>526779</v>
          </cell>
        </row>
        <row r="1594">
          <cell r="C1594">
            <v>8010040653</v>
          </cell>
        </row>
        <row r="1594">
          <cell r="H1594">
            <v>315377</v>
          </cell>
        </row>
        <row r="1595">
          <cell r="C1595">
            <v>8010041626</v>
          </cell>
        </row>
        <row r="1595">
          <cell r="H1595">
            <v>2204643</v>
          </cell>
        </row>
        <row r="1596">
          <cell r="C1596">
            <v>8010043479</v>
          </cell>
        </row>
        <row r="1596">
          <cell r="H1596">
            <v>65570</v>
          </cell>
        </row>
        <row r="1597">
          <cell r="C1597">
            <v>8010042202</v>
          </cell>
        </row>
        <row r="1597">
          <cell r="H1597">
            <v>1560207</v>
          </cell>
        </row>
        <row r="1598">
          <cell r="C1598">
            <v>8010042967</v>
          </cell>
        </row>
        <row r="1598">
          <cell r="H1598">
            <v>1033392</v>
          </cell>
        </row>
        <row r="1599">
          <cell r="C1599">
            <v>8010040571</v>
          </cell>
        </row>
        <row r="1599">
          <cell r="H1599">
            <v>53330</v>
          </cell>
        </row>
        <row r="1600">
          <cell r="C1600">
            <v>8010040572</v>
          </cell>
        </row>
        <row r="1600">
          <cell r="H1600">
            <v>64533</v>
          </cell>
        </row>
        <row r="1601">
          <cell r="C1601">
            <v>8010040573</v>
          </cell>
        </row>
        <row r="1601">
          <cell r="H1601">
            <v>101220</v>
          </cell>
        </row>
        <row r="1602">
          <cell r="C1602">
            <v>8010040574</v>
          </cell>
        </row>
        <row r="1602">
          <cell r="H1602">
            <v>126803</v>
          </cell>
        </row>
        <row r="1603">
          <cell r="C1603">
            <v>8010040575</v>
          </cell>
        </row>
        <row r="1603">
          <cell r="H1603">
            <v>169232</v>
          </cell>
        </row>
        <row r="1604">
          <cell r="C1604">
            <v>8010040576</v>
          </cell>
        </row>
        <row r="1604">
          <cell r="H1604">
            <v>190218</v>
          </cell>
        </row>
        <row r="1605">
          <cell r="C1605">
            <v>8010040577</v>
          </cell>
        </row>
        <row r="1605">
          <cell r="H1605">
            <v>191819</v>
          </cell>
        </row>
        <row r="1606">
          <cell r="C1606">
            <v>8010040578</v>
          </cell>
        </row>
        <row r="1606">
          <cell r="H1606">
            <v>2088643</v>
          </cell>
        </row>
        <row r="1607">
          <cell r="C1607">
            <v>8010040664</v>
          </cell>
        </row>
        <row r="1607">
          <cell r="H1607">
            <v>342496</v>
          </cell>
        </row>
        <row r="1608">
          <cell r="C1608">
            <v>8010040665</v>
          </cell>
        </row>
        <row r="1608">
          <cell r="H1608">
            <v>623779</v>
          </cell>
        </row>
        <row r="1609">
          <cell r="C1609">
            <v>8010040666</v>
          </cell>
        </row>
        <row r="1609">
          <cell r="H1609">
            <v>533440</v>
          </cell>
        </row>
        <row r="1610">
          <cell r="C1610">
            <v>8010040667</v>
          </cell>
        </row>
        <row r="1610">
          <cell r="H1610">
            <v>1515282</v>
          </cell>
        </row>
        <row r="1611">
          <cell r="C1611">
            <v>8010040580</v>
          </cell>
        </row>
        <row r="1611">
          <cell r="H1611">
            <v>22733</v>
          </cell>
        </row>
        <row r="1612">
          <cell r="C1612">
            <v>8010040581</v>
          </cell>
        </row>
        <row r="1612">
          <cell r="H1612">
            <v>18445</v>
          </cell>
        </row>
        <row r="1613">
          <cell r="C1613">
            <v>8010040582</v>
          </cell>
        </row>
        <row r="1613">
          <cell r="H1613">
            <v>30322</v>
          </cell>
        </row>
        <row r="1614">
          <cell r="C1614">
            <v>8010040583</v>
          </cell>
        </row>
        <row r="1614">
          <cell r="H1614">
            <v>34622</v>
          </cell>
        </row>
        <row r="1615">
          <cell r="C1615">
            <v>8010044812</v>
          </cell>
        </row>
        <row r="1615">
          <cell r="H1615">
            <v>657043</v>
          </cell>
        </row>
        <row r="1616">
          <cell r="C1616">
            <v>8010044709</v>
          </cell>
        </row>
        <row r="1616">
          <cell r="H1616">
            <v>375860</v>
          </cell>
        </row>
        <row r="1617">
          <cell r="C1617">
            <v>8010044502</v>
          </cell>
        </row>
        <row r="1617">
          <cell r="H1617">
            <v>42834</v>
          </cell>
        </row>
        <row r="1618">
          <cell r="C1618">
            <v>8010041971</v>
          </cell>
        </row>
        <row r="1618">
          <cell r="H1618">
            <v>1088615</v>
          </cell>
        </row>
        <row r="1619">
          <cell r="C1619">
            <v>8010040863</v>
          </cell>
        </row>
        <row r="1619">
          <cell r="H1619">
            <v>38724</v>
          </cell>
        </row>
        <row r="1620">
          <cell r="C1620">
            <v>8010040864</v>
          </cell>
        </row>
        <row r="1620">
          <cell r="H1620">
            <v>41297</v>
          </cell>
        </row>
        <row r="1621">
          <cell r="C1621">
            <v>8010040865</v>
          </cell>
        </row>
        <row r="1621">
          <cell r="H1621">
            <v>43356</v>
          </cell>
        </row>
        <row r="1622">
          <cell r="C1622">
            <v>8010040866</v>
          </cell>
        </row>
        <row r="1622">
          <cell r="H1622">
            <v>78692</v>
          </cell>
        </row>
        <row r="1623">
          <cell r="C1623">
            <v>8010040867</v>
          </cell>
        </row>
        <row r="1623">
          <cell r="H1623">
            <v>74904</v>
          </cell>
        </row>
        <row r="1624">
          <cell r="C1624">
            <v>8010040868</v>
          </cell>
        </row>
        <row r="1624">
          <cell r="H1624">
            <v>75238</v>
          </cell>
        </row>
        <row r="1625">
          <cell r="C1625">
            <v>8010040869</v>
          </cell>
        </row>
        <row r="1625">
          <cell r="H1625">
            <v>94663</v>
          </cell>
        </row>
        <row r="1626">
          <cell r="C1626">
            <v>8010040870</v>
          </cell>
        </row>
        <row r="1626">
          <cell r="H1626">
            <v>120912</v>
          </cell>
        </row>
        <row r="1627">
          <cell r="C1627">
            <v>8010040897</v>
          </cell>
        </row>
        <row r="1627">
          <cell r="H1627">
            <v>985719</v>
          </cell>
        </row>
        <row r="1628">
          <cell r="C1628">
            <v>8010040898</v>
          </cell>
        </row>
        <row r="1628">
          <cell r="H1628">
            <v>1043936</v>
          </cell>
        </row>
        <row r="1629">
          <cell r="C1629">
            <v>8010040899</v>
          </cell>
        </row>
        <row r="1629">
          <cell r="H1629">
            <v>1055824</v>
          </cell>
        </row>
        <row r="1630">
          <cell r="C1630">
            <v>8010040896</v>
          </cell>
        </row>
        <row r="1630">
          <cell r="H1630">
            <v>987076</v>
          </cell>
        </row>
        <row r="1631">
          <cell r="C1631">
            <v>8010040871</v>
          </cell>
        </row>
        <row r="1631">
          <cell r="H1631">
            <v>127367</v>
          </cell>
        </row>
        <row r="1632">
          <cell r="C1632">
            <v>8010040872</v>
          </cell>
        </row>
        <row r="1632">
          <cell r="H1632">
            <v>157979</v>
          </cell>
        </row>
        <row r="1633">
          <cell r="C1633">
            <v>8010040873</v>
          </cell>
        </row>
        <row r="1633">
          <cell r="H1633">
            <v>151932</v>
          </cell>
        </row>
        <row r="1634">
          <cell r="C1634">
            <v>8010040874</v>
          </cell>
        </row>
        <row r="1634">
          <cell r="H1634">
            <v>219598</v>
          </cell>
        </row>
        <row r="1635">
          <cell r="C1635">
            <v>8010040875</v>
          </cell>
        </row>
        <row r="1635">
          <cell r="H1635">
            <v>209053</v>
          </cell>
        </row>
        <row r="1636">
          <cell r="C1636">
            <v>8010040876</v>
          </cell>
        </row>
        <row r="1636">
          <cell r="H1636">
            <v>196791</v>
          </cell>
        </row>
        <row r="1637">
          <cell r="C1637">
            <v>8010040877</v>
          </cell>
        </row>
        <row r="1637">
          <cell r="H1637">
            <v>206668</v>
          </cell>
        </row>
        <row r="1638">
          <cell r="C1638">
            <v>8010040878</v>
          </cell>
        </row>
        <row r="1638">
          <cell r="H1638">
            <v>212020</v>
          </cell>
        </row>
        <row r="1639">
          <cell r="C1639">
            <v>8010040879</v>
          </cell>
        </row>
        <row r="1639">
          <cell r="H1639">
            <v>246308</v>
          </cell>
        </row>
        <row r="1640">
          <cell r="C1640">
            <v>8010040880</v>
          </cell>
        </row>
        <row r="1640">
          <cell r="H1640">
            <v>327098</v>
          </cell>
        </row>
        <row r="1641">
          <cell r="C1641">
            <v>8010040881</v>
          </cell>
        </row>
        <row r="1641">
          <cell r="H1641">
            <v>265780</v>
          </cell>
        </row>
        <row r="1642">
          <cell r="C1642">
            <v>8010040882</v>
          </cell>
        </row>
        <row r="1642">
          <cell r="H1642">
            <v>317603</v>
          </cell>
        </row>
        <row r="1643">
          <cell r="C1643">
            <v>8010040883</v>
          </cell>
        </row>
        <row r="1643">
          <cell r="H1643">
            <v>263195</v>
          </cell>
        </row>
        <row r="1644">
          <cell r="C1644">
            <v>8010040884</v>
          </cell>
        </row>
        <row r="1644">
          <cell r="H1644">
            <v>379723</v>
          </cell>
        </row>
        <row r="1645">
          <cell r="C1645">
            <v>8010040885</v>
          </cell>
        </row>
        <row r="1645">
          <cell r="H1645">
            <v>371123</v>
          </cell>
        </row>
        <row r="1646">
          <cell r="C1646">
            <v>8010040886</v>
          </cell>
        </row>
        <row r="1646">
          <cell r="H1646">
            <v>333025</v>
          </cell>
        </row>
        <row r="1647">
          <cell r="C1647">
            <v>8010040887</v>
          </cell>
        </row>
        <row r="1647">
          <cell r="H1647">
            <v>413662</v>
          </cell>
        </row>
        <row r="1648">
          <cell r="C1648">
            <v>8010040888</v>
          </cell>
        </row>
        <row r="1648">
          <cell r="H1648">
            <v>420592</v>
          </cell>
        </row>
        <row r="1649">
          <cell r="C1649">
            <v>8010040889</v>
          </cell>
        </row>
        <row r="1649">
          <cell r="H1649">
            <v>364393</v>
          </cell>
        </row>
        <row r="1650">
          <cell r="C1650">
            <v>8010040891</v>
          </cell>
        </row>
        <row r="1650">
          <cell r="H1650">
            <v>554555</v>
          </cell>
        </row>
        <row r="1651">
          <cell r="C1651">
            <v>8010040892</v>
          </cell>
        </row>
        <row r="1651">
          <cell r="H1651">
            <v>557836</v>
          </cell>
        </row>
        <row r="1652">
          <cell r="C1652">
            <v>8010040893</v>
          </cell>
        </row>
        <row r="1652">
          <cell r="H1652">
            <v>429894</v>
          </cell>
        </row>
        <row r="1653">
          <cell r="C1653">
            <v>8010043182</v>
          </cell>
        </row>
        <row r="1653">
          <cell r="H1653">
            <v>449681</v>
          </cell>
        </row>
        <row r="1654">
          <cell r="C1654">
            <v>8010042295</v>
          </cell>
        </row>
        <row r="1654">
          <cell r="H1654">
            <v>35230</v>
          </cell>
        </row>
        <row r="1655">
          <cell r="C1655">
            <v>8010042296</v>
          </cell>
        </row>
        <row r="1655">
          <cell r="H1655">
            <v>38263</v>
          </cell>
        </row>
        <row r="1656">
          <cell r="C1656">
            <v>8010042297</v>
          </cell>
        </row>
        <row r="1656">
          <cell r="H1656">
            <v>49369</v>
          </cell>
        </row>
        <row r="1657">
          <cell r="C1657">
            <v>8010042298</v>
          </cell>
        </row>
        <row r="1657">
          <cell r="H1657">
            <v>81151</v>
          </cell>
        </row>
        <row r="1658">
          <cell r="C1658">
            <v>8010042299</v>
          </cell>
        </row>
        <row r="1658">
          <cell r="H1658">
            <v>119562</v>
          </cell>
        </row>
        <row r="1659">
          <cell r="C1659">
            <v>8010042301</v>
          </cell>
        </row>
        <row r="1659">
          <cell r="H1659">
            <v>165965</v>
          </cell>
        </row>
        <row r="1660">
          <cell r="C1660">
            <v>8010042302</v>
          </cell>
        </row>
        <row r="1660">
          <cell r="H1660">
            <v>203279</v>
          </cell>
        </row>
        <row r="1661">
          <cell r="C1661">
            <v>8010042303</v>
          </cell>
        </row>
        <row r="1661">
          <cell r="H1661">
            <v>221235</v>
          </cell>
        </row>
        <row r="1662">
          <cell r="C1662">
            <v>8010042307</v>
          </cell>
        </row>
        <row r="1662">
          <cell r="H1662">
            <v>1152539</v>
          </cell>
        </row>
        <row r="1663">
          <cell r="C1663">
            <v>8010042308</v>
          </cell>
        </row>
        <row r="1663">
          <cell r="H1663">
            <v>1141847</v>
          </cell>
        </row>
        <row r="1664">
          <cell r="C1664">
            <v>8010042311</v>
          </cell>
        </row>
        <row r="1664">
          <cell r="H1664">
            <v>23682</v>
          </cell>
        </row>
        <row r="1665">
          <cell r="C1665">
            <v>8010042313</v>
          </cell>
        </row>
        <row r="1665">
          <cell r="H1665">
            <v>29670</v>
          </cell>
        </row>
        <row r="1666">
          <cell r="C1666">
            <v>8010042314</v>
          </cell>
        </row>
        <row r="1666">
          <cell r="H1666">
            <v>28775</v>
          </cell>
        </row>
        <row r="1667">
          <cell r="C1667">
            <v>8010042983</v>
          </cell>
        </row>
        <row r="1667">
          <cell r="H1667">
            <v>69938</v>
          </cell>
        </row>
        <row r="1668">
          <cell r="C1668">
            <v>8010044822</v>
          </cell>
        </row>
        <row r="1668">
          <cell r="H1668">
            <v>688505</v>
          </cell>
        </row>
        <row r="1669">
          <cell r="C1669">
            <v>8010044911</v>
          </cell>
        </row>
        <row r="1669">
          <cell r="H1669">
            <v>1889825</v>
          </cell>
        </row>
        <row r="1670">
          <cell r="C1670">
            <v>8010044562</v>
          </cell>
        </row>
        <row r="1670">
          <cell r="H1670">
            <v>100363</v>
          </cell>
        </row>
        <row r="1671">
          <cell r="C1671">
            <v>8010044613</v>
          </cell>
        </row>
        <row r="1671">
          <cell r="H1671">
            <v>504557</v>
          </cell>
        </row>
        <row r="1672">
          <cell r="C1672">
            <v>8010044633</v>
          </cell>
        </row>
        <row r="1672">
          <cell r="H1672">
            <v>396769</v>
          </cell>
        </row>
        <row r="1673">
          <cell r="C1673">
            <v>8010043784</v>
          </cell>
        </row>
        <row r="1673">
          <cell r="H1673">
            <v>90500</v>
          </cell>
        </row>
        <row r="1674">
          <cell r="C1674">
            <v>8010040837</v>
          </cell>
        </row>
        <row r="1674">
          <cell r="H1674">
            <v>210343</v>
          </cell>
        </row>
        <row r="1675">
          <cell r="C1675">
            <v>8010040838</v>
          </cell>
        </row>
        <row r="1675">
          <cell r="H1675">
            <v>500587</v>
          </cell>
        </row>
        <row r="1676">
          <cell r="C1676">
            <v>8010040839</v>
          </cell>
        </row>
        <row r="1676">
          <cell r="H1676">
            <v>548200</v>
          </cell>
        </row>
        <row r="1677">
          <cell r="C1677">
            <v>8010040840</v>
          </cell>
        </row>
        <row r="1677">
          <cell r="H1677">
            <v>24157</v>
          </cell>
        </row>
        <row r="1678">
          <cell r="C1678">
            <v>8010040841</v>
          </cell>
        </row>
        <row r="1678">
          <cell r="H1678">
            <v>30131</v>
          </cell>
        </row>
        <row r="1679">
          <cell r="C1679">
            <v>8010040842</v>
          </cell>
        </row>
        <row r="1679">
          <cell r="H1679">
            <v>28868</v>
          </cell>
        </row>
        <row r="1680">
          <cell r="C1680">
            <v>8010040836</v>
          </cell>
        </row>
        <row r="1680">
          <cell r="H1680">
            <v>221149</v>
          </cell>
        </row>
        <row r="1681">
          <cell r="C1681">
            <v>8010040816</v>
          </cell>
        </row>
        <row r="1681">
          <cell r="H1681">
            <v>36640</v>
          </cell>
        </row>
        <row r="1682">
          <cell r="C1682">
            <v>8010040817</v>
          </cell>
        </row>
        <row r="1682">
          <cell r="H1682">
            <v>39633</v>
          </cell>
        </row>
        <row r="1683">
          <cell r="C1683">
            <v>8010040818</v>
          </cell>
        </row>
        <row r="1683">
          <cell r="H1683">
            <v>39640</v>
          </cell>
        </row>
        <row r="1684">
          <cell r="C1684">
            <v>8010040819</v>
          </cell>
        </row>
        <row r="1684">
          <cell r="H1684">
            <v>42213</v>
          </cell>
        </row>
        <row r="1685">
          <cell r="C1685">
            <v>8010040820</v>
          </cell>
        </row>
        <row r="1685">
          <cell r="H1685">
            <v>52785</v>
          </cell>
        </row>
        <row r="1686">
          <cell r="C1686">
            <v>8010040821</v>
          </cell>
        </row>
        <row r="1686">
          <cell r="H1686">
            <v>45086</v>
          </cell>
        </row>
        <row r="1687">
          <cell r="C1687">
            <v>8010040822</v>
          </cell>
        </row>
        <row r="1687">
          <cell r="H1687">
            <v>45173</v>
          </cell>
        </row>
        <row r="1688">
          <cell r="C1688">
            <v>8010040823</v>
          </cell>
        </row>
        <row r="1688">
          <cell r="H1688">
            <v>82334</v>
          </cell>
        </row>
        <row r="1689">
          <cell r="C1689">
            <v>8010040824</v>
          </cell>
        </row>
        <row r="1689">
          <cell r="H1689">
            <v>78545</v>
          </cell>
        </row>
        <row r="1690">
          <cell r="C1690">
            <v>8010040825</v>
          </cell>
        </row>
        <row r="1690">
          <cell r="H1690">
            <v>78197</v>
          </cell>
        </row>
        <row r="1691">
          <cell r="C1691">
            <v>8010040826</v>
          </cell>
        </row>
        <row r="1691">
          <cell r="H1691">
            <v>84112</v>
          </cell>
        </row>
        <row r="1692">
          <cell r="C1692">
            <v>8010040827</v>
          </cell>
        </row>
        <row r="1692">
          <cell r="H1692">
            <v>96487</v>
          </cell>
        </row>
        <row r="1693">
          <cell r="C1693">
            <v>8010040828</v>
          </cell>
        </row>
        <row r="1693">
          <cell r="H1693">
            <v>70440</v>
          </cell>
        </row>
        <row r="1694">
          <cell r="C1694">
            <v>8010040829</v>
          </cell>
        </row>
        <row r="1694">
          <cell r="H1694">
            <v>128195</v>
          </cell>
        </row>
        <row r="1695">
          <cell r="C1695">
            <v>8010040830</v>
          </cell>
        </row>
        <row r="1695">
          <cell r="H1695">
            <v>135112</v>
          </cell>
        </row>
        <row r="1696">
          <cell r="C1696">
            <v>8010040831</v>
          </cell>
        </row>
        <row r="1696">
          <cell r="H1696">
            <v>132540</v>
          </cell>
        </row>
        <row r="1697">
          <cell r="C1697">
            <v>8010040832</v>
          </cell>
        </row>
        <row r="1697">
          <cell r="H1697">
            <v>170081</v>
          </cell>
        </row>
        <row r="1698">
          <cell r="C1698">
            <v>8010040833</v>
          </cell>
        </row>
        <row r="1698">
          <cell r="H1698">
            <v>176129</v>
          </cell>
        </row>
        <row r="1699">
          <cell r="C1699">
            <v>8010040834</v>
          </cell>
        </row>
        <row r="1699">
          <cell r="H1699">
            <v>168872</v>
          </cell>
        </row>
        <row r="1700">
          <cell r="C1700">
            <v>8010040835</v>
          </cell>
        </row>
        <row r="1700">
          <cell r="H1700">
            <v>237394</v>
          </cell>
        </row>
        <row r="1701">
          <cell r="C1701">
            <v>8010043391</v>
          </cell>
        </row>
        <row r="1701">
          <cell r="H1701">
            <v>447676</v>
          </cell>
        </row>
        <row r="1702">
          <cell r="C1702">
            <v>8010042755</v>
          </cell>
        </row>
        <row r="1702">
          <cell r="H1702">
            <v>672413</v>
          </cell>
        </row>
        <row r="1703">
          <cell r="C1703">
            <v>8010045489</v>
          </cell>
        </row>
        <row r="1703">
          <cell r="H1703">
            <v>2963224</v>
          </cell>
        </row>
        <row r="1704">
          <cell r="C1704">
            <v>8010044972</v>
          </cell>
        </row>
        <row r="1704">
          <cell r="H1704">
            <v>2226921</v>
          </cell>
        </row>
        <row r="1705">
          <cell r="C1705">
            <v>8010044503</v>
          </cell>
        </row>
        <row r="1705">
          <cell r="H1705">
            <v>12696</v>
          </cell>
        </row>
        <row r="1706">
          <cell r="C1706">
            <v>8010044504</v>
          </cell>
        </row>
        <row r="1706">
          <cell r="H1706">
            <v>34522</v>
          </cell>
        </row>
        <row r="1707">
          <cell r="C1707">
            <v>8010044689</v>
          </cell>
        </row>
        <row r="1707">
          <cell r="H1707">
            <v>832711</v>
          </cell>
        </row>
        <row r="1708">
          <cell r="C1708">
            <v>8010044690</v>
          </cell>
        </row>
        <row r="1708">
          <cell r="H1708">
            <v>1052924</v>
          </cell>
        </row>
        <row r="1709">
          <cell r="C1709">
            <v>8010044691</v>
          </cell>
        </row>
        <row r="1709">
          <cell r="H1709">
            <v>1504704</v>
          </cell>
        </row>
        <row r="1710">
          <cell r="C1710">
            <v>8010044698</v>
          </cell>
        </row>
        <row r="1710">
          <cell r="H1710">
            <v>658961</v>
          </cell>
        </row>
        <row r="1711">
          <cell r="C1711">
            <v>8010041409</v>
          </cell>
        </row>
        <row r="1711">
          <cell r="H1711">
            <v>20942</v>
          </cell>
        </row>
        <row r="1712">
          <cell r="C1712">
            <v>8010041542</v>
          </cell>
        </row>
        <row r="1712">
          <cell r="H1712">
            <v>28400</v>
          </cell>
        </row>
        <row r="1713">
          <cell r="C1713">
            <v>8010041543</v>
          </cell>
        </row>
        <row r="1713">
          <cell r="H1713">
            <v>188084</v>
          </cell>
        </row>
        <row r="1714">
          <cell r="C1714">
            <v>8010042238</v>
          </cell>
        </row>
        <row r="1714">
          <cell r="H1714">
            <v>15710</v>
          </cell>
        </row>
        <row r="1715">
          <cell r="C1715">
            <v>8010042982</v>
          </cell>
        </row>
        <row r="1715">
          <cell r="H1715">
            <v>75104</v>
          </cell>
        </row>
        <row r="1716">
          <cell r="C1716">
            <v>8010040695</v>
          </cell>
        </row>
        <row r="1716">
          <cell r="H1716">
            <v>253224</v>
          </cell>
        </row>
        <row r="1717">
          <cell r="C1717">
            <v>8010040696</v>
          </cell>
        </row>
        <row r="1717">
          <cell r="H1717">
            <v>442664</v>
          </cell>
        </row>
        <row r="1718">
          <cell r="C1718">
            <v>8010040694</v>
          </cell>
        </row>
        <row r="1718">
          <cell r="H1718">
            <v>250785</v>
          </cell>
        </row>
        <row r="1719">
          <cell r="C1719">
            <v>8010040691</v>
          </cell>
        </row>
        <row r="1719">
          <cell r="H1719">
            <v>67532</v>
          </cell>
        </row>
        <row r="1720">
          <cell r="C1720">
            <v>8010040692</v>
          </cell>
        </row>
        <row r="1720">
          <cell r="H1720">
            <v>106972</v>
          </cell>
        </row>
        <row r="1721">
          <cell r="C1721">
            <v>8010040693</v>
          </cell>
        </row>
        <row r="1721">
          <cell r="H1721">
            <v>143946</v>
          </cell>
        </row>
        <row r="1722">
          <cell r="C1722">
            <v>8010044466</v>
          </cell>
        </row>
        <row r="1722">
          <cell r="H1722">
            <v>1040835</v>
          </cell>
        </row>
        <row r="1723">
          <cell r="C1723">
            <v>8010042229</v>
          </cell>
        </row>
        <row r="1723">
          <cell r="H1723">
            <v>13158</v>
          </cell>
        </row>
        <row r="1724">
          <cell r="C1724">
            <v>8010040672</v>
          </cell>
        </row>
        <row r="1724">
          <cell r="H1724">
            <v>28855</v>
          </cell>
        </row>
        <row r="1725">
          <cell r="C1725">
            <v>8010040673</v>
          </cell>
        </row>
        <row r="1725">
          <cell r="H1725">
            <v>37094</v>
          </cell>
        </row>
        <row r="1726">
          <cell r="C1726">
            <v>8010040674</v>
          </cell>
        </row>
        <row r="1726">
          <cell r="H1726">
            <v>71181</v>
          </cell>
        </row>
        <row r="1727">
          <cell r="C1727">
            <v>8010040675</v>
          </cell>
        </row>
        <row r="1727">
          <cell r="H1727">
            <v>78973</v>
          </cell>
        </row>
        <row r="1728">
          <cell r="C1728">
            <v>8010040676</v>
          </cell>
        </row>
        <row r="1728">
          <cell r="H1728">
            <v>110159</v>
          </cell>
        </row>
        <row r="1729">
          <cell r="C1729">
            <v>8010040677</v>
          </cell>
        </row>
        <row r="1729">
          <cell r="H1729">
            <v>148785</v>
          </cell>
        </row>
        <row r="1730">
          <cell r="C1730">
            <v>8010040678</v>
          </cell>
        </row>
        <row r="1730">
          <cell r="H1730">
            <v>192628</v>
          </cell>
        </row>
        <row r="1731">
          <cell r="C1731">
            <v>8010040679</v>
          </cell>
        </row>
        <row r="1731">
          <cell r="H1731">
            <v>263241</v>
          </cell>
        </row>
        <row r="1732">
          <cell r="C1732">
            <v>8010040680</v>
          </cell>
        </row>
        <row r="1732">
          <cell r="H1732">
            <v>444910</v>
          </cell>
        </row>
        <row r="1733">
          <cell r="C1733">
            <v>8010040681</v>
          </cell>
        </row>
        <row r="1733">
          <cell r="H1733">
            <v>16278</v>
          </cell>
        </row>
        <row r="1734">
          <cell r="C1734">
            <v>8010040682</v>
          </cell>
        </row>
        <row r="1734">
          <cell r="H1734">
            <v>21558</v>
          </cell>
        </row>
        <row r="1735">
          <cell r="C1735">
            <v>8010044712</v>
          </cell>
        </row>
        <row r="1735">
          <cell r="H1735">
            <v>162015</v>
          </cell>
        </row>
        <row r="1736">
          <cell r="C1736">
            <v>8010044713</v>
          </cell>
        </row>
        <row r="1736">
          <cell r="H1736">
            <v>507470</v>
          </cell>
        </row>
        <row r="1737">
          <cell r="C1737">
            <v>8010044791</v>
          </cell>
        </row>
        <row r="1737">
          <cell r="H1737">
            <v>772562</v>
          </cell>
        </row>
        <row r="1738">
          <cell r="C1738">
            <v>8010044711</v>
          </cell>
        </row>
        <row r="1738">
          <cell r="H1738">
            <v>127194</v>
          </cell>
        </row>
        <row r="1739">
          <cell r="C1739">
            <v>8010044498</v>
          </cell>
        </row>
        <row r="1739">
          <cell r="H1739">
            <v>41705</v>
          </cell>
        </row>
        <row r="1740">
          <cell r="C1740">
            <v>8010044499</v>
          </cell>
        </row>
        <row r="1740">
          <cell r="H1740">
            <v>52450</v>
          </cell>
        </row>
        <row r="1741">
          <cell r="C1741">
            <v>8010044500</v>
          </cell>
        </row>
        <row r="1741">
          <cell r="H1741">
            <v>75605</v>
          </cell>
        </row>
        <row r="1742">
          <cell r="C1742">
            <v>8010044501</v>
          </cell>
        </row>
        <row r="1742">
          <cell r="H1742">
            <v>290699</v>
          </cell>
        </row>
        <row r="1743">
          <cell r="C1743">
            <v>8010044790</v>
          </cell>
        </row>
        <row r="1743">
          <cell r="H1743">
            <v>797000</v>
          </cell>
        </row>
        <row r="1744">
          <cell r="C1744">
            <v>8010044510</v>
          </cell>
        </row>
        <row r="1744">
          <cell r="H1744">
            <v>132045</v>
          </cell>
        </row>
        <row r="1745">
          <cell r="C1745">
            <v>8010044511</v>
          </cell>
        </row>
        <row r="1745">
          <cell r="H1745">
            <v>169299</v>
          </cell>
        </row>
        <row r="1746">
          <cell r="C1746">
            <v>8010044605</v>
          </cell>
        </row>
        <row r="1746">
          <cell r="H1746">
            <v>530932</v>
          </cell>
        </row>
        <row r="1747">
          <cell r="C1747">
            <v>8010044006</v>
          </cell>
        </row>
        <row r="1747">
          <cell r="H1747">
            <v>309009</v>
          </cell>
        </row>
        <row r="1748">
          <cell r="C1748">
            <v>8010043326</v>
          </cell>
        </row>
        <row r="1748">
          <cell r="H1748">
            <v>43182</v>
          </cell>
        </row>
        <row r="1749">
          <cell r="C1749">
            <v>8010043327</v>
          </cell>
        </row>
        <row r="1749">
          <cell r="H1749">
            <v>54568</v>
          </cell>
        </row>
        <row r="1750">
          <cell r="C1750">
            <v>8010043438</v>
          </cell>
        </row>
        <row r="1750">
          <cell r="H1750">
            <v>78291</v>
          </cell>
        </row>
        <row r="1751">
          <cell r="C1751">
            <v>8020035095</v>
          </cell>
        </row>
        <row r="1751">
          <cell r="H1751">
            <v>410678</v>
          </cell>
        </row>
        <row r="1752">
          <cell r="C1752">
            <v>8020035096</v>
          </cell>
        </row>
        <row r="1752">
          <cell r="H1752">
            <v>758859</v>
          </cell>
        </row>
        <row r="1753">
          <cell r="C1753">
            <v>8020035097</v>
          </cell>
        </row>
        <row r="1753">
          <cell r="H1753">
            <v>1024252</v>
          </cell>
        </row>
        <row r="1754">
          <cell r="C1754">
            <v>8020035144</v>
          </cell>
        </row>
        <row r="1754">
          <cell r="H1754">
            <v>1944403</v>
          </cell>
        </row>
        <row r="1755">
          <cell r="C1755">
            <v>8020035145</v>
          </cell>
        </row>
        <row r="1755">
          <cell r="H1755">
            <v>2254486</v>
          </cell>
        </row>
        <row r="1756">
          <cell r="C1756">
            <v>8020035098</v>
          </cell>
        </row>
        <row r="1756">
          <cell r="H1756">
            <v>466655</v>
          </cell>
        </row>
        <row r="1757">
          <cell r="C1757">
            <v>8020035099</v>
          </cell>
        </row>
        <row r="1757">
          <cell r="H1757">
            <v>902569</v>
          </cell>
        </row>
        <row r="1758">
          <cell r="C1758">
            <v>8020035100</v>
          </cell>
        </row>
        <row r="1758">
          <cell r="H1758">
            <v>1415843</v>
          </cell>
        </row>
        <row r="1759">
          <cell r="C1759">
            <v>8020035146</v>
          </cell>
        </row>
        <row r="1759">
          <cell r="H1759">
            <v>2325823</v>
          </cell>
        </row>
        <row r="1760">
          <cell r="C1760">
            <v>8020035147</v>
          </cell>
        </row>
        <row r="1760">
          <cell r="H1760">
            <v>3255025</v>
          </cell>
        </row>
        <row r="1761">
          <cell r="C1761">
            <v>8020035148</v>
          </cell>
        </row>
        <row r="1761">
          <cell r="H1761">
            <v>6232324</v>
          </cell>
        </row>
        <row r="1762">
          <cell r="C1762">
            <v>8020040806</v>
          </cell>
        </row>
        <row r="1762">
          <cell r="H1762">
            <v>9369</v>
          </cell>
        </row>
        <row r="1763">
          <cell r="C1763">
            <v>8020040635</v>
          </cell>
        </row>
        <row r="1763">
          <cell r="H1763">
            <v>25982</v>
          </cell>
        </row>
        <row r="1764">
          <cell r="C1764">
            <v>8020040638</v>
          </cell>
        </row>
        <row r="1764">
          <cell r="H1764">
            <v>61405</v>
          </cell>
        </row>
        <row r="1765">
          <cell r="C1765">
            <v>8020040706</v>
          </cell>
        </row>
        <row r="1765">
          <cell r="H1765">
            <v>86198</v>
          </cell>
        </row>
        <row r="1766">
          <cell r="C1766">
            <v>8020040709</v>
          </cell>
        </row>
        <row r="1766">
          <cell r="H1766">
            <v>130450</v>
          </cell>
        </row>
        <row r="1767">
          <cell r="C1767">
            <v>8020040256</v>
          </cell>
        </row>
        <row r="1767">
          <cell r="H1767">
            <v>183941</v>
          </cell>
        </row>
        <row r="1768">
          <cell r="C1768">
            <v>8020040805</v>
          </cell>
        </row>
        <row r="1768">
          <cell r="H1768">
            <v>7099</v>
          </cell>
        </row>
        <row r="1769">
          <cell r="C1769">
            <v>8020040634</v>
          </cell>
        </row>
        <row r="1769">
          <cell r="H1769">
            <v>18883</v>
          </cell>
        </row>
        <row r="1770">
          <cell r="C1770">
            <v>8020040636</v>
          </cell>
        </row>
        <row r="1770">
          <cell r="H1770">
            <v>52207</v>
          </cell>
        </row>
        <row r="1771">
          <cell r="C1771">
            <v>8020040707</v>
          </cell>
        </row>
        <row r="1771">
          <cell r="H1771">
            <v>59640</v>
          </cell>
        </row>
        <row r="1772">
          <cell r="C1772">
            <v>8020040708</v>
          </cell>
        </row>
        <row r="1772">
          <cell r="H1772">
            <v>98697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abSelected="1" view="pageBreakPreview" zoomScale="40" zoomScaleNormal="90" topLeftCell="C1" workbookViewId="0">
      <pane ySplit="2" topLeftCell="A3" activePane="bottomLeft" state="frozen"/>
      <selection/>
      <selection pane="bottomLeft" activeCell="T7" sqref="T7"/>
    </sheetView>
  </sheetViews>
  <sheetFormatPr defaultColWidth="9" defaultRowHeight="17.5"/>
  <cols>
    <col min="1" max="1" width="9" style="1" customWidth="1"/>
    <col min="2" max="2" width="39.5" style="6" customWidth="1"/>
    <col min="3" max="3" width="26.3" style="1" customWidth="1"/>
    <col min="4" max="4" width="13.7181818181818" style="1" customWidth="1"/>
    <col min="5" max="5" width="15.1454545454545" style="1" customWidth="1"/>
    <col min="6" max="6" width="15.9090909090909" style="1" customWidth="1"/>
    <col min="7" max="7" width="23.3" style="1" customWidth="1"/>
    <col min="8" max="8" width="45.4" style="7" customWidth="1"/>
    <col min="9" max="9" width="41.4454545454545" style="1" customWidth="1"/>
    <col min="10" max="10" width="16.9" style="1" customWidth="1"/>
    <col min="11" max="11" width="13.8454545454545" style="1" customWidth="1"/>
    <col min="12" max="12" width="11.0636363636364" style="8" customWidth="1"/>
    <col min="13" max="13" width="10.3545454545455" style="1" customWidth="1"/>
    <col min="14" max="14" width="22.5818181818182" style="9" customWidth="1"/>
    <col min="15" max="15" width="24.3454545454545" style="10" customWidth="1"/>
    <col min="16" max="16" width="21.7818181818182" style="1" customWidth="1"/>
    <col min="17" max="17" width="21.5090909090909" style="1" customWidth="1"/>
    <col min="18" max="18" width="18.0363636363636" style="11" customWidth="1"/>
    <col min="19" max="19" width="10.7272727272727" style="1"/>
    <col min="20" max="20" width="17.5454545454545" style="1" customWidth="1"/>
    <col min="21" max="21" width="14.7272727272727" style="1"/>
    <col min="22" max="23" width="9" style="1"/>
    <col min="24" max="24" width="11.5818181818182" style="1"/>
    <col min="25" max="16384" width="9" style="1"/>
  </cols>
  <sheetData>
    <row r="1" customFormat="1" ht="195" customHeight="1" spans="1:18">
      <c r="A1" s="12" t="s">
        <v>0</v>
      </c>
      <c r="B1" s="13"/>
      <c r="C1" s="13"/>
      <c r="D1" s="13"/>
      <c r="E1" s="13"/>
      <c r="F1" s="14"/>
      <c r="G1" s="15" t="s">
        <v>1</v>
      </c>
      <c r="H1" s="15"/>
      <c r="I1" s="15"/>
      <c r="J1" s="15"/>
      <c r="K1" s="15"/>
      <c r="L1" s="15"/>
      <c r="M1" s="15"/>
      <c r="N1" s="15"/>
      <c r="O1" s="56"/>
      <c r="P1" s="57" t="str">
        <f>_xlfn.DISPIMG("ID_2AB6C2DF03EC4B189D9084FA977CA6E6",1)</f>
        <v>=DISPIMG("ID_2AB6C2DF03EC4B189D9084FA977CA6E6",1)</v>
      </c>
      <c r="Q1" s="76"/>
      <c r="R1" s="77"/>
    </row>
    <row r="2" s="1" customFormat="1" ht="70" customHeight="1" spans="1:18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/>
      <c r="J2" s="16" t="s">
        <v>10</v>
      </c>
      <c r="K2" s="16" t="s">
        <v>11</v>
      </c>
      <c r="L2" s="58" t="s">
        <v>6</v>
      </c>
      <c r="M2" s="16" t="s">
        <v>12</v>
      </c>
      <c r="N2" s="59" t="s">
        <v>13</v>
      </c>
      <c r="O2" s="60" t="s">
        <v>14</v>
      </c>
      <c r="P2" s="16" t="s">
        <v>15</v>
      </c>
      <c r="Q2" s="78" t="s">
        <v>16</v>
      </c>
      <c r="R2" s="79" t="s">
        <v>17</v>
      </c>
    </row>
    <row r="3" s="2" customFormat="1" ht="65" customHeight="1" spans="1:18">
      <c r="A3" s="17">
        <v>1</v>
      </c>
      <c r="B3" s="18" t="s">
        <v>18</v>
      </c>
      <c r="C3" s="18" t="s">
        <v>19</v>
      </c>
      <c r="D3" s="18"/>
      <c r="E3" s="18">
        <v>3</v>
      </c>
      <c r="F3" s="19"/>
      <c r="G3" s="20" t="s">
        <v>20</v>
      </c>
      <c r="H3" s="21"/>
      <c r="I3" s="20"/>
      <c r="J3" s="20"/>
      <c r="K3" s="18"/>
      <c r="L3" s="18"/>
      <c r="M3" s="19"/>
      <c r="N3" s="61"/>
      <c r="O3" s="61"/>
      <c r="P3" s="61"/>
      <c r="Q3" s="20"/>
      <c r="R3" s="80"/>
    </row>
    <row r="4" s="3" customFormat="1" ht="65" customHeight="1" spans="1:21">
      <c r="A4" s="22">
        <v>2</v>
      </c>
      <c r="B4" s="23" t="s">
        <v>18</v>
      </c>
      <c r="C4" s="23" t="s">
        <v>21</v>
      </c>
      <c r="D4" s="18"/>
      <c r="E4" s="18">
        <v>12</v>
      </c>
      <c r="F4" s="19"/>
      <c r="G4" s="20">
        <v>8010071335</v>
      </c>
      <c r="H4" s="21" t="str">
        <f>VLOOKUP(G4,[1]LESSO管材!$C:$D,2,FALSE)</f>
        <v>法兰套(PPR 配件)印尼绿色 dn110 (4") 联塑</v>
      </c>
      <c r="I4" s="20" t="str">
        <f>VLOOKUP(G4,[1]LESSO管材!$C:$E,3,FALSE)</f>
        <v>PPR Stub Flange dn110 (4") Green(INA) - LESSO</v>
      </c>
      <c r="J4" s="20"/>
      <c r="K4" s="18" t="s">
        <v>22</v>
      </c>
      <c r="L4" s="18">
        <v>12</v>
      </c>
      <c r="M4" s="19" t="s">
        <v>23</v>
      </c>
      <c r="N4" s="61">
        <f>VLOOKUP(G4,[1]LESSO管材!$C:$L,10,FALSE)</f>
        <v>58843</v>
      </c>
      <c r="O4" s="61">
        <f>N4*L4</f>
        <v>706116</v>
      </c>
      <c r="P4" s="61"/>
      <c r="Q4" s="20"/>
      <c r="R4" s="80"/>
      <c r="S4" s="3" cm="1">
        <f t="array" ref="S4">INDEX([3]LESSO管材!$H:$H,MATCH(G4,[3]LESSO管材!$C:$C,0))</f>
        <v>52959</v>
      </c>
      <c r="T4" s="3">
        <f>S4*L4</f>
        <v>635508</v>
      </c>
      <c r="U4" s="81">
        <f>(O4-T4)/O4</f>
        <v>0.0999949016875414</v>
      </c>
    </row>
    <row r="5" s="3" customFormat="1" ht="65" customHeight="1" spans="1:21">
      <c r="A5" s="24"/>
      <c r="B5" s="25"/>
      <c r="C5" s="25"/>
      <c r="D5" s="18"/>
      <c r="E5" s="18"/>
      <c r="F5" s="19"/>
      <c r="G5" s="20" t="s">
        <v>24</v>
      </c>
      <c r="H5" s="21" t="str">
        <f>VLOOKUP(G5,[1]LESSO管材!$C:$D,2,FALSE)</f>
        <v>dn110 法兰（钢托盘）- DS</v>
      </c>
      <c r="I5" s="20" t="str">
        <f>VLOOKUP(G5,[1]LESSO管材!$C:$E,3,FALSE)</f>
        <v>dn110 Flange (Steel Tray) - DS</v>
      </c>
      <c r="J5" s="20"/>
      <c r="K5" s="18" t="s">
        <v>22</v>
      </c>
      <c r="L5" s="18">
        <v>12</v>
      </c>
      <c r="M5" s="19"/>
      <c r="N5" s="61">
        <f>VLOOKUP(G5,[1]LESSO管材!$C:$L,10,FALSE)</f>
        <v>141250</v>
      </c>
      <c r="O5" s="61">
        <f t="shared" ref="O5:O19" si="0">N5*L5</f>
        <v>1695000</v>
      </c>
      <c r="P5" s="61"/>
      <c r="Q5" s="20"/>
      <c r="R5" s="80"/>
      <c r="S5" s="3" cm="1">
        <f t="array" ref="S5">INDEX([3]LESSO管材!$H:$H,MATCH(G5,[3]LESSO管材!$C:$C,0))</f>
        <v>113000</v>
      </c>
      <c r="T5" s="3">
        <f t="shared" ref="T5:T19" si="1">S5*L5</f>
        <v>1356000</v>
      </c>
      <c r="U5" s="81">
        <f t="shared" ref="U5:U20" si="2">(O5-T5)/O5</f>
        <v>0.2</v>
      </c>
    </row>
    <row r="6" s="3" customFormat="1" ht="65" customHeight="1" spans="1:21">
      <c r="A6" s="24"/>
      <c r="B6" s="25"/>
      <c r="C6" s="25"/>
      <c r="D6" s="18"/>
      <c r="E6" s="18"/>
      <c r="F6" s="19"/>
      <c r="G6" s="20">
        <v>8010070747</v>
      </c>
      <c r="H6" s="21" t="str">
        <f>VLOOKUP(G6,[1]LESSO管材!$C:$D,2,FALSE)</f>
        <v>法兰橡胶垫圈(PPR 配件)黑色 dn110 (4") 联塑</v>
      </c>
      <c r="I6" s="20" t="str">
        <f>VLOOKUP(G6,[1]LESSO管材!$C:$E,3,FALSE)</f>
        <v>PPR Rubber Gasket dn110 (4") Black - LESSO</v>
      </c>
      <c r="J6" s="20"/>
      <c r="K6" s="18" t="s">
        <v>22</v>
      </c>
      <c r="L6" s="18">
        <v>12</v>
      </c>
      <c r="M6" s="19" t="s">
        <v>23</v>
      </c>
      <c r="N6" s="61">
        <f>VLOOKUP(G6,[1]LESSO管材!$C:$L,10,FALSE)</f>
        <v>7443</v>
      </c>
      <c r="O6" s="61">
        <f t="shared" si="0"/>
        <v>89316</v>
      </c>
      <c r="P6" s="61"/>
      <c r="Q6" s="20"/>
      <c r="R6" s="80"/>
      <c r="S6" s="3" cm="1">
        <f t="array" ref="S6">INDEX([3]LESSO管材!$H:$H,MATCH(G6,[3]LESSO管材!$C:$C,0))</f>
        <v>6699</v>
      </c>
      <c r="T6" s="3">
        <f t="shared" si="1"/>
        <v>80388</v>
      </c>
      <c r="U6" s="81">
        <f t="shared" si="2"/>
        <v>0.0999596936719065</v>
      </c>
    </row>
    <row r="7" s="3" customFormat="1" ht="65" customHeight="1" spans="1:21">
      <c r="A7" s="26"/>
      <c r="B7" s="27"/>
      <c r="C7" s="27"/>
      <c r="D7" s="18"/>
      <c r="E7" s="18"/>
      <c r="F7" s="19"/>
      <c r="G7" s="87" t="s">
        <v>25</v>
      </c>
      <c r="H7" s="21" t="str">
        <f>VLOOKUP(G7,[1]LESSO管材!$C:$D,2,FALSE)</f>
        <v>4.8级镀锌（一套8个螺栓）</v>
      </c>
      <c r="I7" s="20" t="str">
        <f>VLOOKUP(G7,[1]LESSO管材!$C:$E,3,FALSE)</f>
        <v>4.8 hex bolt+nut  M16 X 100 MM (dn90, dn110) (Galvanis)</v>
      </c>
      <c r="J7" s="20"/>
      <c r="K7" s="18" t="s">
        <v>22</v>
      </c>
      <c r="L7" s="18">
        <f>12*8</f>
        <v>96</v>
      </c>
      <c r="M7" s="19"/>
      <c r="N7" s="61">
        <f>VLOOKUP(G7,[1]LESSO管材!$C:$L,10,FALSE)</f>
        <v>9440</v>
      </c>
      <c r="O7" s="61">
        <f t="shared" si="0"/>
        <v>906240</v>
      </c>
      <c r="P7" s="61"/>
      <c r="Q7" s="20"/>
      <c r="R7" s="80"/>
      <c r="S7" s="3" cm="1">
        <f t="array" ref="S7">INDEX([3]LESSO管材!$H:$H,MATCH(G7,[3]LESSO管材!$C:$C,0))</f>
        <v>4720</v>
      </c>
      <c r="T7" s="3">
        <f t="shared" si="1"/>
        <v>453120</v>
      </c>
      <c r="U7" s="81">
        <f t="shared" si="2"/>
        <v>0.5</v>
      </c>
    </row>
    <row r="8" s="3" customFormat="1" ht="65" customHeight="1" spans="1:21">
      <c r="A8" s="22">
        <v>3</v>
      </c>
      <c r="B8" s="23" t="s">
        <v>18</v>
      </c>
      <c r="C8" s="18" t="s">
        <v>26</v>
      </c>
      <c r="D8" s="18"/>
      <c r="E8" s="18">
        <v>6</v>
      </c>
      <c r="F8" s="19"/>
      <c r="G8" s="20">
        <v>8010071332</v>
      </c>
      <c r="H8" s="21" t="str">
        <f>VLOOKUP(G8,[1]LESSO管材!$C:$D,2,FALSE)</f>
        <v>法兰套(PPR 配件)印尼绿色 dn50 (1-1/2") 联塑</v>
      </c>
      <c r="I8" s="20" t="str">
        <f>VLOOKUP(G8,[1]LESSO管材!$C:$E,3,FALSE)</f>
        <v>PPR Stub Flange dn50 (1-1/2") Green(INA) - LESSO</v>
      </c>
      <c r="J8" s="20"/>
      <c r="K8" s="18" t="s">
        <v>22</v>
      </c>
      <c r="L8" s="18">
        <v>6</v>
      </c>
      <c r="M8" s="19" t="s">
        <v>23</v>
      </c>
      <c r="N8" s="61">
        <f>VLOOKUP(G8,[1]LESSO管材!$C:$L,10,FALSE)</f>
        <v>9558</v>
      </c>
      <c r="O8" s="61">
        <f t="shared" si="0"/>
        <v>57348</v>
      </c>
      <c r="P8" s="61"/>
      <c r="Q8" s="20"/>
      <c r="R8" s="80"/>
      <c r="S8" s="3" cm="1">
        <f t="array" ref="S8">INDEX([3]LESSO管材!$H:$H,MATCH(G8,[3]LESSO管材!$C:$C,0))</f>
        <v>8602</v>
      </c>
      <c r="T8" s="3">
        <f t="shared" si="1"/>
        <v>51612</v>
      </c>
      <c r="U8" s="81">
        <f t="shared" si="2"/>
        <v>0.100020924879682</v>
      </c>
    </row>
    <row r="9" s="3" customFormat="1" ht="65" customHeight="1" spans="1:21">
      <c r="A9" s="24"/>
      <c r="B9" s="25"/>
      <c r="C9" s="18"/>
      <c r="D9" s="18"/>
      <c r="E9" s="18"/>
      <c r="F9" s="19"/>
      <c r="G9" s="20" t="s">
        <v>27</v>
      </c>
      <c r="H9" s="21" t="str">
        <f>VLOOKUP(G9,[1]LESSO管材!$C:$D,2,FALSE)</f>
        <v>dn50 法兰（钢托盘）- DS</v>
      </c>
      <c r="I9" s="20" t="str">
        <f>VLOOKUP(G9,[1]LESSO管材!$C:$E,3,FALSE)</f>
        <v>dn50 Flange (Steel Tray) - DS</v>
      </c>
      <c r="J9" s="20"/>
      <c r="K9" s="18" t="s">
        <v>22</v>
      </c>
      <c r="L9" s="18">
        <v>6</v>
      </c>
      <c r="M9" s="19"/>
      <c r="N9" s="61">
        <f>VLOOKUP(G9,[1]LESSO管材!$C:$L,10,FALSE)</f>
        <v>49375</v>
      </c>
      <c r="O9" s="61">
        <f t="shared" si="0"/>
        <v>296250</v>
      </c>
      <c r="P9" s="61"/>
      <c r="Q9" s="20"/>
      <c r="R9" s="80"/>
      <c r="S9" s="3" cm="1">
        <f t="array" ref="S9">INDEX([3]LESSO管材!$H:$H,MATCH(G9,[3]LESSO管材!$C:$C,0))</f>
        <v>39500</v>
      </c>
      <c r="T9" s="3">
        <f t="shared" si="1"/>
        <v>237000</v>
      </c>
      <c r="U9" s="81">
        <f t="shared" si="2"/>
        <v>0.2</v>
      </c>
    </row>
    <row r="10" s="3" customFormat="1" ht="65" customHeight="1" spans="1:21">
      <c r="A10" s="24"/>
      <c r="B10" s="25"/>
      <c r="C10" s="18"/>
      <c r="D10" s="18"/>
      <c r="E10" s="18"/>
      <c r="F10" s="19"/>
      <c r="G10" s="20">
        <v>8010070750</v>
      </c>
      <c r="H10" s="21" t="str">
        <f>VLOOKUP(G10,[1]LESSO管材!$C:$D,2,FALSE)</f>
        <v>法兰橡胶垫圈(PPR 配件)黑色 dn50 (1-1/2") 联塑</v>
      </c>
      <c r="I10" s="20" t="str">
        <f>VLOOKUP(G10,[1]LESSO管材!$C:$E,3,FALSE)</f>
        <v>PPR Rubber Gasket dn50 (1-1/2") Black - LESSO</v>
      </c>
      <c r="J10" s="20"/>
      <c r="K10" s="18" t="s">
        <v>22</v>
      </c>
      <c r="L10" s="18">
        <v>6</v>
      </c>
      <c r="M10" s="19" t="s">
        <v>23</v>
      </c>
      <c r="N10" s="61">
        <f>VLOOKUP(G10,[1]LESSO管材!$C:$L,10,FALSE)</f>
        <v>3915</v>
      </c>
      <c r="O10" s="61">
        <f t="shared" si="0"/>
        <v>23490</v>
      </c>
      <c r="P10" s="61"/>
      <c r="Q10" s="20"/>
      <c r="R10" s="80"/>
      <c r="S10" s="3" cm="1">
        <f t="array" ref="S10">INDEX([3]LESSO管材!$H:$H,MATCH(G10,[3]LESSO管材!$C:$C,0))</f>
        <v>3132</v>
      </c>
      <c r="T10" s="3">
        <f t="shared" si="1"/>
        <v>18792</v>
      </c>
      <c r="U10" s="81">
        <f t="shared" si="2"/>
        <v>0.2</v>
      </c>
    </row>
    <row r="11" s="3" customFormat="1" ht="65" customHeight="1" spans="1:21">
      <c r="A11" s="26"/>
      <c r="B11" s="27"/>
      <c r="C11" s="18"/>
      <c r="D11" s="18"/>
      <c r="E11" s="18"/>
      <c r="F11" s="19"/>
      <c r="G11" s="87" t="s">
        <v>28</v>
      </c>
      <c r="H11" s="21" t="str">
        <f>VLOOKUP(G11,[1]LESSO管材!$C:$D,2,FALSE)</f>
        <v>4.8级镀锌（一套4个螺栓）</v>
      </c>
      <c r="I11" s="20" t="str">
        <f>VLOOKUP(G11,[1]LESSO管材!$C:$E,3,FALSE)</f>
        <v>4.8 hex bolt+nut  M16 X 80 MM (dn40,50,63,75) (Galvanis)</v>
      </c>
      <c r="J11" s="20"/>
      <c r="K11" s="18" t="s">
        <v>22</v>
      </c>
      <c r="L11" s="18">
        <v>24</v>
      </c>
      <c r="M11" s="19"/>
      <c r="N11" s="61">
        <f>VLOOKUP(G11,[1]LESSO管材!$C:$L,10,FALSE)</f>
        <v>8100</v>
      </c>
      <c r="O11" s="61">
        <f t="shared" si="0"/>
        <v>194400</v>
      </c>
      <c r="P11" s="61"/>
      <c r="Q11" s="20"/>
      <c r="R11" s="80"/>
      <c r="S11" s="3" cm="1">
        <f t="array" ref="S11">INDEX([3]LESSO管材!$H:$H,MATCH(G11,[3]LESSO管材!$C:$C,0))</f>
        <v>4050</v>
      </c>
      <c r="T11" s="3">
        <f t="shared" si="1"/>
        <v>97200</v>
      </c>
      <c r="U11" s="81">
        <f t="shared" si="2"/>
        <v>0.5</v>
      </c>
    </row>
    <row r="12" s="3" customFormat="1" ht="65" customHeight="1" spans="1:21">
      <c r="A12" s="22">
        <v>4</v>
      </c>
      <c r="B12" s="23" t="s">
        <v>18</v>
      </c>
      <c r="C12" s="18" t="s">
        <v>29</v>
      </c>
      <c r="D12" s="18"/>
      <c r="E12" s="18">
        <v>6</v>
      </c>
      <c r="F12" s="19"/>
      <c r="G12" s="20">
        <v>8010071331</v>
      </c>
      <c r="H12" s="21" t="str">
        <f>VLOOKUP(G12,[1]LESSO管材!$C:$D,2,FALSE)</f>
        <v>法兰套(PPR 配件)印尼绿色 dn40 (1-1/4") 联塑</v>
      </c>
      <c r="I12" s="20" t="str">
        <f>VLOOKUP(G12,[1]LESSO管材!$C:$E,3,FALSE)</f>
        <v>PPR Stub Flange dn40 (1-1/4") Green(INA) - LESSO</v>
      </c>
      <c r="J12" s="20"/>
      <c r="K12" s="18" t="s">
        <v>22</v>
      </c>
      <c r="L12" s="18">
        <v>6</v>
      </c>
      <c r="M12" s="19" t="s">
        <v>23</v>
      </c>
      <c r="N12" s="61">
        <f>VLOOKUP(G12,[1]LESSO管材!$C:$L,10,FALSE)</f>
        <v>6562</v>
      </c>
      <c r="O12" s="61">
        <f t="shared" si="0"/>
        <v>39372</v>
      </c>
      <c r="P12" s="61"/>
      <c r="Q12" s="20"/>
      <c r="R12" s="80"/>
      <c r="S12" s="3" cm="1">
        <f t="array" ref="S12">INDEX([3]LESSO管材!$H:$H,MATCH(G12,[3]LESSO管材!$C:$C,0))</f>
        <v>5906</v>
      </c>
      <c r="T12" s="3">
        <f t="shared" si="1"/>
        <v>35436</v>
      </c>
      <c r="U12" s="81">
        <f t="shared" si="2"/>
        <v>0.0999695214873514</v>
      </c>
    </row>
    <row r="13" s="3" customFormat="1" ht="65" customHeight="1" spans="1:21">
      <c r="A13" s="24"/>
      <c r="B13" s="25"/>
      <c r="C13" s="18"/>
      <c r="D13" s="18"/>
      <c r="E13" s="18"/>
      <c r="F13" s="19"/>
      <c r="G13" s="20" t="s">
        <v>30</v>
      </c>
      <c r="H13" s="21" t="str">
        <f>VLOOKUP(G13,[1]LESSO管材!$C:$D,2,FALSE)</f>
        <v>dn40 法兰（钢托盘）- DS</v>
      </c>
      <c r="I13" s="20" t="str">
        <f>VLOOKUP(G13,[1]LESSO管材!$C:$E,3,FALSE)</f>
        <v>dn40 Flange (Steel Tray) - DS</v>
      </c>
      <c r="J13" s="20"/>
      <c r="K13" s="18" t="s">
        <v>22</v>
      </c>
      <c r="L13" s="18">
        <v>6</v>
      </c>
      <c r="M13" s="19"/>
      <c r="N13" s="61">
        <f>VLOOKUP(G13,[1]LESSO管材!$C:$L,10,FALSE)</f>
        <v>41875</v>
      </c>
      <c r="O13" s="61">
        <f t="shared" si="0"/>
        <v>251250</v>
      </c>
      <c r="P13" s="61"/>
      <c r="Q13" s="20"/>
      <c r="R13" s="80"/>
      <c r="S13" s="3" cm="1">
        <f t="array" ref="S13">INDEX([3]LESSO管材!$H:$H,MATCH(G13,[3]LESSO管材!$C:$C,0))</f>
        <v>33500</v>
      </c>
      <c r="T13" s="3">
        <f t="shared" si="1"/>
        <v>201000</v>
      </c>
      <c r="U13" s="81">
        <f t="shared" si="2"/>
        <v>0.2</v>
      </c>
    </row>
    <row r="14" s="3" customFormat="1" ht="65" customHeight="1" spans="1:21">
      <c r="A14" s="24"/>
      <c r="B14" s="25"/>
      <c r="C14" s="18"/>
      <c r="D14" s="18"/>
      <c r="E14" s="18"/>
      <c r="F14" s="19"/>
      <c r="G14" s="20">
        <v>8010070749</v>
      </c>
      <c r="H14" s="21" t="str">
        <f>VLOOKUP(G14,[1]LESSO管材!$C:$D,2,FALSE)</f>
        <v>法兰橡胶垫圈(PPR 配件)黑色 dn40 (1-1/4") 联塑</v>
      </c>
      <c r="I14" s="20" t="str">
        <f>VLOOKUP(G14,[1]LESSO管材!$C:$E,3,FALSE)</f>
        <v>PPR Rubber Gasket dn40 (1-1/4") Black - LESSO</v>
      </c>
      <c r="J14" s="20"/>
      <c r="K14" s="18" t="s">
        <v>22</v>
      </c>
      <c r="L14" s="18">
        <v>6</v>
      </c>
      <c r="M14" s="19" t="s">
        <v>23</v>
      </c>
      <c r="N14" s="61">
        <f>VLOOKUP(G14,[1]LESSO管材!$C:$L,10,FALSE)</f>
        <v>2081</v>
      </c>
      <c r="O14" s="61">
        <f t="shared" si="0"/>
        <v>12486</v>
      </c>
      <c r="P14" s="61"/>
      <c r="Q14" s="20"/>
      <c r="R14" s="80"/>
      <c r="S14" s="3" cm="1">
        <f t="array" ref="S14">INDEX([3]LESSO管材!$H:$H,MATCH(G14,[3]LESSO管材!$C:$C,0))</f>
        <v>1665</v>
      </c>
      <c r="T14" s="3">
        <f t="shared" si="1"/>
        <v>9990</v>
      </c>
      <c r="U14" s="81">
        <f t="shared" si="2"/>
        <v>0.199903892359443</v>
      </c>
    </row>
    <row r="15" s="3" customFormat="1" ht="65" customHeight="1" spans="1:21">
      <c r="A15" s="26"/>
      <c r="B15" s="27"/>
      <c r="C15" s="18"/>
      <c r="D15" s="18"/>
      <c r="E15" s="18"/>
      <c r="F15" s="19"/>
      <c r="G15" s="87" t="s">
        <v>28</v>
      </c>
      <c r="H15" s="21" t="str">
        <f>VLOOKUP(G15,[1]LESSO管材!$C:$D,2,FALSE)</f>
        <v>4.8级镀锌（一套4个螺栓）</v>
      </c>
      <c r="I15" s="20" t="str">
        <f>VLOOKUP(G15,[1]LESSO管材!$C:$E,3,FALSE)</f>
        <v>4.8 hex bolt+nut  M16 X 80 MM (dn40,50,63,75) (Galvanis)</v>
      </c>
      <c r="J15" s="20"/>
      <c r="K15" s="18" t="s">
        <v>22</v>
      </c>
      <c r="L15" s="18">
        <v>24</v>
      </c>
      <c r="M15" s="19"/>
      <c r="N15" s="61">
        <f>VLOOKUP(G15,[1]LESSO管材!$C:$L,10,FALSE)</f>
        <v>8100</v>
      </c>
      <c r="O15" s="61">
        <f t="shared" si="0"/>
        <v>194400</v>
      </c>
      <c r="P15" s="61"/>
      <c r="Q15" s="20"/>
      <c r="R15" s="80"/>
      <c r="S15" s="3" cm="1">
        <f t="array" ref="S15">INDEX([3]LESSO管材!$H:$H,MATCH(G15,[3]LESSO管材!$C:$C,0))</f>
        <v>4050</v>
      </c>
      <c r="T15" s="3">
        <f t="shared" si="1"/>
        <v>97200</v>
      </c>
      <c r="U15" s="81">
        <f t="shared" si="2"/>
        <v>0.5</v>
      </c>
    </row>
    <row r="16" s="3" customFormat="1" ht="65" customHeight="1" spans="1:21">
      <c r="A16" s="17">
        <v>5</v>
      </c>
      <c r="B16" s="18" t="s">
        <v>31</v>
      </c>
      <c r="C16" s="18" t="s">
        <v>32</v>
      </c>
      <c r="D16" s="18" t="s">
        <v>22</v>
      </c>
      <c r="E16" s="18">
        <v>3</v>
      </c>
      <c r="F16" s="19"/>
      <c r="G16" s="20" t="s">
        <v>20</v>
      </c>
      <c r="H16" s="21"/>
      <c r="I16" s="20"/>
      <c r="J16" s="20"/>
      <c r="K16" s="18"/>
      <c r="L16" s="18"/>
      <c r="M16" s="19"/>
      <c r="N16" s="61"/>
      <c r="O16" s="61"/>
      <c r="P16" s="61"/>
      <c r="Q16" s="20"/>
      <c r="R16" s="80"/>
      <c r="S16" s="3"/>
      <c r="T16" s="3"/>
      <c r="U16" s="81"/>
    </row>
    <row r="17" s="3" customFormat="1" ht="65" customHeight="1" spans="1:21">
      <c r="A17" s="17">
        <v>6</v>
      </c>
      <c r="B17" s="18" t="s">
        <v>31</v>
      </c>
      <c r="C17" s="18" t="s">
        <v>33</v>
      </c>
      <c r="D17" s="18" t="s">
        <v>22</v>
      </c>
      <c r="E17" s="18">
        <v>1</v>
      </c>
      <c r="F17" s="19"/>
      <c r="G17" s="20">
        <v>8010071454</v>
      </c>
      <c r="H17" s="21" t="str">
        <f>VLOOKUP(G17,[1]LESSO管材!$C:$D,2,FALSE)</f>
        <v>异径套(PPR 配件)印尼绿色 dn50x40 (1-1/2"x1-1/4") 联塑</v>
      </c>
      <c r="I17" s="20" t="str">
        <f>VLOOKUP(G17,[1]LESSO管材!$C:$E,3,FALSE)</f>
        <v>PPR Reducer dn50x40 (1-1/2"x1-1/4") Green(INA) - LESSO</v>
      </c>
      <c r="J17" s="20"/>
      <c r="K17" s="18" t="s">
        <v>22</v>
      </c>
      <c r="L17" s="18">
        <v>1</v>
      </c>
      <c r="M17" s="19" t="s">
        <v>23</v>
      </c>
      <c r="N17" s="61">
        <f>VLOOKUP(G17,[1]LESSO管材!$C:$L,10,FALSE)</f>
        <v>7443</v>
      </c>
      <c r="O17" s="61">
        <f t="shared" si="0"/>
        <v>7443</v>
      </c>
      <c r="P17" s="61"/>
      <c r="Q17" s="20"/>
      <c r="R17" s="80"/>
      <c r="S17" s="3" cm="1">
        <f t="array" ref="S17">INDEX([3]LESSO管材!$H:$H,MATCH(G17,[3]LESSO管材!$C:$C,0))</f>
        <v>6699</v>
      </c>
      <c r="T17" s="3">
        <f t="shared" si="1"/>
        <v>6699</v>
      </c>
      <c r="U17" s="81">
        <f t="shared" si="2"/>
        <v>0.0999596936719065</v>
      </c>
    </row>
    <row r="18" s="3" customFormat="1" ht="65" customHeight="1" spans="1:21">
      <c r="A18" s="17">
        <v>7</v>
      </c>
      <c r="B18" s="18" t="s">
        <v>34</v>
      </c>
      <c r="C18" s="18" t="s">
        <v>21</v>
      </c>
      <c r="D18" s="18" t="s">
        <v>22</v>
      </c>
      <c r="E18" s="18">
        <v>1</v>
      </c>
      <c r="F18" s="19"/>
      <c r="G18" s="20" t="s">
        <v>20</v>
      </c>
      <c r="H18" s="21"/>
      <c r="I18" s="20"/>
      <c r="J18" s="20"/>
      <c r="K18" s="18"/>
      <c r="L18" s="18"/>
      <c r="M18" s="19"/>
      <c r="N18" s="61"/>
      <c r="O18" s="61"/>
      <c r="P18" s="61"/>
      <c r="Q18" s="20"/>
      <c r="R18" s="80"/>
      <c r="S18" s="3"/>
      <c r="T18" s="3"/>
      <c r="U18" s="81"/>
    </row>
    <row r="19" s="3" customFormat="1" ht="65" customHeight="1" spans="1:21">
      <c r="A19" s="17">
        <v>8</v>
      </c>
      <c r="B19" s="18" t="s">
        <v>35</v>
      </c>
      <c r="C19" s="18" t="s">
        <v>36</v>
      </c>
      <c r="D19" s="18" t="s">
        <v>22</v>
      </c>
      <c r="E19" s="18">
        <v>30</v>
      </c>
      <c r="F19" s="19"/>
      <c r="G19" s="20">
        <v>8010071401</v>
      </c>
      <c r="H19" s="21" t="str">
        <f>VLOOKUP(G19,[1]LESSO管材!$C:$D,2,FALSE)</f>
        <v>90°弯头(PPR 配件)印尼绿色 dn20 (1/2") 联塑</v>
      </c>
      <c r="I19" s="20" t="str">
        <f>VLOOKUP(G19,[1]LESSO管材!$C:$E,3,FALSE)</f>
        <v>PPR 90° Elbow dn20 (1/2") Green(INA) - LESSO</v>
      </c>
      <c r="J19" s="20"/>
      <c r="K19" s="18" t="s">
        <v>22</v>
      </c>
      <c r="L19" s="18">
        <v>30</v>
      </c>
      <c r="M19" s="19" t="s">
        <v>23</v>
      </c>
      <c r="N19" s="61">
        <f>VLOOKUP(G19,[1]LESSO管材!$C:$L,10,FALSE)</f>
        <v>1233</v>
      </c>
      <c r="O19" s="61">
        <f t="shared" si="0"/>
        <v>36990</v>
      </c>
      <c r="P19" s="61"/>
      <c r="Q19" s="20"/>
      <c r="R19" s="80"/>
      <c r="S19" s="3" cm="1">
        <f t="array" ref="S19">INDEX([3]LESSO管材!$H:$H,MATCH(G19,[3]LESSO管材!$C:$C,0))</f>
        <v>1110</v>
      </c>
      <c r="T19" s="3">
        <f t="shared" si="1"/>
        <v>33300</v>
      </c>
      <c r="U19" s="81">
        <f t="shared" si="2"/>
        <v>0.0997566909975669</v>
      </c>
    </row>
    <row r="20" s="3" customFormat="1" ht="65" customHeight="1" spans="1:21">
      <c r="A20" s="28" t="s">
        <v>37</v>
      </c>
      <c r="B20" s="20"/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62"/>
      <c r="O20" s="63">
        <f>SUM(O3:O19)</f>
        <v>4510101</v>
      </c>
      <c r="P20" s="63"/>
      <c r="Q20" s="82"/>
      <c r="R20" s="80"/>
      <c r="T20" s="63">
        <f>SUM(T3:T19)</f>
        <v>3313245</v>
      </c>
      <c r="U20" s="81">
        <f t="shared" si="2"/>
        <v>0.265372327582021</v>
      </c>
    </row>
    <row r="21" s="3" customFormat="1" ht="65" customHeight="1" spans="1:18">
      <c r="A21" s="28" t="s">
        <v>38</v>
      </c>
      <c r="B21" s="20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64"/>
      <c r="O21" s="63">
        <f>O20*0.11</f>
        <v>496111.11</v>
      </c>
      <c r="P21" s="65"/>
      <c r="Q21" s="83"/>
      <c r="R21" s="82"/>
    </row>
    <row r="22" s="3" customFormat="1" ht="65" customHeight="1" spans="1:18">
      <c r="A22" s="33" t="s">
        <v>39</v>
      </c>
      <c r="B22" s="34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64"/>
      <c r="O22" s="63">
        <f>N22*L22</f>
        <v>0</v>
      </c>
      <c r="P22" s="65"/>
      <c r="Q22" s="83"/>
      <c r="R22" s="82"/>
    </row>
    <row r="23" s="3" customFormat="1" ht="60" customHeight="1" spans="1:18">
      <c r="A23" s="28" t="s">
        <v>40</v>
      </c>
      <c r="B23" s="20"/>
      <c r="C23" s="35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66"/>
      <c r="O23" s="63">
        <f>SUM(O20:O22)</f>
        <v>5006212.11</v>
      </c>
      <c r="P23" s="67"/>
      <c r="Q23" s="84"/>
      <c r="R23" s="84"/>
    </row>
    <row r="24" s="3" customFormat="1" ht="60" customHeight="1" spans="1:18">
      <c r="A24" s="33" t="s">
        <v>41</v>
      </c>
      <c r="B24" s="34"/>
      <c r="C24" s="35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66"/>
    </row>
    <row r="25" s="1" customFormat="1" ht="60" customHeight="1" spans="1:18">
      <c r="A25" s="37" t="s">
        <v>42</v>
      </c>
      <c r="B25" s="38"/>
      <c r="C25" s="39"/>
      <c r="D25" s="39"/>
      <c r="E25" s="39"/>
      <c r="F25" s="39"/>
      <c r="G25" s="39"/>
      <c r="H25" s="40"/>
      <c r="I25" s="39"/>
      <c r="J25" s="39"/>
      <c r="K25" s="39"/>
      <c r="L25" s="68"/>
      <c r="M25" s="39"/>
      <c r="N25" s="69"/>
      <c r="O25" s="70"/>
      <c r="P25" s="39"/>
      <c r="Q25" s="39"/>
      <c r="R25" s="85"/>
    </row>
    <row r="26" s="1" customFormat="1" ht="60" customHeight="1" spans="1:18">
      <c r="A26" s="37" t="s">
        <v>43</v>
      </c>
      <c r="B26" s="38"/>
      <c r="C26" s="39"/>
      <c r="D26" s="39"/>
      <c r="E26" s="39"/>
      <c r="F26" s="39"/>
      <c r="G26" s="39"/>
      <c r="H26" s="40"/>
      <c r="I26" s="39"/>
      <c r="J26" s="39"/>
      <c r="K26" s="39"/>
      <c r="L26" s="68"/>
      <c r="M26" s="39"/>
      <c r="N26" s="69"/>
      <c r="O26" s="70"/>
      <c r="P26" s="39"/>
      <c r="Q26" s="39"/>
      <c r="R26" s="85"/>
    </row>
    <row r="27" s="1" customFormat="1" ht="60" customHeight="1" spans="1:18">
      <c r="A27" s="41" t="s">
        <v>44</v>
      </c>
      <c r="B27" s="38"/>
      <c r="C27" s="41"/>
      <c r="D27" s="41"/>
      <c r="E27" s="41"/>
      <c r="F27" s="41"/>
      <c r="G27" s="41"/>
      <c r="H27" s="41"/>
      <c r="I27" s="41"/>
      <c r="J27" s="41" t="s">
        <v>45</v>
      </c>
      <c r="K27" s="41"/>
      <c r="L27" s="71" t="s">
        <v>46</v>
      </c>
      <c r="M27" s="71"/>
      <c r="N27" s="72"/>
      <c r="O27" s="72"/>
      <c r="P27" s="71"/>
      <c r="Q27" s="71"/>
      <c r="R27" s="72"/>
    </row>
    <row r="28" s="1" customFormat="1" ht="70" customHeight="1" spans="1:18">
      <c r="A28" s="42" t="s">
        <v>47</v>
      </c>
      <c r="B28" s="43"/>
      <c r="C28" s="44"/>
      <c r="D28" s="44"/>
      <c r="E28" s="44"/>
      <c r="F28" s="44"/>
      <c r="G28" s="44"/>
      <c r="H28" s="44"/>
      <c r="I28" s="42"/>
      <c r="J28" s="42" t="s">
        <v>48</v>
      </c>
      <c r="K28" s="42"/>
      <c r="L28" s="73"/>
      <c r="M28" s="74"/>
      <c r="N28" s="75"/>
      <c r="O28" s="74"/>
      <c r="P28" s="74"/>
      <c r="Q28" s="74"/>
      <c r="R28" s="86"/>
    </row>
    <row r="29" s="4" customFormat="1" ht="22" customHeight="1" spans="1:18">
      <c r="A29" s="45" t="s">
        <v>49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</row>
    <row r="30" s="4" customFormat="1" ht="27" customHeight="1" spans="1:18">
      <c r="A30" s="46" t="s">
        <v>50</v>
      </c>
      <c r="B30" s="46" t="s">
        <v>51</v>
      </c>
      <c r="C30" s="46" t="s">
        <v>52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</row>
    <row r="31" s="4" customFormat="1" ht="27" customHeight="1" spans="1:18">
      <c r="A31" s="46">
        <v>1</v>
      </c>
      <c r="B31" s="47" t="s">
        <v>53</v>
      </c>
      <c r="C31" s="48" t="s">
        <v>54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</row>
    <row r="32" s="4" customFormat="1" ht="27" customHeight="1" spans="1:18">
      <c r="A32" s="46">
        <v>2</v>
      </c>
      <c r="B32" s="46" t="s">
        <v>55</v>
      </c>
      <c r="C32" s="49" t="s">
        <v>56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="4" customFormat="1" ht="27" customHeight="1" spans="1:18">
      <c r="A33" s="46">
        <v>3</v>
      </c>
      <c r="B33" s="46" t="s">
        <v>57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s="4" customFormat="1" ht="27" customHeight="1" spans="1:18">
      <c r="A34" s="46">
        <v>4</v>
      </c>
      <c r="B34" s="46" t="s">
        <v>58</v>
      </c>
      <c r="C34" s="51" t="s">
        <v>59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="4" customFormat="1" ht="27" customHeight="1" spans="1:18">
      <c r="A35" s="46">
        <v>5</v>
      </c>
      <c r="B35" s="46" t="s">
        <v>60</v>
      </c>
      <c r="C35" s="50" t="s">
        <v>61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="4" customFormat="1" ht="27" customHeight="1" spans="1:18">
      <c r="A36" s="46"/>
      <c r="B36" s="46" t="s">
        <v>62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s="4" customFormat="1" ht="27" customHeight="1" spans="1:18">
      <c r="A37" s="46"/>
      <c r="B37" s="46" t="s">
        <v>63</v>
      </c>
      <c r="C37" s="52" t="s">
        <v>64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="4" customFormat="1" ht="27" customHeight="1" spans="1:18">
      <c r="A38" s="46"/>
      <c r="B38" s="46" t="s">
        <v>65</v>
      </c>
      <c r="C38" s="52" t="s">
        <v>66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s="4" customFormat="1" ht="27" customHeight="1" spans="1:18">
      <c r="A39" s="46"/>
      <c r="B39" s="46" t="s">
        <v>67</v>
      </c>
      <c r="C39" s="52" t="s">
        <v>68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="4" customFormat="1" ht="27" customHeight="1" spans="1:18">
      <c r="A40" s="46"/>
      <c r="B40" s="46" t="s">
        <v>69</v>
      </c>
      <c r="C40" s="53" t="s">
        <v>70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</row>
    <row r="41" s="4" customFormat="1" ht="25" customHeight="1" spans="1:18">
      <c r="A41" s="53" t="s">
        <v>71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</row>
    <row r="42" s="4" customFormat="1" ht="25" customHeight="1" spans="1:18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</row>
    <row r="43" s="5" customFormat="1" ht="41" customHeight="1" spans="1:18">
      <c r="A43" s="54" t="s">
        <v>72</v>
      </c>
      <c r="B43" s="54"/>
      <c r="C43" s="54"/>
      <c r="D43" s="54"/>
      <c r="E43" s="54"/>
      <c r="F43" s="54"/>
      <c r="G43" s="54"/>
      <c r="H43" s="54" t="s">
        <v>73</v>
      </c>
      <c r="I43" s="54"/>
      <c r="J43" s="54"/>
      <c r="K43" s="54"/>
      <c r="L43" s="54"/>
      <c r="M43" s="54"/>
      <c r="N43" s="54"/>
      <c r="O43" s="54"/>
      <c r="P43" s="54"/>
      <c r="Q43" s="54"/>
      <c r="R43" s="54"/>
    </row>
    <row r="44" s="5" customFormat="1" ht="14" spans="1:18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s="5" customFormat="1" ht="14" spans="1:18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s="5" customFormat="1" ht="14" spans="1:18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s="5" customFormat="1" ht="14" spans="1:18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s="5" customFormat="1" ht="46" customHeight="1" spans="1:1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</sheetData>
  <autoFilter xmlns:etc="http://www.wps.cn/officeDocument/2017/etCustomData" ref="A2:R43" etc:filterBottomFollowUsedRange="0">
    <extLst/>
  </autoFilter>
  <mergeCells count="50">
    <mergeCell ref="A1:F1"/>
    <mergeCell ref="G1:O1"/>
    <mergeCell ref="P1:R1"/>
    <mergeCell ref="A20:B20"/>
    <mergeCell ref="C20:N20"/>
    <mergeCell ref="A21:B21"/>
    <mergeCell ref="C21:N21"/>
    <mergeCell ref="A22:B22"/>
    <mergeCell ref="C22:N22"/>
    <mergeCell ref="A23:B23"/>
    <mergeCell ref="C23:N23"/>
    <mergeCell ref="A24:B24"/>
    <mergeCell ref="C24:R24"/>
    <mergeCell ref="A25:B25"/>
    <mergeCell ref="C25:R25"/>
    <mergeCell ref="A26:B26"/>
    <mergeCell ref="C26:R26"/>
    <mergeCell ref="A27:B27"/>
    <mergeCell ref="C27:H27"/>
    <mergeCell ref="J27:K27"/>
    <mergeCell ref="L27:R27"/>
    <mergeCell ref="A28:B28"/>
    <mergeCell ref="C28:H28"/>
    <mergeCell ref="J28:K28"/>
    <mergeCell ref="L28:R28"/>
    <mergeCell ref="A29:R29"/>
    <mergeCell ref="C30:R30"/>
    <mergeCell ref="C31:R31"/>
    <mergeCell ref="C32:R32"/>
    <mergeCell ref="C33:R33"/>
    <mergeCell ref="C34:R34"/>
    <mergeCell ref="C35:R35"/>
    <mergeCell ref="C36:R36"/>
    <mergeCell ref="C37:R37"/>
    <mergeCell ref="C38:R38"/>
    <mergeCell ref="C39:R39"/>
    <mergeCell ref="C40:R40"/>
    <mergeCell ref="A43:G43"/>
    <mergeCell ref="H43:R43"/>
    <mergeCell ref="A4:A7"/>
    <mergeCell ref="A8:A11"/>
    <mergeCell ref="A12:A15"/>
    <mergeCell ref="A35:A40"/>
    <mergeCell ref="B4:B7"/>
    <mergeCell ref="B8:B11"/>
    <mergeCell ref="B12:B15"/>
    <mergeCell ref="C4:C7"/>
    <mergeCell ref="A44:G48"/>
    <mergeCell ref="A41:R42"/>
    <mergeCell ref="H44:R48"/>
  </mergeCells>
  <conditionalFormatting sqref="A3:A4 A8 A12 A16:A19">
    <cfRule type="duplicateValues" dxfId="0" priority="104"/>
  </conditionalFormatting>
  <pageMargins left="0.2" right="0.0395833333333333" top="0.3" bottom="0.2" header="0.5" footer="0.5"/>
  <pageSetup paperSize="9" scale="36" fitToHeight="0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D11" sqref="D11"/>
    </sheetView>
  </sheetViews>
  <sheetFormatPr defaultColWidth="8.72727272727273" defaultRowHeight="14.5" outlineLevelCol="3"/>
  <cols>
    <col min="1" max="1" width="30.4545454545455" customWidth="1"/>
  </cols>
  <sheetData>
    <row r="1" spans="1:1">
      <c r="A1" t="str" cm="1">
        <f t="array" ref="A1:A17">_xlfn.UNIQUE(询价单!G:G)</f>
        <v>报价单                       QUATATION</v>
      </c>
    </row>
    <row r="2" spans="1:1">
      <c r="A2" t="str">
        <v>Product number
产品编号</v>
      </c>
    </row>
    <row r="3" spans="1:1">
      <c r="A3" t="str">
        <v>无货</v>
      </c>
    </row>
    <row r="4" spans="1:4">
      <c r="A4">
        <v>8010071335</v>
      </c>
      <c r="B4">
        <f>SUMIFS(询价单!L:L,询价单!G:G,A4)</f>
        <v>12</v>
      </c>
      <c r="C4">
        <f>SUMIFS('[2]Ketersediaan Stok Penjualan'!$W:$W,'[2]Ketersediaan Stok Penjualan'!$B:$B,A4)</f>
        <v>48</v>
      </c>
      <c r="D4" t="str">
        <f>IF(C4&gt;B4,"","STOCK")</f>
        <v/>
      </c>
    </row>
    <row r="5" spans="1:4">
      <c r="A5" t="str">
        <v>DS70232</v>
      </c>
      <c r="B5">
        <f>SUMIFS(询价单!L:L,询价单!G:G,A5)</f>
        <v>12</v>
      </c>
      <c r="C5">
        <f>SUMIFS('[2]Ketersediaan Stok Penjualan'!$W:$W,'[2]Ketersediaan Stok Penjualan'!$B:$B,A5)</f>
        <v>33</v>
      </c>
      <c r="D5" t="str">
        <f t="shared" ref="D5:D16" si="0">IF(C5&gt;B5,"","STOCK")</f>
        <v/>
      </c>
    </row>
    <row r="6" spans="1:4">
      <c r="A6">
        <v>8010070747</v>
      </c>
      <c r="B6">
        <f>SUMIFS(询价单!L:L,询价单!G:G,A6)</f>
        <v>12</v>
      </c>
      <c r="C6">
        <f>SUMIFS('[2]Ketersediaan Stok Penjualan'!$W:$W,'[2]Ketersediaan Stok Penjualan'!$B:$B,A6)</f>
        <v>365</v>
      </c>
      <c r="D6" t="str">
        <f t="shared" si="0"/>
        <v/>
      </c>
    </row>
    <row r="7" spans="1:4">
      <c r="A7" s="88" t="str">
        <v>6900010080151</v>
      </c>
      <c r="B7">
        <f>SUMIFS(询价单!L:L,询价单!G:G,A7)</f>
        <v>96</v>
      </c>
      <c r="C7">
        <f>SUMIFS('[2]Ketersediaan Stok Penjualan'!$W:$W,'[2]Ketersediaan Stok Penjualan'!$B:$B,A7)</f>
        <v>208</v>
      </c>
      <c r="D7" t="str">
        <f t="shared" si="0"/>
        <v/>
      </c>
    </row>
    <row r="8" spans="1:4">
      <c r="A8">
        <v>8010071332</v>
      </c>
      <c r="B8">
        <f>SUMIFS(询价单!L:L,询价单!G:G,A8)</f>
        <v>6</v>
      </c>
      <c r="C8">
        <f>SUMIFS('[2]Ketersediaan Stok Penjualan'!$W:$W,'[2]Ketersediaan Stok Penjualan'!$B:$B,A8)</f>
        <v>201</v>
      </c>
      <c r="D8" t="str">
        <f t="shared" si="0"/>
        <v/>
      </c>
    </row>
    <row r="9" spans="1:4">
      <c r="A9" t="str">
        <v>DS70235</v>
      </c>
      <c r="B9">
        <f>SUMIFS(询价单!L:L,询价单!G:G,A9)</f>
        <v>6</v>
      </c>
      <c r="C9">
        <f>SUMIFS('[2]Ketersediaan Stok Penjualan'!$W:$W,'[2]Ketersediaan Stok Penjualan'!$B:$B,A9)</f>
        <v>48</v>
      </c>
      <c r="D9" t="str">
        <f t="shared" si="0"/>
        <v/>
      </c>
    </row>
    <row r="10" spans="1:4">
      <c r="A10">
        <v>8010070750</v>
      </c>
      <c r="B10">
        <f>SUMIFS(询价单!L:L,询价单!G:G,A10)</f>
        <v>6</v>
      </c>
      <c r="C10">
        <f>SUMIFS('[2]Ketersediaan Stok Penjualan'!$W:$W,'[2]Ketersediaan Stok Penjualan'!$B:$B,A10)</f>
        <v>393</v>
      </c>
      <c r="D10" t="str">
        <f t="shared" si="0"/>
        <v/>
      </c>
    </row>
    <row r="11" spans="1:4">
      <c r="A11" s="88" t="str">
        <v>6900010080150</v>
      </c>
      <c r="B11">
        <f>SUMIFS(询价单!L:L,询价单!G:G,A11)</f>
        <v>48</v>
      </c>
      <c r="C11">
        <f>SUMIFS('[2]Ketersediaan Stok Penjualan'!$W:$W,'[2]Ketersediaan Stok Penjualan'!$B:$B,A11)</f>
        <v>1308</v>
      </c>
      <c r="D11" t="str">
        <f t="shared" si="0"/>
        <v/>
      </c>
    </row>
    <row r="12" spans="1:4">
      <c r="A12">
        <v>8010071331</v>
      </c>
      <c r="B12">
        <f>SUMIFS(询价单!L:L,询价单!G:G,A12)</f>
        <v>6</v>
      </c>
      <c r="C12">
        <f>SUMIFS('[2]Ketersediaan Stok Penjualan'!$W:$W,'[2]Ketersediaan Stok Penjualan'!$B:$B,A12)</f>
        <v>207</v>
      </c>
      <c r="D12" t="str">
        <f t="shared" si="0"/>
        <v/>
      </c>
    </row>
    <row r="13" spans="1:4">
      <c r="A13" t="str">
        <v>DS70234</v>
      </c>
      <c r="B13">
        <f>SUMIFS(询价单!L:L,询价单!G:G,A13)</f>
        <v>6</v>
      </c>
      <c r="C13">
        <f>SUMIFS('[2]Ketersediaan Stok Penjualan'!$W:$W,'[2]Ketersediaan Stok Penjualan'!$B:$B,A13)</f>
        <v>44</v>
      </c>
      <c r="D13" t="str">
        <f t="shared" si="0"/>
        <v/>
      </c>
    </row>
    <row r="14" spans="1:4">
      <c r="A14">
        <v>8010070749</v>
      </c>
      <c r="B14">
        <f>SUMIFS(询价单!L:L,询价单!G:G,A14)</f>
        <v>6</v>
      </c>
      <c r="C14">
        <f>SUMIFS('[2]Ketersediaan Stok Penjualan'!$W:$W,'[2]Ketersediaan Stok Penjualan'!$B:$B,A14)</f>
        <v>600</v>
      </c>
      <c r="D14" t="str">
        <f t="shared" si="0"/>
        <v/>
      </c>
    </row>
    <row r="15" spans="1:4">
      <c r="A15">
        <v>8010071454</v>
      </c>
      <c r="B15">
        <f>SUMIFS(询价单!L:L,询价单!G:G,A15)</f>
        <v>1</v>
      </c>
      <c r="C15">
        <f>SUMIFS('[2]Ketersediaan Stok Penjualan'!$W:$W,'[2]Ketersediaan Stok Penjualan'!$B:$B,A15)</f>
        <v>268</v>
      </c>
      <c r="D15" t="str">
        <f t="shared" si="0"/>
        <v/>
      </c>
    </row>
    <row r="16" spans="1:4">
      <c r="A16">
        <v>8010071401</v>
      </c>
      <c r="B16">
        <f>SUMIFS(询价单!L:L,询价单!G:G,A16)</f>
        <v>30</v>
      </c>
      <c r="C16">
        <f>SUMIFS('[2]Ketersediaan Stok Penjualan'!$W:$W,'[2]Ketersediaan Stok Penjualan'!$B:$B,A16)</f>
        <v>4154</v>
      </c>
      <c r="D16" t="str">
        <f t="shared" si="0"/>
        <v/>
      </c>
    </row>
    <row r="17" spans="1:1">
      <c r="A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询价单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Digital Marketing SOLDAY</cp:lastModifiedBy>
  <dcterms:created xsi:type="dcterms:W3CDTF">2015-06-23T18:17:00Z</dcterms:created>
  <dcterms:modified xsi:type="dcterms:W3CDTF">2026-02-02T05:01:45Z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882BE104E2E24F58805B5812413349C2_13</vt:lpwstr>
  </property>
  <property fmtid="{D5CDD505-2E9C-101B-9397-08002B2CF9AE}" pid="4" name="KSOReadingLayout">
    <vt:bool>false</vt:bool>
  </property>
</Properties>
</file>