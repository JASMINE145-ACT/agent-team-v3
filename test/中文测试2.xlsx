
<file path=[Content_Types].xml><?xml version="1.0" encoding="utf-8"?>
<Types xmlns="http://schemas.openxmlformats.org/package/2006/content-types">
  <Default Extension="wmf" ContentType="image/x-wmf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55" windowHeight="8535"/>
  </bookViews>
  <sheets>
    <sheet name="询价单" sheetId="2" r:id="rId1"/>
  </sheets>
  <definedNames>
    <definedName name="_xlnm._FilterDatabase" localSheetId="0" hidden="1">询价单!$A$2:$Q$47</definedName>
    <definedName name="_xlnm.Print_Area" localSheetId="0">询价单!$A$1:$Q$52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2AB6C2DF03EC4B189D9084FA977CA6E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12310" y="0"/>
          <a:ext cx="13646150" cy="8331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<sst xmlns="http://schemas.openxmlformats.org/spreadsheetml/2006/main" count="190" uniqueCount="117">
  <si>
    <t>万鼎国际集团                                                         VANTSING INTERNATIONAL GROUP</t>
  </si>
  <si>
    <r>
      <rPr>
        <sz val="48"/>
        <rFont val="宋体"/>
        <charset val="134"/>
      </rPr>
      <t xml:space="preserve">报价单                       </t>
    </r>
    <r>
      <rPr>
        <b/>
        <i/>
        <sz val="28"/>
        <rFont val="宋体"/>
        <charset val="134"/>
      </rPr>
      <t>QUATATION</t>
    </r>
  </si>
  <si>
    <r>
      <rPr>
        <b/>
        <sz val="12"/>
        <rFont val="Arial"/>
        <charset val="134"/>
      </rPr>
      <t xml:space="preserve">Nomor urut
</t>
    </r>
    <r>
      <rPr>
        <b/>
        <sz val="12"/>
        <rFont val="微软雅黑"/>
        <charset val="134"/>
      </rPr>
      <t>序号</t>
    </r>
  </si>
  <si>
    <r>
      <rPr>
        <b/>
        <sz val="12"/>
        <rFont val="Arial"/>
        <charset val="134"/>
      </rPr>
      <t xml:space="preserve">Nama Permintaan Barang
</t>
    </r>
    <r>
      <rPr>
        <b/>
        <sz val="12"/>
        <rFont val="宋体"/>
        <charset val="134"/>
      </rPr>
      <t>询价货物名称</t>
    </r>
  </si>
  <si>
    <r>
      <rPr>
        <b/>
        <sz val="12"/>
        <rFont val="Arial"/>
        <charset val="134"/>
      </rPr>
      <t xml:space="preserve">Spesifikasi dan Model Permintaan Barang
</t>
    </r>
    <r>
      <rPr>
        <sz val="12"/>
        <rFont val="微软雅黑"/>
        <charset val="134"/>
      </rPr>
      <t>询价规格型号</t>
    </r>
  </si>
  <si>
    <r>
      <rPr>
        <b/>
        <sz val="12"/>
        <rFont val="Arial"/>
        <charset val="134"/>
      </rPr>
      <t xml:space="preserve">Satuan
</t>
    </r>
    <r>
      <rPr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</si>
  <si>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Jumlah
</t>
    </r>
    <r>
      <rPr>
        <b/>
        <sz val="12"/>
        <rFont val="微软雅黑"/>
        <charset val="134"/>
      </rPr>
      <t>数量</t>
    </r>
  </si>
  <si>
    <r>
      <rPr>
        <b/>
        <sz val="12"/>
        <rFont val="Arial"/>
        <charset val="134"/>
      </rPr>
      <t xml:space="preserve">picture
</t>
    </r>
    <r>
      <rPr>
        <b/>
        <sz val="12"/>
        <rFont val="宋体"/>
        <charset val="134"/>
      </rPr>
      <t>图片</t>
    </r>
  </si>
  <si>
    <r>
      <rPr>
        <b/>
        <sz val="12"/>
        <rFont val="Arial"/>
        <charset val="134"/>
      </rPr>
      <t xml:space="preserve">Product number
</t>
    </r>
    <r>
      <rPr>
        <sz val="12"/>
        <rFont val="微软雅黑"/>
        <charset val="134"/>
      </rPr>
      <t>产品编号</t>
    </r>
  </si>
  <si>
    <r>
      <rPr>
        <b/>
        <sz val="12"/>
        <rFont val="Arial"/>
        <charset val="134"/>
      </rPr>
      <t xml:space="preserve">Nama Penawaran Barang
</t>
    </r>
    <r>
      <rPr>
        <b/>
        <sz val="12"/>
        <rFont val="微软雅黑"/>
        <charset val="134"/>
      </rPr>
      <t>报价名称</t>
    </r>
  </si>
  <si>
    <r>
      <rPr>
        <b/>
        <sz val="12"/>
        <rFont val="Arial"/>
        <charset val="134"/>
      </rPr>
      <t xml:space="preserve">Spesifikasi Penawaran Barang
</t>
    </r>
    <r>
      <rPr>
        <b/>
        <sz val="12"/>
        <rFont val="微软雅黑"/>
        <charset val="134"/>
      </rPr>
      <t>报价产品规格</t>
    </r>
  </si>
  <si>
    <r>
      <rPr>
        <b/>
        <sz val="12"/>
        <rFont val="Arial"/>
        <charset val="134"/>
      </rPr>
      <t xml:space="preserve">Satuan
</t>
    </r>
    <r>
      <rPr>
        <b/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</si>
  <si>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brand
</t>
    </r>
    <r>
      <rPr>
        <b/>
        <sz val="12"/>
        <rFont val="宋体"/>
        <charset val="134"/>
      </rPr>
      <t>品牌</t>
    </r>
  </si>
  <si>
    <r>
      <rPr>
        <b/>
        <sz val="14"/>
        <rFont val="Arial"/>
        <charset val="134"/>
      </rPr>
      <t xml:space="preserve">Harga
</t>
    </r>
    <r>
      <rPr>
        <b/>
        <sz val="14"/>
        <rFont val="微软雅黑"/>
        <charset val="134"/>
      </rPr>
      <t>单价</t>
    </r>
  </si>
  <si>
    <t>总价</t>
  </si>
  <si>
    <r>
      <rPr>
        <b/>
        <sz val="12"/>
        <rFont val="Arial"/>
        <charset val="134"/>
      </rPr>
      <t xml:space="preserve">Tanggal Pengiriman Barang
</t>
    </r>
    <r>
      <rPr>
        <b/>
        <sz val="12"/>
        <rFont val="微软雅黑"/>
        <charset val="134"/>
      </rPr>
      <t>交货日期</t>
    </r>
  </si>
  <si>
    <r>
      <rPr>
        <b/>
        <sz val="16"/>
        <rFont val="Arial"/>
        <charset val="134"/>
      </rPr>
      <t xml:space="preserve">Gambar Barang
</t>
    </r>
    <r>
      <rPr>
        <b/>
        <sz val="16"/>
        <rFont val="微软雅黑"/>
        <charset val="134"/>
      </rPr>
      <t>报价产品图片</t>
    </r>
  </si>
  <si>
    <r>
      <rPr>
        <b/>
        <sz val="14"/>
        <rFont val="Arial"/>
        <charset val="134"/>
      </rPr>
      <t xml:space="preserve">NOTE
</t>
    </r>
    <r>
      <rPr>
        <b/>
        <sz val="14"/>
        <rFont val="微软雅黑"/>
        <charset val="134"/>
      </rPr>
      <t>备注</t>
    </r>
  </si>
  <si>
    <t>50*20三通</t>
  </si>
  <si>
    <t>个</t>
  </si>
  <si>
    <t>90°异径三通(PPR 配件)印尼绿色 dn50x20 (1-1/2"x1/2") 联塑</t>
  </si>
  <si>
    <t>dn50x20 (1-1/2"x1/2")</t>
  </si>
  <si>
    <t>联塑</t>
  </si>
  <si>
    <t>65*32三通</t>
  </si>
  <si>
    <t>90°异径三通(PPR 配件)印尼绿色 dn63x32 (2"x1") 联塑</t>
  </si>
  <si>
    <t>dn63x32 (2"x1")</t>
  </si>
  <si>
    <t>65*50大小头</t>
  </si>
  <si>
    <t>异径套(PPR 配件)印尼绿色 dn63x50 (2"x1-1/2") 联塑</t>
  </si>
  <si>
    <t>dn63x50 (2"x1-1/2")</t>
  </si>
  <si>
    <t>50正弯头</t>
  </si>
  <si>
    <t>90°弯头(PPR 配件)印尼绿色 dn50 (1-1/2") 联塑</t>
  </si>
  <si>
    <t>dn50 (1-1/2")</t>
  </si>
  <si>
    <t>50正三通</t>
  </si>
  <si>
    <t>90°等径三通(PPR 配件)印尼绿色 dn50 (1-1/2") 联塑</t>
  </si>
  <si>
    <t>50*25三通</t>
  </si>
  <si>
    <t>90°异径三通(PPR 配件)印尼绿色 dn50x25 (1-1/2"x3/4") 联塑</t>
  </si>
  <si>
    <t>dn50x25 (1-1/2"x3/4")</t>
  </si>
  <si>
    <t>50*32三通</t>
  </si>
  <si>
    <t>90°异径三通(PPR 配件)印尼绿色 dn50x32 (1-1/2"x1") 联塑</t>
  </si>
  <si>
    <t>dn50x32 (1-1/2"x1")</t>
  </si>
  <si>
    <t>32*20大小头</t>
  </si>
  <si>
    <t>异径套(PPR 配件)印尼绿色 dn32x20 (1"x1/2") 联塑</t>
  </si>
  <si>
    <t>dn32x20 (1"x1/2")</t>
  </si>
  <si>
    <t>25*20三通</t>
  </si>
  <si>
    <t>90°异径三通(PPR 配件)印尼绿色 dn25x20 (3/4"x1/2") 联塑</t>
  </si>
  <si>
    <t>dn25x20 (3/4"x1/2")</t>
  </si>
  <si>
    <t>32*25大小头</t>
  </si>
  <si>
    <t>异径套(PPR 配件)印尼绿色 dn32x25 (1"x3/4") 联塑</t>
  </si>
  <si>
    <t>dn32x25 (1"x3/4")</t>
  </si>
  <si>
    <t>25*20大小头</t>
  </si>
  <si>
    <t>异径套(PPR 配件)印尼绿色 dn25x20 (3/4"x1/2") 联塑</t>
  </si>
  <si>
    <t>50*40三通</t>
  </si>
  <si>
    <t>90°异径三通(PPR 配件)印尼绿色 dn50x40 (1-1/2"x1-1/4") 联塑</t>
  </si>
  <si>
    <t>dn50x40 (1-1/2"x1-1/4")</t>
  </si>
  <si>
    <t>40*20三通</t>
  </si>
  <si>
    <t>90°异径三通(PPR 配件)印尼绿色 dn40x20 (1-1/4"x1/2") 联塑</t>
  </si>
  <si>
    <t>dn40x20 (1-1/4"x1/2")</t>
  </si>
  <si>
    <t>40*20大小头</t>
  </si>
  <si>
    <t>异径套(PPR 配件)印尼绿色 dn40x20 (1-1/4"x1/2") 联塑</t>
  </si>
  <si>
    <t>50*32大小头</t>
  </si>
  <si>
    <t>异径套(PPR 配件)印尼绿色 dn50x32 (1-1/2"x1") 联塑</t>
  </si>
  <si>
    <t>32*25三通</t>
  </si>
  <si>
    <t>90°异径三通(PPR 配件)印尼绿色 dn32x25 (1"x3/4") 联塑</t>
  </si>
  <si>
    <t>25正弯头</t>
  </si>
  <si>
    <t>90°弯头(PPR 配件)印尼绿色 dn25 (3/4") 联塑</t>
  </si>
  <si>
    <t>dn25 (3/4")</t>
  </si>
  <si>
    <t>50管子</t>
  </si>
  <si>
    <t>根</t>
  </si>
  <si>
    <t>(IDN)PPR冷给水直管S5(1.0MPa)印尼绿色 dn50 (1-1/2") 4M/根 联塑</t>
  </si>
  <si>
    <t>4m/根</t>
  </si>
  <si>
    <t>40管子</t>
  </si>
  <si>
    <t>(IDN)PPR冷给水直管S5(1.0MPa)印尼绿色 dn40 (1-1/4") 4M/根 联塑</t>
  </si>
  <si>
    <t>dn40 (1-1/4")</t>
  </si>
  <si>
    <t>32管子</t>
  </si>
  <si>
    <t>(IDN)PPR冷给水直管S5(1.0MPa)印尼绿色 dn32 (1") 4M/根 联塑</t>
  </si>
  <si>
    <t>dn32 (1")</t>
  </si>
  <si>
    <t>25管子</t>
  </si>
  <si>
    <t>(IDN)PPR冷给水直管S5(1.0MPa)印尼绿色 dn25 (3/4") 4M/根 联塑</t>
  </si>
  <si>
    <t>20内丝弯头</t>
  </si>
  <si>
    <t>内螺纹弯头Ⅰ型(PPR 配件)印尼绿色 dn20x1/2" 联塑</t>
  </si>
  <si>
    <t>dn20x1/2"</t>
  </si>
  <si>
    <t>63外丝接头</t>
  </si>
  <si>
    <t>外螺纹直接头Ⅱ型(PPR 配件)印尼绿色 dn63x2" 联塑</t>
  </si>
  <si>
    <t>dn63x2"</t>
  </si>
  <si>
    <t>Total Excluding PPN不含税总价</t>
  </si>
  <si>
    <t>是否含PPN 11%/ Inc.or Exc.PPN 11%</t>
  </si>
  <si>
    <t>Total Include PPN (11%)含税总价</t>
  </si>
  <si>
    <r>
      <rPr>
        <b/>
        <sz val="12"/>
        <rFont val="微软雅黑"/>
        <charset val="134"/>
      </rPr>
      <t>交货地点</t>
    </r>
    <r>
      <rPr>
        <b/>
        <sz val="12"/>
        <rFont val="Arial"/>
        <charset val="134"/>
      </rPr>
      <t xml:space="preserve"> / Franco / Pengiriman</t>
    </r>
  </si>
  <si>
    <r>
      <rPr>
        <b/>
        <sz val="12"/>
        <rFont val="微软雅黑"/>
        <charset val="134"/>
      </rPr>
      <t>付款方式</t>
    </r>
    <r>
      <rPr>
        <b/>
        <sz val="12"/>
        <rFont val="Arial"/>
        <charset val="134"/>
      </rPr>
      <t xml:space="preserve"> / Payment term</t>
    </r>
  </si>
  <si>
    <r>
      <rPr>
        <b/>
        <sz val="12"/>
        <rFont val="Arial"/>
        <charset val="134"/>
      </rPr>
      <t xml:space="preserve">Perusahaan yang memberikan penawaran
</t>
    </r>
    <r>
      <rPr>
        <b/>
        <sz val="12"/>
        <rFont val="微软雅黑"/>
        <charset val="134"/>
      </rPr>
      <t>报价公司名称</t>
    </r>
  </si>
  <si>
    <r>
      <rPr>
        <b/>
        <sz val="12"/>
        <rFont val="Arial"/>
        <charset val="134"/>
      </rPr>
      <t xml:space="preserve">Tanggal Penawaran 
</t>
    </r>
    <r>
      <rPr>
        <b/>
        <sz val="12"/>
        <rFont val="微软雅黑"/>
        <charset val="134"/>
      </rPr>
      <t>报价日期</t>
    </r>
  </si>
  <si>
    <r>
      <rPr>
        <b/>
        <sz val="12"/>
        <rFont val="Arial"/>
        <charset val="134"/>
      </rPr>
      <t xml:space="preserve">Petugas Pengisian Formulir                                                               </t>
    </r>
    <r>
      <rPr>
        <b/>
        <sz val="12"/>
        <rFont val="宋体"/>
        <charset val="134"/>
      </rPr>
      <t>报单人员</t>
    </r>
  </si>
  <si>
    <t>Petugas Pengecekkan           审查人员</t>
  </si>
  <si>
    <r>
      <rPr>
        <b/>
        <sz val="11"/>
        <color theme="1"/>
        <rFont val="Times New Roman"/>
        <charset val="134"/>
      </rPr>
      <t xml:space="preserve">TERMS &amp; CONDITION </t>
    </r>
    <r>
      <rPr>
        <b/>
        <sz val="11"/>
        <color theme="1"/>
        <rFont val="宋体"/>
        <charset val="134"/>
      </rPr>
      <t>条款</t>
    </r>
    <r>
      <rPr>
        <b/>
        <sz val="11"/>
        <color theme="1"/>
        <rFont val="Times New Roman"/>
        <charset val="134"/>
      </rPr>
      <t>&amp;</t>
    </r>
    <r>
      <rPr>
        <b/>
        <sz val="11"/>
        <color theme="1"/>
        <rFont val="宋体"/>
        <charset val="134"/>
      </rPr>
      <t>条件</t>
    </r>
  </si>
  <si>
    <r>
      <rPr>
        <b/>
        <sz val="11"/>
        <color theme="1"/>
        <rFont val="Times New Roman"/>
        <charset val="134"/>
      </rPr>
      <t xml:space="preserve">No. </t>
    </r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</si>
  <si>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Times New Roman"/>
        <charset val="134"/>
      </rPr>
      <t xml:space="preserve">Item </t>
    </r>
    <r>
      <rPr>
        <b/>
        <sz val="11"/>
        <color theme="1"/>
        <rFont val="宋体"/>
        <charset val="134"/>
      </rPr>
      <t>项目</t>
    </r>
  </si>
  <si>
    <r>
      <rPr>
        <b/>
        <sz val="11"/>
        <color theme="1"/>
        <rFont val="Times New Roman"/>
        <charset val="134"/>
      </rPr>
      <t xml:space="preserve">Description </t>
    </r>
    <r>
      <rPr>
        <b/>
        <sz val="11"/>
        <color theme="1"/>
        <rFont val="宋体"/>
        <charset val="134"/>
      </rPr>
      <t>说明</t>
    </r>
  </si>
  <si>
    <t>特备备注</t>
  </si>
  <si>
    <t>LALAMOVE，运费客户支付（lalamove，Freight paid by the customer）</t>
  </si>
  <si>
    <r>
      <rPr>
        <b/>
        <sz val="11"/>
        <color theme="1"/>
        <rFont val="Times New Roman"/>
        <charset val="134"/>
      </rPr>
      <t xml:space="preserve">Delivery Time </t>
    </r>
    <r>
      <rPr>
        <b/>
        <sz val="11"/>
        <color theme="1"/>
        <rFont val="宋体"/>
        <charset val="134"/>
      </rPr>
      <t>交货时间</t>
    </r>
  </si>
  <si>
    <r>
      <rPr>
        <b/>
        <sz val="11"/>
        <color theme="1"/>
        <rFont val="Times New Roman"/>
        <charset val="134"/>
      </rPr>
      <t xml:space="preserve">Packaging </t>
    </r>
    <r>
      <rPr>
        <b/>
        <sz val="11"/>
        <color theme="1"/>
        <rFont val="宋体"/>
        <charset val="134"/>
      </rPr>
      <t>包装</t>
    </r>
  </si>
  <si>
    <r>
      <rPr>
        <b/>
        <sz val="11"/>
        <color theme="1"/>
        <rFont val="Times New Roman"/>
        <charset val="134"/>
      </rPr>
      <t xml:space="preserve">Guarantee </t>
    </r>
    <r>
      <rPr>
        <b/>
        <sz val="11"/>
        <color theme="1"/>
        <rFont val="宋体"/>
        <charset val="134"/>
      </rPr>
      <t>保证</t>
    </r>
  </si>
  <si>
    <r>
      <rPr>
        <sz val="11"/>
        <color theme="1"/>
        <rFont val="宋体"/>
        <charset val="134"/>
      </rPr>
      <t>卖方保证所售商品的质量和安全，所售商品不存在任何缺陷或损坏。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买方需要在收到货物后最多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天检查已收到的货物。</t>
    </r>
  </si>
  <si>
    <r>
      <rPr>
        <b/>
        <sz val="11"/>
        <color theme="1"/>
        <rFont val="Times New Roman"/>
        <charset val="134"/>
      </rPr>
      <t xml:space="preserve">Payment Methode </t>
    </r>
    <r>
      <rPr>
        <b/>
        <sz val="11"/>
        <color theme="1"/>
        <rFont val="宋体"/>
        <charset val="134"/>
      </rPr>
      <t>付款方式</t>
    </r>
  </si>
  <si>
    <t>现款</t>
  </si>
  <si>
    <r>
      <rPr>
        <b/>
        <sz val="11"/>
        <color theme="1"/>
        <rFont val="Times New Roman"/>
        <charset val="134"/>
      </rPr>
      <t xml:space="preserve">Beneficiery Account </t>
    </r>
    <r>
      <rPr>
        <b/>
        <sz val="11"/>
        <color theme="1"/>
        <rFont val="宋体"/>
        <charset val="134"/>
      </rPr>
      <t>收款账户</t>
    </r>
  </si>
  <si>
    <r>
      <rPr>
        <b/>
        <sz val="11"/>
        <color theme="1"/>
        <rFont val="Times New Roman"/>
        <charset val="134"/>
      </rPr>
      <t xml:space="preserve">Account Name </t>
    </r>
    <r>
      <rPr>
        <b/>
        <sz val="11"/>
        <color theme="1"/>
        <rFont val="宋体"/>
        <charset val="134"/>
      </rPr>
      <t>账户名称</t>
    </r>
  </si>
  <si>
    <t>PT. Vantsing International Group</t>
  </si>
  <si>
    <r>
      <rPr>
        <b/>
        <sz val="11"/>
        <color theme="1"/>
        <rFont val="Times New Roman"/>
        <charset val="134"/>
      </rPr>
      <t>Account No</t>
    </r>
    <r>
      <rPr>
        <b/>
        <sz val="11"/>
        <color theme="1"/>
        <rFont val="宋体"/>
        <charset val="134"/>
      </rPr>
      <t>账号</t>
    </r>
  </si>
  <si>
    <t>268-0321666</t>
  </si>
  <si>
    <r>
      <rPr>
        <b/>
        <sz val="11"/>
        <color theme="1"/>
        <rFont val="Times New Roman"/>
        <charset val="134"/>
      </rPr>
      <t xml:space="preserve">Bank </t>
    </r>
    <r>
      <rPr>
        <b/>
        <sz val="11"/>
        <color theme="1"/>
        <rFont val="宋体"/>
        <charset val="134"/>
      </rPr>
      <t>银行</t>
    </r>
  </si>
  <si>
    <t>Bank Central Asia KCP Grogol Muwardi</t>
  </si>
  <si>
    <r>
      <rPr>
        <b/>
        <sz val="11"/>
        <color theme="1"/>
        <rFont val="Times New Roman"/>
        <charset val="134"/>
      </rPr>
      <t xml:space="preserve">Branch </t>
    </r>
    <r>
      <rPr>
        <b/>
        <sz val="11"/>
        <color theme="1"/>
        <rFont val="宋体"/>
        <charset val="134"/>
      </rPr>
      <t>分行</t>
    </r>
  </si>
  <si>
    <t>Jl. Muwardi I No.44, RT.1/RW.4, Grogol, Kec. Grogol petamburan, Kota Jakarta Barat, Daerah Khusus Ibukota Jakarta 11460</t>
  </si>
  <si>
    <r>
      <rPr>
        <sz val="11"/>
        <color theme="1"/>
        <rFont val="Times New Roman"/>
        <charset val="134"/>
      </rPr>
      <t>This Purchase Order is made and signed on the day and date as stated, made in 2 (two) original copies signed by the parties with sufficient stamp duty, each of which has the same binding legal force.</t>
    </r>
    <r>
      <rPr>
        <sz val="11"/>
        <color theme="1"/>
        <rFont val="宋体"/>
        <charset val="134"/>
      </rPr>
      <t>本采购订单于规定日期签署，一式两（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）份原件，由双方签字并加盖足够的印花税，每份具有同等的法律约束力。</t>
    </r>
  </si>
  <si>
    <r>
      <rPr>
        <b/>
        <sz val="16"/>
        <color theme="1"/>
        <rFont val="Times New Roman"/>
        <charset val="134"/>
      </rPr>
      <t xml:space="preserve">Buyer </t>
    </r>
    <r>
      <rPr>
        <b/>
        <sz val="16"/>
        <color theme="1"/>
        <rFont val="宋体"/>
        <charset val="134"/>
      </rPr>
      <t>购买方</t>
    </r>
  </si>
  <si>
    <r>
      <rPr>
        <b/>
        <sz val="16"/>
        <color theme="1"/>
        <rFont val="Times New Roman"/>
        <charset val="134"/>
      </rPr>
      <t>Seller</t>
    </r>
    <r>
      <rPr>
        <b/>
        <sz val="16"/>
        <color theme="1"/>
        <rFont val="宋体"/>
        <charset val="134"/>
      </rPr>
      <t>出售方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</si>
</sst>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);\(#,##0.0\)"/>
    <numFmt numFmtId="177" formatCode="0_ "/>
    <numFmt numFmtId="178" formatCode="0.00_ "/>
    <numFmt numFmtId="179" formatCode="[$Rp-421]#,##0;\-[$Rp-421]#,##0"/>
  </numFmts>
  <fonts count="48">
    <font>
      <sz val="11"/>
      <color theme="1"/>
      <name val="等线"/>
      <charset val="134"/>
      <scheme val="minor"/>
    </font>
    <font>
      <sz val="10"/>
      <name val="Arial"/>
      <charset val="134"/>
    </font>
    <font>
      <sz val="14"/>
      <name val="微软雅黑"/>
      <charset val="134"/>
    </font>
    <font>
      <sz val="11"/>
      <color theme="1"/>
      <name val="Times New Roman"/>
      <charset val="134"/>
    </font>
    <font>
      <sz val="11"/>
      <name val="等线"/>
      <charset val="134"/>
      <scheme val="minor"/>
    </font>
    <font>
      <sz val="14"/>
      <name val="Arial"/>
      <charset val="134"/>
    </font>
    <font>
      <sz val="48"/>
      <name val="宋体"/>
      <charset val="134"/>
    </font>
    <font>
      <sz val="36"/>
      <name val="宋体"/>
      <charset val="134"/>
    </font>
    <font>
      <b/>
      <sz val="12"/>
      <name val="Arial"/>
      <charset val="134"/>
    </font>
    <font>
      <b/>
      <sz val="14"/>
      <name val="Arial"/>
      <charset val="134"/>
    </font>
    <font>
      <b/>
      <sz val="14"/>
      <name val="宋体"/>
      <charset val="134"/>
    </font>
    <font>
      <b/>
      <sz val="16"/>
      <name val="Arial"/>
      <charset val="134"/>
    </font>
    <font>
      <sz val="14"/>
      <color theme="1"/>
      <name val="微软雅黑"/>
      <charset val="134"/>
    </font>
    <font>
      <sz val="18"/>
      <color rgb="FF000000"/>
      <name val="Segoe UI"/>
      <charset val="134"/>
    </font>
    <font>
      <sz val="14"/>
      <name val="等线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sz val="12"/>
      <name val="Arial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i/>
      <sz val="28"/>
      <name val="宋体"/>
      <charset val="134"/>
    </font>
    <font>
      <b/>
      <sz val="12"/>
      <name val="宋体"/>
      <charset val="134"/>
    </font>
    <font>
      <b/>
      <sz val="16"/>
      <color theme="1"/>
      <name val="宋体"/>
      <charset val="134"/>
    </font>
    <font>
      <sz val="12"/>
      <name val="微软雅黑"/>
      <charset val="134"/>
    </font>
    <font>
      <b/>
      <sz val="16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9" applyNumberFormat="0" applyAlignment="0" applyProtection="0">
      <alignment vertical="center"/>
    </xf>
    <xf numFmtId="0" fontId="32" fillId="4" borderId="20" applyNumberFormat="0" applyAlignment="0" applyProtection="0">
      <alignment vertical="center"/>
    </xf>
    <xf numFmtId="0" fontId="33" fillId="4" borderId="19" applyNumberFormat="0" applyAlignment="0" applyProtection="0">
      <alignment vertical="center"/>
    </xf>
    <xf numFmtId="0" fontId="34" fillId="5" borderId="21" applyNumberFormat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/>
    <xf numFmtId="0" fontId="42" fillId="0" borderId="0"/>
  </cellStyleXfs>
  <cellXfs count="78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/>
    </xf>
    <xf numFmtId="5" fontId="5" fillId="0" borderId="0" xfId="0" applyNumberFormat="1" applyFont="1" applyFill="1" applyBorder="1" applyAlignment="1">
      <alignment horizontal="center" vertical="center"/>
    </xf>
    <xf numFmtId="7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Fill="1" applyBorder="1" applyAlignment="1">
      <alignment horizontal="center" vertical="center" wrapText="1"/>
    </xf>
    <xf numFmtId="178" fontId="7" fillId="0" borderId="3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178" fontId="6" fillId="0" borderId="3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177" fontId="8" fillId="0" borderId="7" xfId="0" applyNumberFormat="1" applyFont="1" applyFill="1" applyBorder="1" applyAlignment="1">
      <alignment horizontal="center" vertical="center" wrapText="1"/>
    </xf>
    <xf numFmtId="5" fontId="9" fillId="0" borderId="7" xfId="0" applyNumberFormat="1" applyFont="1" applyFill="1" applyBorder="1" applyAlignment="1">
      <alignment horizontal="center" vertical="center" wrapText="1"/>
    </xf>
    <xf numFmtId="7" fontId="10" fillId="0" borderId="7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8" xfId="51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8" xfId="51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179" fontId="2" fillId="0" borderId="8" xfId="0" applyNumberFormat="1" applyFont="1" applyFill="1" applyBorder="1" applyAlignment="1">
      <alignment horizontal="center" vertical="center"/>
    </xf>
    <xf numFmtId="1" fontId="14" fillId="0" borderId="8" xfId="0" applyNumberFormat="1" applyFont="1" applyFill="1" applyBorder="1" applyAlignment="1">
      <alignment horizontal="center" vertical="center" shrinkToFit="1"/>
    </xf>
    <xf numFmtId="0" fontId="15" fillId="0" borderId="8" xfId="50" applyNumberFormat="1" applyFont="1" applyFill="1" applyBorder="1" applyAlignment="1">
      <alignment horizontal="center" vertical="center"/>
    </xf>
    <xf numFmtId="49" fontId="13" fillId="0" borderId="10" xfId="0" applyNumberFormat="1" applyFont="1" applyFill="1" applyBorder="1" applyAlignment="1">
      <alignment horizontal="center" vertical="center" wrapText="1"/>
    </xf>
    <xf numFmtId="49" fontId="13" fillId="0" borderId="9" xfId="0" applyNumberFormat="1" applyFont="1" applyFill="1" applyBorder="1" applyAlignment="1">
      <alignment horizontal="center" vertical="center" wrapText="1"/>
    </xf>
    <xf numFmtId="49" fontId="13" fillId="0" borderId="11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 wrapText="1"/>
    </xf>
    <xf numFmtId="0" fontId="2" fillId="0" borderId="8" xfId="50" applyNumberFormat="1" applyFont="1" applyFill="1" applyBorder="1" applyAlignment="1">
      <alignment horizontal="center" vertical="center" wrapText="1"/>
    </xf>
    <xf numFmtId="0" fontId="2" fillId="0" borderId="10" xfId="50" applyNumberFormat="1" applyFont="1" applyFill="1" applyBorder="1" applyAlignment="1">
      <alignment horizontal="center" vertical="center" wrapText="1"/>
    </xf>
    <xf numFmtId="0" fontId="2" fillId="0" borderId="9" xfId="50" applyNumberFormat="1" applyFont="1" applyFill="1" applyBorder="1" applyAlignment="1">
      <alignment horizontal="center" vertical="center" wrapText="1"/>
    </xf>
    <xf numFmtId="0" fontId="2" fillId="0" borderId="11" xfId="50" applyNumberFormat="1" applyFont="1" applyFill="1" applyBorder="1" applyAlignment="1">
      <alignment horizontal="center" vertical="center" wrapText="1"/>
    </xf>
    <xf numFmtId="179" fontId="2" fillId="0" borderId="8" xfId="50" applyNumberFormat="1" applyFont="1" applyFill="1" applyBorder="1" applyAlignment="1">
      <alignment horizontal="center" vertical="center" wrapText="1"/>
    </xf>
    <xf numFmtId="0" fontId="2" fillId="0" borderId="8" xfId="50" applyNumberFormat="1" applyFont="1" applyFill="1" applyBorder="1" applyAlignment="1">
      <alignment vertical="center" wrapText="1"/>
    </xf>
    <xf numFmtId="0" fontId="16" fillId="0" borderId="8" xfId="5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 wrapText="1"/>
    </xf>
    <xf numFmtId="177" fontId="17" fillId="0" borderId="8" xfId="0" applyNumberFormat="1" applyFont="1" applyFill="1" applyBorder="1" applyAlignment="1">
      <alignment horizontal="center" vertical="center"/>
    </xf>
    <xf numFmtId="5" fontId="5" fillId="0" borderId="8" xfId="0" applyNumberFormat="1" applyFont="1" applyFill="1" applyBorder="1" applyAlignment="1">
      <alignment horizontal="center" vertical="center"/>
    </xf>
    <xf numFmtId="7" fontId="5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8" fillId="0" borderId="8" xfId="50" applyNumberFormat="1" applyFont="1" applyFill="1" applyBorder="1" applyAlignment="1">
      <alignment horizontal="center" vertical="center" wrapText="1"/>
    </xf>
    <xf numFmtId="177" fontId="8" fillId="0" borderId="8" xfId="50" applyNumberFormat="1" applyFont="1" applyFill="1" applyBorder="1" applyAlignment="1">
      <alignment horizontal="center" vertical="center" wrapText="1"/>
    </xf>
    <xf numFmtId="5" fontId="9" fillId="0" borderId="8" xfId="50" applyNumberFormat="1" applyFont="1" applyFill="1" applyBorder="1" applyAlignment="1">
      <alignment horizontal="center" vertical="center" wrapText="1"/>
    </xf>
    <xf numFmtId="7" fontId="9" fillId="0" borderId="8" xfId="50" applyNumberFormat="1" applyFont="1" applyFill="1" applyBorder="1" applyAlignment="1">
      <alignment horizontal="center" vertical="center" wrapText="1"/>
    </xf>
    <xf numFmtId="0" fontId="9" fillId="0" borderId="8" xfId="50" applyNumberFormat="1" applyFont="1" applyFill="1" applyBorder="1" applyAlignment="1">
      <alignment horizontal="center" vertical="center" wrapText="1"/>
    </xf>
    <xf numFmtId="0" fontId="8" fillId="0" borderId="12" xfId="50" applyNumberFormat="1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5" fontId="1" fillId="0" borderId="14" xfId="0" applyNumberFormat="1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58" fontId="20" fillId="0" borderId="8" xfId="0" applyNumberFormat="1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 3" xfId="49"/>
    <cellStyle name="Normal 2" xfId="50"/>
    <cellStyle name="0,0_x000a__x000a_NA_x000a__x000a_" xfId="5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FF"/>
      <color rgb="00FFC000"/>
      <color rgb="0028F871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187960</xdr:colOff>
      <xdr:row>1</xdr:row>
      <xdr:rowOff>873125</xdr:rowOff>
    </xdr:from>
    <xdr:to>
      <xdr:col>5</xdr:col>
      <xdr:colOff>1183005</xdr:colOff>
      <xdr:row>1</xdr:row>
      <xdr:rowOff>902970</xdr:rowOff>
    </xdr:to>
    <xdr:pic>
      <xdr:nvPicPr>
        <xdr:cNvPr id="2" name="Picture 3" descr=" "/>
        <xdr:cNvPicPr/>
      </xdr:nvPicPr>
      <xdr:blipFill>
        <a:blip r:embed="rId1"/>
        <a:srcRect/>
        <a:stretch>
          <a:fillRect/>
        </a:stretch>
      </xdr:blipFill>
      <xdr:spPr>
        <a:xfrm>
          <a:off x="8128635" y="3349625"/>
          <a:ext cx="995045" cy="15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tabSelected="1" view="pageBreakPreview" zoomScale="55" zoomScaleNormal="90" workbookViewId="0">
      <pane ySplit="2" topLeftCell="A17" activePane="bottomLeft" state="frozen"/>
      <selection/>
      <selection pane="bottomLeft" activeCell="H18" sqref="H18"/>
    </sheetView>
  </sheetViews>
  <sheetFormatPr defaultColWidth="9" defaultRowHeight="18"/>
  <cols>
    <col min="1" max="1" width="9" style="1" customWidth="1"/>
    <col min="2" max="2" width="39.5" style="5" customWidth="1"/>
    <col min="3" max="3" width="26.3" style="1" customWidth="1"/>
    <col min="4" max="4" width="13.7166666666667" style="1" customWidth="1"/>
    <col min="5" max="5" width="15.6916666666667" style="1" customWidth="1"/>
    <col min="6" max="6" width="15.9083333333333" style="1" customWidth="1"/>
    <col min="7" max="7" width="23.3" style="1" customWidth="1"/>
    <col min="8" max="8" width="47.075" style="6" customWidth="1"/>
    <col min="9" max="9" width="16.9" style="1" customWidth="1"/>
    <col min="10" max="10" width="14.3333333333333" style="1" customWidth="1"/>
    <col min="11" max="11" width="17.0416666666667" style="7" customWidth="1"/>
    <col min="12" max="12" width="10.3583333333333" style="1" customWidth="1"/>
    <col min="13" max="13" width="16.3583333333333" style="8" customWidth="1"/>
    <col min="14" max="14" width="20.275" style="9" customWidth="1"/>
    <col min="15" max="15" width="16.5333333333333" style="1" customWidth="1"/>
    <col min="16" max="16" width="21.5083333333333" style="1" customWidth="1"/>
    <col min="17" max="17" width="18.0333333333333" style="10" customWidth="1"/>
    <col min="18" max="22" width="9" style="1"/>
    <col min="23" max="23" width="11.5833333333333" style="1"/>
    <col min="24" max="16384" width="9" style="1"/>
  </cols>
  <sheetData>
    <row r="1" customFormat="1" ht="195" customHeight="1" spans="1:17">
      <c r="A1" s="11" t="s">
        <v>0</v>
      </c>
      <c r="B1" s="12"/>
      <c r="C1" s="12"/>
      <c r="D1" s="12"/>
      <c r="E1" s="12"/>
      <c r="F1" s="13"/>
      <c r="G1" s="14" t="s">
        <v>1</v>
      </c>
      <c r="H1" s="14"/>
      <c r="I1" s="14"/>
      <c r="J1" s="14"/>
      <c r="K1" s="14"/>
      <c r="L1" s="14"/>
      <c r="M1" s="14"/>
      <c r="N1" s="15"/>
      <c r="O1" s="16" t="str">
        <f>_xlfn.DISPIMG("ID_2AB6C2DF03EC4B189D9084FA977CA6E6",1)</f>
        <v>=DISPIMG("ID_2AB6C2DF03EC4B189D9084FA977CA6E6",1)</v>
      </c>
      <c r="P1" s="17"/>
      <c r="Q1" s="18"/>
    </row>
    <row r="2" s="1" customFormat="1" ht="70" customHeight="1" spans="1:17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19" t="s">
        <v>10</v>
      </c>
      <c r="J2" s="19" t="s">
        <v>11</v>
      </c>
      <c r="K2" s="20" t="s">
        <v>6</v>
      </c>
      <c r="L2" s="19" t="s">
        <v>12</v>
      </c>
      <c r="M2" s="21" t="s">
        <v>13</v>
      </c>
      <c r="N2" s="22" t="s">
        <v>14</v>
      </c>
      <c r="O2" s="19" t="s">
        <v>15</v>
      </c>
      <c r="P2" s="23" t="s">
        <v>16</v>
      </c>
      <c r="Q2" s="24" t="s">
        <v>17</v>
      </c>
    </row>
    <row r="3" s="2" customFormat="1" ht="72" customHeight="1" spans="1:17">
      <c r="A3" s="25">
        <v>1</v>
      </c>
      <c r="B3" s="26" t="s">
        <v>18</v>
      </c>
      <c r="C3" s="26"/>
      <c r="D3" s="27" t="s">
        <v>19</v>
      </c>
      <c r="E3" s="28">
        <v>20</v>
      </c>
      <c r="F3" s="29"/>
      <c r="G3" s="30">
        <v>8010071366</v>
      </c>
      <c r="H3" s="31" t="s">
        <v>20</v>
      </c>
      <c r="I3" s="31" t="s">
        <v>21</v>
      </c>
      <c r="J3" s="27" t="s">
        <v>19</v>
      </c>
      <c r="K3" s="28">
        <v>20</v>
      </c>
      <c r="L3" s="29" t="s">
        <v>22</v>
      </c>
      <c r="M3" s="32">
        <v>11106</v>
      </c>
      <c r="N3" s="32">
        <f>M3*K3</f>
        <v>222120</v>
      </c>
      <c r="O3" s="29"/>
      <c r="P3" s="29"/>
      <c r="Q3" s="33"/>
    </row>
    <row r="4" s="2" customFormat="1" ht="65" customHeight="1" spans="1:17">
      <c r="A4" s="25">
        <v>2</v>
      </c>
      <c r="B4" s="26" t="s">
        <v>23</v>
      </c>
      <c r="C4" s="26"/>
      <c r="D4" s="27" t="s">
        <v>19</v>
      </c>
      <c r="E4" s="28">
        <v>1</v>
      </c>
      <c r="F4" s="29"/>
      <c r="G4" s="30">
        <v>8010071371</v>
      </c>
      <c r="H4" s="31" t="s">
        <v>24</v>
      </c>
      <c r="I4" s="31" t="s">
        <v>25</v>
      </c>
      <c r="J4" s="27" t="s">
        <v>19</v>
      </c>
      <c r="K4" s="28">
        <v>1</v>
      </c>
      <c r="L4" s="29" t="s">
        <v>22</v>
      </c>
      <c r="M4" s="32">
        <v>16614</v>
      </c>
      <c r="N4" s="32">
        <f t="shared" ref="N4:N25" si="0">M4*K4</f>
        <v>16614</v>
      </c>
      <c r="O4" s="29"/>
      <c r="P4" s="29"/>
      <c r="Q4" s="33"/>
    </row>
    <row r="5" s="2" customFormat="1" ht="65" customHeight="1" spans="1:17">
      <c r="A5" s="25">
        <v>3</v>
      </c>
      <c r="B5" s="26" t="s">
        <v>26</v>
      </c>
      <c r="C5" s="26"/>
      <c r="D5" s="27" t="s">
        <v>19</v>
      </c>
      <c r="E5" s="28">
        <v>1</v>
      </c>
      <c r="F5" s="29"/>
      <c r="G5" s="30">
        <v>8010071458</v>
      </c>
      <c r="H5" s="31" t="s">
        <v>27</v>
      </c>
      <c r="I5" s="31" t="s">
        <v>28</v>
      </c>
      <c r="J5" s="27" t="s">
        <v>19</v>
      </c>
      <c r="K5" s="28">
        <v>1</v>
      </c>
      <c r="L5" s="29" t="s">
        <v>22</v>
      </c>
      <c r="M5" s="32">
        <v>9986</v>
      </c>
      <c r="N5" s="32">
        <f t="shared" si="0"/>
        <v>9986</v>
      </c>
      <c r="O5" s="29"/>
      <c r="P5" s="29"/>
      <c r="Q5" s="33"/>
    </row>
    <row r="6" s="2" customFormat="1" ht="65" customHeight="1" spans="1:17">
      <c r="A6" s="25">
        <v>4</v>
      </c>
      <c r="B6" s="26" t="s">
        <v>29</v>
      </c>
      <c r="C6" s="26"/>
      <c r="D6" s="27" t="s">
        <v>19</v>
      </c>
      <c r="E6" s="28">
        <v>12</v>
      </c>
      <c r="F6" s="29"/>
      <c r="G6" s="30">
        <v>8010071405</v>
      </c>
      <c r="H6" s="31" t="s">
        <v>30</v>
      </c>
      <c r="I6" s="31" t="s">
        <v>31</v>
      </c>
      <c r="J6" s="27" t="s">
        <v>19</v>
      </c>
      <c r="K6" s="28">
        <v>12</v>
      </c>
      <c r="L6" s="29" t="s">
        <v>22</v>
      </c>
      <c r="M6" s="32">
        <v>11880</v>
      </c>
      <c r="N6" s="32">
        <f t="shared" si="0"/>
        <v>142560</v>
      </c>
      <c r="O6" s="29"/>
      <c r="P6" s="29"/>
      <c r="Q6" s="33"/>
    </row>
    <row r="7" s="2" customFormat="1" ht="65" customHeight="1" spans="1:17">
      <c r="A7" s="25">
        <v>5</v>
      </c>
      <c r="B7" s="26" t="s">
        <v>32</v>
      </c>
      <c r="C7" s="26"/>
      <c r="D7" s="27" t="s">
        <v>19</v>
      </c>
      <c r="E7" s="28">
        <v>2</v>
      </c>
      <c r="F7" s="29"/>
      <c r="G7" s="30">
        <v>8010071415</v>
      </c>
      <c r="H7" s="31" t="s">
        <v>33</v>
      </c>
      <c r="I7" s="31" t="s">
        <v>31</v>
      </c>
      <c r="J7" s="27" t="s">
        <v>19</v>
      </c>
      <c r="K7" s="28">
        <v>2</v>
      </c>
      <c r="L7" s="29" t="s">
        <v>22</v>
      </c>
      <c r="M7" s="32">
        <v>14678</v>
      </c>
      <c r="N7" s="32">
        <f t="shared" si="0"/>
        <v>29356</v>
      </c>
      <c r="O7" s="29"/>
      <c r="P7" s="29"/>
      <c r="Q7" s="33"/>
    </row>
    <row r="8" s="2" customFormat="1" ht="65" customHeight="1" spans="1:17">
      <c r="A8" s="25">
        <v>6</v>
      </c>
      <c r="B8" s="26" t="s">
        <v>34</v>
      </c>
      <c r="C8" s="26"/>
      <c r="D8" s="27" t="s">
        <v>19</v>
      </c>
      <c r="E8" s="28">
        <v>3</v>
      </c>
      <c r="F8" s="29"/>
      <c r="G8" s="30">
        <v>8010071367</v>
      </c>
      <c r="H8" s="31" t="s">
        <v>35</v>
      </c>
      <c r="I8" s="31" t="s">
        <v>36</v>
      </c>
      <c r="J8" s="27" t="s">
        <v>19</v>
      </c>
      <c r="K8" s="28">
        <v>3</v>
      </c>
      <c r="L8" s="29" t="s">
        <v>22</v>
      </c>
      <c r="M8" s="32">
        <v>11278</v>
      </c>
      <c r="N8" s="32">
        <f t="shared" si="0"/>
        <v>33834</v>
      </c>
      <c r="O8" s="29"/>
      <c r="P8" s="29"/>
      <c r="Q8" s="33"/>
    </row>
    <row r="9" s="2" customFormat="1" ht="65" customHeight="1" spans="1:17">
      <c r="A9" s="25">
        <v>7</v>
      </c>
      <c r="B9" s="26" t="s">
        <v>37</v>
      </c>
      <c r="C9" s="26"/>
      <c r="D9" s="27" t="s">
        <v>19</v>
      </c>
      <c r="E9" s="28">
        <v>3</v>
      </c>
      <c r="F9" s="29"/>
      <c r="G9" s="30">
        <v>8010071368</v>
      </c>
      <c r="H9" s="31" t="s">
        <v>38</v>
      </c>
      <c r="I9" s="31" t="s">
        <v>39</v>
      </c>
      <c r="J9" s="27" t="s">
        <v>19</v>
      </c>
      <c r="K9" s="28">
        <v>3</v>
      </c>
      <c r="L9" s="29" t="s">
        <v>22</v>
      </c>
      <c r="M9" s="32">
        <v>11793</v>
      </c>
      <c r="N9" s="32">
        <f t="shared" si="0"/>
        <v>35379</v>
      </c>
      <c r="O9" s="29"/>
      <c r="P9" s="29"/>
      <c r="Q9" s="33"/>
    </row>
    <row r="10" s="2" customFormat="1" ht="65" customHeight="1" spans="1:17">
      <c r="A10" s="25">
        <v>8</v>
      </c>
      <c r="B10" s="26" t="s">
        <v>40</v>
      </c>
      <c r="C10" s="26"/>
      <c r="D10" s="27" t="s">
        <v>19</v>
      </c>
      <c r="E10" s="28">
        <v>6</v>
      </c>
      <c r="F10" s="29"/>
      <c r="G10" s="30">
        <v>8010071446</v>
      </c>
      <c r="H10" s="31" t="s">
        <v>41</v>
      </c>
      <c r="I10" s="31" t="s">
        <v>42</v>
      </c>
      <c r="J10" s="27" t="s">
        <v>19</v>
      </c>
      <c r="K10" s="28">
        <v>6</v>
      </c>
      <c r="L10" s="29" t="s">
        <v>22</v>
      </c>
      <c r="M10" s="32">
        <v>1636</v>
      </c>
      <c r="N10" s="32">
        <f t="shared" si="0"/>
        <v>9816</v>
      </c>
      <c r="O10" s="29"/>
      <c r="P10" s="29"/>
      <c r="Q10" s="33"/>
    </row>
    <row r="11" s="2" customFormat="1" ht="65" customHeight="1" spans="1:17">
      <c r="A11" s="25">
        <v>9</v>
      </c>
      <c r="B11" s="26" t="s">
        <v>43</v>
      </c>
      <c r="C11" s="26"/>
      <c r="D11" s="27" t="s">
        <v>19</v>
      </c>
      <c r="E11" s="28">
        <v>5</v>
      </c>
      <c r="F11" s="29"/>
      <c r="G11" s="30">
        <v>8010071360</v>
      </c>
      <c r="H11" s="31" t="s">
        <v>44</v>
      </c>
      <c r="I11" s="31" t="s">
        <v>45</v>
      </c>
      <c r="J11" s="27" t="s">
        <v>19</v>
      </c>
      <c r="K11" s="28">
        <v>5</v>
      </c>
      <c r="L11" s="29" t="s">
        <v>22</v>
      </c>
      <c r="M11" s="32">
        <v>2109</v>
      </c>
      <c r="N11" s="32">
        <f t="shared" si="0"/>
        <v>10545</v>
      </c>
      <c r="O11" s="29"/>
      <c r="P11" s="29"/>
      <c r="Q11" s="33"/>
    </row>
    <row r="12" s="2" customFormat="1" ht="65" customHeight="1" spans="1:17">
      <c r="A12" s="25">
        <v>10</v>
      </c>
      <c r="B12" s="26" t="s">
        <v>46</v>
      </c>
      <c r="C12" s="26"/>
      <c r="D12" s="27" t="s">
        <v>19</v>
      </c>
      <c r="E12" s="28">
        <v>1</v>
      </c>
      <c r="F12" s="29"/>
      <c r="G12" s="30">
        <v>8010071447</v>
      </c>
      <c r="H12" s="31" t="s">
        <v>47</v>
      </c>
      <c r="I12" s="31" t="s">
        <v>48</v>
      </c>
      <c r="J12" s="27" t="s">
        <v>19</v>
      </c>
      <c r="K12" s="28">
        <v>1</v>
      </c>
      <c r="L12" s="29" t="s">
        <v>22</v>
      </c>
      <c r="M12" s="32">
        <v>1851</v>
      </c>
      <c r="N12" s="32">
        <f t="shared" si="0"/>
        <v>1851</v>
      </c>
      <c r="O12" s="29"/>
      <c r="P12" s="29"/>
      <c r="Q12" s="33"/>
    </row>
    <row r="13" s="2" customFormat="1" ht="65" customHeight="1" spans="1:17">
      <c r="A13" s="25">
        <v>11</v>
      </c>
      <c r="B13" s="26" t="s">
        <v>49</v>
      </c>
      <c r="C13" s="26"/>
      <c r="D13" s="27" t="s">
        <v>19</v>
      </c>
      <c r="E13" s="28">
        <v>10</v>
      </c>
      <c r="F13" s="29"/>
      <c r="G13" s="30">
        <v>8010071445</v>
      </c>
      <c r="H13" s="31" t="s">
        <v>50</v>
      </c>
      <c r="I13" s="31" t="s">
        <v>45</v>
      </c>
      <c r="J13" s="27" t="s">
        <v>19</v>
      </c>
      <c r="K13" s="28">
        <v>10</v>
      </c>
      <c r="L13" s="29" t="s">
        <v>22</v>
      </c>
      <c r="M13" s="32">
        <v>1119</v>
      </c>
      <c r="N13" s="32">
        <f t="shared" si="0"/>
        <v>11190</v>
      </c>
      <c r="O13" s="29"/>
      <c r="P13" s="29"/>
      <c r="Q13" s="33"/>
    </row>
    <row r="14" s="2" customFormat="1" ht="65" customHeight="1" spans="1:17">
      <c r="A14" s="25">
        <v>12</v>
      </c>
      <c r="B14" s="26" t="s">
        <v>51</v>
      </c>
      <c r="C14" s="26"/>
      <c r="D14" s="27" t="s">
        <v>19</v>
      </c>
      <c r="E14" s="28">
        <v>2</v>
      </c>
      <c r="F14" s="29"/>
      <c r="G14" s="30">
        <v>8010071369</v>
      </c>
      <c r="H14" s="31" t="s">
        <v>52</v>
      </c>
      <c r="I14" s="31" t="s">
        <v>53</v>
      </c>
      <c r="J14" s="27" t="s">
        <v>19</v>
      </c>
      <c r="K14" s="28">
        <v>2</v>
      </c>
      <c r="L14" s="29" t="s">
        <v>22</v>
      </c>
      <c r="M14" s="32">
        <v>12138</v>
      </c>
      <c r="N14" s="32">
        <f t="shared" si="0"/>
        <v>24276</v>
      </c>
      <c r="O14" s="29"/>
      <c r="P14" s="29"/>
      <c r="Q14" s="33"/>
    </row>
    <row r="15" s="2" customFormat="1" ht="65" customHeight="1" spans="1:17">
      <c r="A15" s="25">
        <v>13</v>
      </c>
      <c r="B15" s="26" t="s">
        <v>54</v>
      </c>
      <c r="C15" s="26"/>
      <c r="D15" s="27" t="s">
        <v>19</v>
      </c>
      <c r="E15" s="28">
        <v>7</v>
      </c>
      <c r="F15" s="29"/>
      <c r="G15" s="30">
        <v>8010071363</v>
      </c>
      <c r="H15" s="31" t="s">
        <v>55</v>
      </c>
      <c r="I15" s="31" t="s">
        <v>56</v>
      </c>
      <c r="J15" s="27" t="s">
        <v>19</v>
      </c>
      <c r="K15" s="28">
        <v>7</v>
      </c>
      <c r="L15" s="29" t="s">
        <v>22</v>
      </c>
      <c r="M15" s="32">
        <v>6887</v>
      </c>
      <c r="N15" s="32">
        <f t="shared" si="0"/>
        <v>48209</v>
      </c>
      <c r="O15" s="29"/>
      <c r="P15" s="29"/>
      <c r="Q15" s="33"/>
    </row>
    <row r="16" s="2" customFormat="1" ht="65" customHeight="1" spans="1:17">
      <c r="A16" s="25">
        <v>14</v>
      </c>
      <c r="B16" s="26" t="s">
        <v>57</v>
      </c>
      <c r="C16" s="26"/>
      <c r="D16" s="27" t="s">
        <v>19</v>
      </c>
      <c r="E16" s="28">
        <v>2</v>
      </c>
      <c r="F16" s="29"/>
      <c r="G16" s="30">
        <v>8010071448</v>
      </c>
      <c r="H16" s="31" t="s">
        <v>58</v>
      </c>
      <c r="I16" s="31" t="s">
        <v>56</v>
      </c>
      <c r="J16" s="27" t="s">
        <v>19</v>
      </c>
      <c r="K16" s="28">
        <v>2</v>
      </c>
      <c r="L16" s="29" t="s">
        <v>22</v>
      </c>
      <c r="M16" s="32">
        <v>3186</v>
      </c>
      <c r="N16" s="32">
        <f t="shared" si="0"/>
        <v>6372</v>
      </c>
      <c r="O16" s="29"/>
      <c r="P16" s="29"/>
      <c r="Q16" s="33"/>
    </row>
    <row r="17" s="2" customFormat="1" ht="65" customHeight="1" spans="1:17">
      <c r="A17" s="25">
        <v>15</v>
      </c>
      <c r="B17" s="26" t="s">
        <v>59</v>
      </c>
      <c r="C17" s="26"/>
      <c r="D17" s="27" t="s">
        <v>19</v>
      </c>
      <c r="E17" s="28">
        <v>1</v>
      </c>
      <c r="F17" s="29"/>
      <c r="G17" s="30">
        <v>8010071453</v>
      </c>
      <c r="H17" s="31" t="s">
        <v>60</v>
      </c>
      <c r="I17" s="31" t="s">
        <v>39</v>
      </c>
      <c r="J17" s="27" t="s">
        <v>19</v>
      </c>
      <c r="K17" s="28">
        <v>1</v>
      </c>
      <c r="L17" s="29" t="s">
        <v>22</v>
      </c>
      <c r="M17" s="32">
        <v>6026</v>
      </c>
      <c r="N17" s="32">
        <f t="shared" si="0"/>
        <v>6026</v>
      </c>
      <c r="O17" s="29"/>
      <c r="P17" s="29"/>
      <c r="Q17" s="33"/>
    </row>
    <row r="18" s="2" customFormat="1" ht="65" customHeight="1" spans="1:17">
      <c r="A18" s="25">
        <v>16</v>
      </c>
      <c r="B18" s="26" t="s">
        <v>61</v>
      </c>
      <c r="C18" s="26"/>
      <c r="D18" s="27" t="s">
        <v>19</v>
      </c>
      <c r="E18" s="28">
        <v>2</v>
      </c>
      <c r="F18" s="29"/>
      <c r="G18" s="30">
        <v>8010071362</v>
      </c>
      <c r="H18" s="31" t="s">
        <v>62</v>
      </c>
      <c r="I18" s="31" t="s">
        <v>48</v>
      </c>
      <c r="J18" s="27" t="s">
        <v>19</v>
      </c>
      <c r="K18" s="28">
        <v>2</v>
      </c>
      <c r="L18" s="29" t="s">
        <v>22</v>
      </c>
      <c r="M18" s="32">
        <v>3960</v>
      </c>
      <c r="N18" s="32">
        <f t="shared" si="0"/>
        <v>7920</v>
      </c>
      <c r="O18" s="29"/>
      <c r="P18" s="29"/>
      <c r="Q18" s="33"/>
    </row>
    <row r="19" s="2" customFormat="1" ht="65" customHeight="1" spans="1:17">
      <c r="A19" s="25">
        <v>17</v>
      </c>
      <c r="B19" s="26" t="s">
        <v>63</v>
      </c>
      <c r="C19" s="26"/>
      <c r="D19" s="27" t="s">
        <v>19</v>
      </c>
      <c r="E19" s="28">
        <v>10</v>
      </c>
      <c r="F19" s="29"/>
      <c r="G19" s="30">
        <v>8010071402</v>
      </c>
      <c r="H19" s="31" t="s">
        <v>64</v>
      </c>
      <c r="I19" s="31" t="s">
        <v>65</v>
      </c>
      <c r="J19" s="27" t="s">
        <v>19</v>
      </c>
      <c r="K19" s="28">
        <v>10</v>
      </c>
      <c r="L19" s="29" t="s">
        <v>22</v>
      </c>
      <c r="M19" s="32">
        <v>1712</v>
      </c>
      <c r="N19" s="32">
        <f t="shared" si="0"/>
        <v>17120</v>
      </c>
      <c r="O19" s="29"/>
      <c r="P19" s="29"/>
      <c r="Q19" s="33"/>
    </row>
    <row r="20" s="2" customFormat="1" ht="65" customHeight="1" spans="1:17">
      <c r="A20" s="25">
        <v>18</v>
      </c>
      <c r="B20" s="26" t="s">
        <v>66</v>
      </c>
      <c r="C20" s="26"/>
      <c r="D20" s="27" t="s">
        <v>67</v>
      </c>
      <c r="E20" s="28">
        <v>5</v>
      </c>
      <c r="F20" s="29"/>
      <c r="G20" s="30">
        <v>8010062269</v>
      </c>
      <c r="H20" s="31" t="s">
        <v>68</v>
      </c>
      <c r="I20" s="31" t="s">
        <v>31</v>
      </c>
      <c r="J20" s="27" t="s">
        <v>69</v>
      </c>
      <c r="K20" s="28">
        <v>5</v>
      </c>
      <c r="L20" s="29" t="s">
        <v>22</v>
      </c>
      <c r="M20" s="32">
        <v>91087</v>
      </c>
      <c r="N20" s="32">
        <f t="shared" si="0"/>
        <v>455435</v>
      </c>
      <c r="O20" s="29"/>
      <c r="P20" s="29"/>
      <c r="Q20" s="33"/>
    </row>
    <row r="21" s="2" customFormat="1" ht="65" customHeight="1" spans="1:17">
      <c r="A21" s="25">
        <v>19</v>
      </c>
      <c r="B21" s="26" t="s">
        <v>70</v>
      </c>
      <c r="C21" s="26"/>
      <c r="D21" s="27" t="s">
        <v>67</v>
      </c>
      <c r="E21" s="28">
        <v>3</v>
      </c>
      <c r="F21" s="29"/>
      <c r="G21" s="30">
        <v>8010062268</v>
      </c>
      <c r="H21" s="31" t="s">
        <v>71</v>
      </c>
      <c r="I21" s="31" t="s">
        <v>72</v>
      </c>
      <c r="J21" s="27" t="s">
        <v>69</v>
      </c>
      <c r="K21" s="28">
        <v>3</v>
      </c>
      <c r="L21" s="29" t="s">
        <v>22</v>
      </c>
      <c r="M21" s="32">
        <v>58793</v>
      </c>
      <c r="N21" s="32">
        <f t="shared" si="0"/>
        <v>176379</v>
      </c>
      <c r="O21" s="29"/>
      <c r="P21" s="29"/>
      <c r="Q21" s="33"/>
    </row>
    <row r="22" s="2" customFormat="1" ht="65" customHeight="1" spans="1:17">
      <c r="A22" s="25">
        <v>20</v>
      </c>
      <c r="B22" s="26" t="s">
        <v>73</v>
      </c>
      <c r="C22" s="26"/>
      <c r="D22" s="27" t="s">
        <v>67</v>
      </c>
      <c r="E22" s="28">
        <v>3</v>
      </c>
      <c r="F22" s="29"/>
      <c r="G22" s="30">
        <v>8010062267</v>
      </c>
      <c r="H22" s="31" t="s">
        <v>74</v>
      </c>
      <c r="I22" s="31" t="s">
        <v>75</v>
      </c>
      <c r="J22" s="27" t="s">
        <v>69</v>
      </c>
      <c r="K22" s="28">
        <v>3</v>
      </c>
      <c r="L22" s="29" t="s">
        <v>22</v>
      </c>
      <c r="M22" s="32">
        <v>36159</v>
      </c>
      <c r="N22" s="32">
        <f t="shared" si="0"/>
        <v>108477</v>
      </c>
      <c r="O22" s="29"/>
      <c r="P22" s="29"/>
      <c r="Q22" s="33"/>
    </row>
    <row r="23" s="2" customFormat="1" ht="65" customHeight="1" spans="1:17">
      <c r="A23" s="25">
        <v>21</v>
      </c>
      <c r="B23" s="26" t="s">
        <v>76</v>
      </c>
      <c r="C23" s="26"/>
      <c r="D23" s="27" t="s">
        <v>67</v>
      </c>
      <c r="E23" s="28">
        <v>4</v>
      </c>
      <c r="F23" s="29"/>
      <c r="G23" s="30">
        <v>8010062266</v>
      </c>
      <c r="H23" s="31" t="s">
        <v>77</v>
      </c>
      <c r="I23" s="31" t="s">
        <v>65</v>
      </c>
      <c r="J23" s="27" t="s">
        <v>69</v>
      </c>
      <c r="K23" s="28">
        <v>4</v>
      </c>
      <c r="L23" s="29" t="s">
        <v>22</v>
      </c>
      <c r="M23" s="32">
        <v>22541</v>
      </c>
      <c r="N23" s="32">
        <f t="shared" si="0"/>
        <v>90164</v>
      </c>
      <c r="O23" s="29"/>
      <c r="P23" s="29"/>
      <c r="Q23" s="33"/>
    </row>
    <row r="24" s="2" customFormat="1" ht="65" customHeight="1" spans="1:17">
      <c r="A24" s="25">
        <v>22</v>
      </c>
      <c r="B24" s="26" t="s">
        <v>78</v>
      </c>
      <c r="C24" s="26"/>
      <c r="D24" s="27" t="s">
        <v>19</v>
      </c>
      <c r="E24" s="28">
        <v>18</v>
      </c>
      <c r="F24" s="29"/>
      <c r="G24" s="30">
        <v>8010071733</v>
      </c>
      <c r="H24" s="31" t="s">
        <v>79</v>
      </c>
      <c r="I24" s="31" t="s">
        <v>80</v>
      </c>
      <c r="J24" s="27" t="s">
        <v>19</v>
      </c>
      <c r="K24" s="28">
        <v>18</v>
      </c>
      <c r="L24" s="29" t="s">
        <v>22</v>
      </c>
      <c r="M24" s="32">
        <v>8308</v>
      </c>
      <c r="N24" s="32">
        <f t="shared" si="0"/>
        <v>149544</v>
      </c>
      <c r="O24" s="29"/>
      <c r="P24" s="29"/>
      <c r="Q24" s="33"/>
    </row>
    <row r="25" s="2" customFormat="1" ht="65" customHeight="1" spans="1:17">
      <c r="A25" s="25">
        <v>23</v>
      </c>
      <c r="B25" s="26" t="s">
        <v>81</v>
      </c>
      <c r="C25" s="26"/>
      <c r="D25" s="27" t="s">
        <v>19</v>
      </c>
      <c r="E25" s="28">
        <v>1</v>
      </c>
      <c r="F25" s="29"/>
      <c r="G25" s="30">
        <v>8010071497</v>
      </c>
      <c r="H25" s="31" t="s">
        <v>82</v>
      </c>
      <c r="I25" s="31" t="s">
        <v>83</v>
      </c>
      <c r="J25" s="27" t="s">
        <v>19</v>
      </c>
      <c r="K25" s="28">
        <v>1</v>
      </c>
      <c r="L25" s="29" t="s">
        <v>22</v>
      </c>
      <c r="M25" s="32">
        <v>171480</v>
      </c>
      <c r="N25" s="32">
        <f t="shared" si="0"/>
        <v>171480</v>
      </c>
      <c r="O25" s="29"/>
      <c r="P25" s="29"/>
      <c r="Q25" s="33"/>
    </row>
    <row r="26" s="2" customFormat="1" ht="65" customHeight="1" spans="1:17">
      <c r="A26" s="34" t="s">
        <v>84</v>
      </c>
      <c r="B26" s="31"/>
      <c r="C26" s="35"/>
      <c r="D26" s="36"/>
      <c r="E26" s="36"/>
      <c r="F26" s="36"/>
      <c r="G26" s="36"/>
      <c r="H26" s="36"/>
      <c r="I26" s="36"/>
      <c r="J26" s="36"/>
      <c r="K26" s="36"/>
      <c r="L26" s="36"/>
      <c r="M26" s="37"/>
      <c r="N26" s="32">
        <f>SUM(N3:N25)</f>
        <v>1784653</v>
      </c>
      <c r="O26" s="29"/>
      <c r="P26" s="29"/>
      <c r="Q26" s="33"/>
    </row>
    <row r="27" s="2" customFormat="1" ht="65" customHeight="1" spans="1:17">
      <c r="A27" s="34" t="s">
        <v>85</v>
      </c>
      <c r="B27" s="31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40"/>
      <c r="N27" s="32">
        <f>N26*0.11</f>
        <v>196311.83</v>
      </c>
      <c r="O27" s="41"/>
      <c r="P27" s="41"/>
      <c r="Q27" s="29"/>
    </row>
    <row r="28" s="2" customFormat="1" ht="60" customHeight="1" spans="1:17">
      <c r="A28" s="34" t="s">
        <v>86</v>
      </c>
      <c r="B28" s="31"/>
      <c r="C28" s="42"/>
      <c r="D28" s="43"/>
      <c r="E28" s="43"/>
      <c r="F28" s="43"/>
      <c r="G28" s="43"/>
      <c r="H28" s="43"/>
      <c r="I28" s="43"/>
      <c r="J28" s="43"/>
      <c r="K28" s="43"/>
      <c r="L28" s="43"/>
      <c r="M28" s="44"/>
      <c r="N28" s="45">
        <f>SUM(N26:N27)</f>
        <v>1980964.83</v>
      </c>
      <c r="O28" s="46"/>
      <c r="P28" s="46"/>
      <c r="Q28" s="46"/>
    </row>
    <row r="29" s="1" customFormat="1" ht="60" customHeight="1" spans="1:17">
      <c r="A29" s="47" t="s">
        <v>87</v>
      </c>
      <c r="B29" s="48"/>
      <c r="C29" s="49"/>
      <c r="D29" s="49"/>
      <c r="E29" s="49"/>
      <c r="F29" s="49"/>
      <c r="G29" s="49"/>
      <c r="H29" s="50"/>
      <c r="I29" s="49"/>
      <c r="J29" s="49"/>
      <c r="K29" s="51"/>
      <c r="L29" s="49"/>
      <c r="M29" s="52"/>
      <c r="N29" s="53"/>
      <c r="O29" s="49"/>
      <c r="P29" s="49"/>
      <c r="Q29" s="54"/>
    </row>
    <row r="30" s="1" customFormat="1" ht="60" customHeight="1" spans="1:17">
      <c r="A30" s="47" t="s">
        <v>88</v>
      </c>
      <c r="B30" s="48"/>
      <c r="C30" s="49"/>
      <c r="D30" s="49"/>
      <c r="E30" s="49"/>
      <c r="F30" s="49"/>
      <c r="G30" s="49"/>
      <c r="H30" s="50"/>
      <c r="I30" s="49"/>
      <c r="J30" s="49"/>
      <c r="K30" s="51"/>
      <c r="L30" s="49"/>
      <c r="M30" s="52"/>
      <c r="N30" s="53"/>
      <c r="O30" s="49"/>
      <c r="P30" s="49"/>
      <c r="Q30" s="54"/>
    </row>
    <row r="31" s="1" customFormat="1" ht="60" customHeight="1" spans="1:17">
      <c r="A31" s="55" t="s">
        <v>89</v>
      </c>
      <c r="B31" s="48"/>
      <c r="C31" s="55"/>
      <c r="D31" s="55"/>
      <c r="E31" s="55"/>
      <c r="F31" s="55"/>
      <c r="G31" s="55"/>
      <c r="H31" s="55"/>
      <c r="I31" s="55" t="s">
        <v>90</v>
      </c>
      <c r="J31" s="55"/>
      <c r="K31" s="56"/>
      <c r="L31" s="55"/>
      <c r="M31" s="57"/>
      <c r="N31" s="58"/>
      <c r="O31" s="55"/>
      <c r="P31" s="55"/>
      <c r="Q31" s="59"/>
    </row>
    <row r="32" s="1" customFormat="1" ht="70" customHeight="1" spans="1:17">
      <c r="A32" s="60" t="s">
        <v>91</v>
      </c>
      <c r="B32" s="61"/>
      <c r="C32" s="62"/>
      <c r="D32" s="62"/>
      <c r="E32" s="62"/>
      <c r="F32" s="62"/>
      <c r="G32" s="62"/>
      <c r="H32" s="62"/>
      <c r="I32" s="60" t="s">
        <v>92</v>
      </c>
      <c r="J32" s="60"/>
      <c r="K32" s="63"/>
      <c r="L32" s="64"/>
      <c r="M32" s="65"/>
      <c r="N32" s="64"/>
      <c r="O32" s="64"/>
      <c r="P32" s="64"/>
      <c r="Q32" s="66"/>
    </row>
    <row r="33" s="3" customFormat="1" ht="22" customHeight="1" spans="1:17">
      <c r="A33" s="67" t="s">
        <v>93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</row>
    <row r="34" s="3" customFormat="1" ht="27" customHeight="1" spans="1:17">
      <c r="A34" s="68" t="s">
        <v>94</v>
      </c>
      <c r="B34" s="68" t="s">
        <v>95</v>
      </c>
      <c r="C34" s="68" t="s">
        <v>96</v>
      </c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</row>
    <row r="35" s="3" customFormat="1" ht="27" customHeight="1" spans="1:17">
      <c r="A35" s="68">
        <v>1</v>
      </c>
      <c r="B35" s="69" t="s">
        <v>97</v>
      </c>
      <c r="C35" s="70" t="s">
        <v>98</v>
      </c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</row>
    <row r="36" s="3" customFormat="1" ht="27" customHeight="1" spans="1:17">
      <c r="A36" s="68">
        <v>2</v>
      </c>
      <c r="B36" s="68" t="s">
        <v>99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</row>
    <row r="37" s="3" customFormat="1" ht="27" customHeight="1" spans="1:17">
      <c r="A37" s="68">
        <v>3</v>
      </c>
      <c r="B37" s="68" t="s">
        <v>100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</row>
    <row r="38" s="3" customFormat="1" ht="27" customHeight="1" spans="1:17">
      <c r="A38" s="68">
        <v>4</v>
      </c>
      <c r="B38" s="68" t="s">
        <v>101</v>
      </c>
      <c r="C38" s="73" t="s">
        <v>102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</row>
    <row r="39" s="3" customFormat="1" ht="27" customHeight="1" spans="1:17">
      <c r="A39" s="68">
        <v>5</v>
      </c>
      <c r="B39" s="68" t="s">
        <v>103</v>
      </c>
      <c r="C39" s="72" t="s">
        <v>104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</row>
    <row r="40" s="3" customFormat="1" ht="27" customHeight="1" spans="1:17">
      <c r="A40" s="68"/>
      <c r="B40" s="68" t="s">
        <v>105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</row>
    <row r="41" s="3" customFormat="1" ht="27" customHeight="1" spans="1:17">
      <c r="A41" s="68"/>
      <c r="B41" s="68" t="s">
        <v>106</v>
      </c>
      <c r="C41" s="74" t="s">
        <v>107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</row>
    <row r="42" s="3" customFormat="1" ht="27" customHeight="1" spans="1:17">
      <c r="A42" s="68"/>
      <c r="B42" s="68" t="s">
        <v>108</v>
      </c>
      <c r="C42" s="74" t="s">
        <v>109</v>
      </c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</row>
    <row r="43" s="3" customFormat="1" ht="27" customHeight="1" spans="1:17">
      <c r="A43" s="68"/>
      <c r="B43" s="68" t="s">
        <v>110</v>
      </c>
      <c r="C43" s="74" t="s">
        <v>111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</row>
    <row r="44" s="3" customFormat="1" ht="27" customHeight="1" spans="1:17">
      <c r="A44" s="68"/>
      <c r="B44" s="68" t="s">
        <v>112</v>
      </c>
      <c r="C44" s="75" t="s">
        <v>113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</row>
    <row r="45" s="3" customFormat="1" ht="25" customHeight="1" spans="1:17">
      <c r="A45" s="75" t="s">
        <v>114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</row>
    <row r="46" s="3" customFormat="1" ht="25" customHeight="1" spans="1:17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</row>
    <row r="47" s="4" customFormat="1" ht="41" customHeight="1" spans="1:17">
      <c r="A47" s="76" t="s">
        <v>115</v>
      </c>
      <c r="B47" s="76"/>
      <c r="C47" s="76"/>
      <c r="D47" s="76"/>
      <c r="E47" s="76"/>
      <c r="F47" s="76"/>
      <c r="G47" s="76"/>
      <c r="H47" s="76" t="s">
        <v>116</v>
      </c>
      <c r="I47" s="76"/>
      <c r="J47" s="76"/>
      <c r="K47" s="76"/>
      <c r="L47" s="76"/>
      <c r="M47" s="76"/>
      <c r="N47" s="76"/>
      <c r="O47" s="76"/>
      <c r="P47" s="76"/>
      <c r="Q47" s="76"/>
    </row>
    <row r="48" s="4" customFormat="1" ht="15" spans="1:17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</row>
    <row r="49" s="4" customFormat="1" ht="15" spans="1:17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</row>
    <row r="50" s="4" customFormat="1" ht="15" spans="1:17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 s="4" customFormat="1" ht="15" spans="1:17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 s="4" customFormat="1" ht="46" customHeight="1" spans="1:17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</row>
  </sheetData>
  <autoFilter xmlns:etc="http://www.wps.cn/officeDocument/2017/etCustomData" ref="A2:Q47" etc:filterBottomFollowUsedRange="0">
    <extLst/>
  </autoFilter>
  <mergeCells count="39">
    <mergeCell ref="A1:F1"/>
    <mergeCell ref="G1:N1"/>
    <mergeCell ref="O1:Q1"/>
    <mergeCell ref="A26:B26"/>
    <mergeCell ref="C26:M26"/>
    <mergeCell ref="A27:B27"/>
    <mergeCell ref="C27:M27"/>
    <mergeCell ref="A28:B28"/>
    <mergeCell ref="C28:M28"/>
    <mergeCell ref="A29:B29"/>
    <mergeCell ref="C29:Q29"/>
    <mergeCell ref="A30:B30"/>
    <mergeCell ref="C30:Q30"/>
    <mergeCell ref="A31:B31"/>
    <mergeCell ref="C31:H31"/>
    <mergeCell ref="I31:J31"/>
    <mergeCell ref="K31:Q31"/>
    <mergeCell ref="A32:B32"/>
    <mergeCell ref="C32:H32"/>
    <mergeCell ref="I32:J32"/>
    <mergeCell ref="K32:Q32"/>
    <mergeCell ref="A33:Q33"/>
    <mergeCell ref="C34:Q34"/>
    <mergeCell ref="C35:Q35"/>
    <mergeCell ref="C36:Q36"/>
    <mergeCell ref="C37:Q37"/>
    <mergeCell ref="C38:Q38"/>
    <mergeCell ref="C39:Q39"/>
    <mergeCell ref="C40:Q40"/>
    <mergeCell ref="C41:Q41"/>
    <mergeCell ref="C42:Q42"/>
    <mergeCell ref="C43:Q43"/>
    <mergeCell ref="C44:Q44"/>
    <mergeCell ref="A47:G47"/>
    <mergeCell ref="H47:Q47"/>
    <mergeCell ref="A39:A44"/>
    <mergeCell ref="A48:G52"/>
    <mergeCell ref="A45:Q46"/>
    <mergeCell ref="H48:Q52"/>
  </mergeCells>
  <conditionalFormatting sqref="A5">
    <cfRule type="duplicateValues" dxfId="0" priority="24"/>
  </conditionalFormatting>
  <conditionalFormatting sqref="A3:A4">
    <cfRule type="duplicateValues" dxfId="0" priority="182"/>
  </conditionalFormatting>
  <conditionalFormatting sqref="A6:A25">
    <cfRule type="duplicateValues" dxfId="0" priority="23"/>
  </conditionalFormatting>
  <pageMargins left="0.2" right="0.0395833333333333" top="0.3" bottom="0.2" header="0.5" footer="0.5"/>
  <pageSetup paperSize="9" scale="36" fitToHeight="0" orientation="landscape" horizontalDpi="600"/>
  <headerFooter/>
  <ignoredErrors>
    <ignoredError sqref="N2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询价单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IMIP</dc:creator>
  <cp:lastModifiedBy>。</cp:lastModifiedBy>
  <dcterms:created xsi:type="dcterms:W3CDTF">2015-06-10T02:17:00Z</dcterms:created>
  <dcterms:modified xsi:type="dcterms:W3CDTF">2026-04-18T11:12:14Z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A0701F1CA01DAC7C9024E36815636FE1_43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