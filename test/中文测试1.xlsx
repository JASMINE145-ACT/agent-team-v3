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420"/>
  </bookViews>
  <sheets>
    <sheet name="询价单" sheetId="2" r:id="rId1"/>
  </sheets>
  <definedNames>
    <definedName name="_xlnm._FilterDatabase" localSheetId="0" hidden="1">询价单!$A$2:$R$39</definedName>
    <definedName name="_xlnm.Print_Area" localSheetId="0">询价单!$A$1:$R$44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2AB6C2DF03EC4B189D9084FA977CA6E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212310" y="0"/>
          <a:ext cx="13646150" cy="8331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59A3B94ECAA946E386D86519C8E1E117" descr="微信图片_2025-10-28_132608_65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36335" y="26716990"/>
          <a:ext cx="2204720" cy="477774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<sst xmlns="http://schemas.openxmlformats.org/spreadsheetml/2006/main" count="129" uniqueCount="93">
  <si>
    <t>万鼎国际集团                                                         VANTSING INTERNATIONAL GROUP</t>
  </si>
  <si>
    <r>
      <rPr>
        <sz val="48"/>
        <rFont val="宋体"/>
        <charset val="134"/>
      </rPr>
      <t xml:space="preserve">报价单                       </t>
    </r>
    <r>
      <rPr>
        <b/>
        <i/>
        <sz val="28"/>
        <rFont val="宋体"/>
        <charset val="134"/>
      </rPr>
      <t>QUATATION</t>
    </r>
  </si>
  <si>
    <r>
      <rPr>
        <b/>
        <sz val="12"/>
        <rFont val="Arial"/>
        <charset val="134"/>
      </rPr>
      <t xml:space="preserve">Nomor urut
</t>
    </r>
    <r>
      <rPr>
        <b/>
        <sz val="12"/>
        <rFont val="微软雅黑"/>
        <charset val="134"/>
      </rPr>
      <t>序号</t>
    </r>
  </si>
  <si>
    <r>
      <rPr>
        <b/>
        <sz val="12"/>
        <rFont val="Arial"/>
        <charset val="134"/>
      </rPr>
      <t xml:space="preserve">Nama Permintaan Barang
</t>
    </r>
    <r>
      <rPr>
        <b/>
        <sz val="12"/>
        <rFont val="宋体"/>
        <charset val="134"/>
      </rPr>
      <t>询价货物名称</t>
    </r>
  </si>
  <si>
    <r>
      <rPr>
        <b/>
        <sz val="12"/>
        <rFont val="Arial"/>
        <charset val="134"/>
      </rPr>
      <t xml:space="preserve">Spesifikasi dan Model Permintaan Barang
</t>
    </r>
    <r>
      <rPr>
        <sz val="12"/>
        <rFont val="微软雅黑"/>
        <charset val="134"/>
      </rPr>
      <t>询价规格型号</t>
    </r>
  </si>
  <si>
    <r>
      <rPr>
        <b/>
        <sz val="12"/>
        <rFont val="Arial"/>
        <charset val="134"/>
      </rPr>
      <t xml:space="preserve">Satuan
</t>
    </r>
    <r>
      <rPr>
        <sz val="12"/>
        <rFont val="微软雅黑"/>
        <charset val="134"/>
      </rPr>
      <t>单位</t>
    </r>
  </si>
  <si>
    <r>
      <rPr>
        <b/>
        <sz val="12"/>
        <rFont val="Arial"/>
        <charset val="134"/>
      </rPr>
      <t xml:space="preserve">Jumlah
</t>
    </r>
    <r>
      <rPr>
        <b/>
        <sz val="12"/>
        <rFont val="微软雅黑"/>
        <charset val="134"/>
      </rPr>
      <t>数量</t>
    </r>
  </si>
  <si>
    <t>第二次要求数量</t>
  </si>
  <si>
    <r>
      <rPr>
        <b/>
        <sz val="12"/>
        <rFont val="Arial"/>
        <charset val="134"/>
      </rPr>
      <t xml:space="preserve">picture
</t>
    </r>
    <r>
      <rPr>
        <b/>
        <sz val="12"/>
        <rFont val="宋体"/>
        <charset val="134"/>
      </rPr>
      <t>图片</t>
    </r>
  </si>
  <si>
    <r>
      <rPr>
        <b/>
        <sz val="12"/>
        <rFont val="Arial"/>
        <charset val="134"/>
      </rPr>
      <t xml:space="preserve">Product number
</t>
    </r>
    <r>
      <rPr>
        <sz val="12"/>
        <rFont val="微软雅黑"/>
        <charset val="134"/>
      </rPr>
      <t>产品编号</t>
    </r>
  </si>
  <si>
    <r>
      <rPr>
        <b/>
        <sz val="12"/>
        <rFont val="Arial"/>
        <charset val="134"/>
      </rPr>
      <t xml:space="preserve">Nama Penawaran Barang
</t>
    </r>
    <r>
      <rPr>
        <b/>
        <sz val="12"/>
        <rFont val="微软雅黑"/>
        <charset val="134"/>
      </rPr>
      <t>报价名称</t>
    </r>
  </si>
  <si>
    <r>
      <rPr>
        <b/>
        <sz val="12"/>
        <rFont val="Arial"/>
        <charset val="134"/>
      </rPr>
      <t xml:space="preserve">Spesifikasi Penawaran Barang
</t>
    </r>
    <r>
      <rPr>
        <b/>
        <sz val="12"/>
        <rFont val="微软雅黑"/>
        <charset val="134"/>
      </rPr>
      <t>报价产品规格</t>
    </r>
  </si>
  <si>
    <r>
      <rPr>
        <b/>
        <sz val="12"/>
        <rFont val="Arial"/>
        <charset val="134"/>
      </rPr>
      <t xml:space="preserve">Satuan
</t>
    </r>
    <r>
      <rPr>
        <b/>
        <sz val="12"/>
        <rFont val="微软雅黑"/>
        <charset val="134"/>
      </rPr>
      <t>单位</t>
    </r>
  </si>
  <si>
    <r>
      <rPr>
        <b/>
        <sz val="12"/>
        <rFont val="Arial"/>
        <charset val="134"/>
      </rPr>
      <t xml:space="preserve">brand
</t>
    </r>
    <r>
      <rPr>
        <b/>
        <sz val="12"/>
        <rFont val="宋体"/>
        <charset val="134"/>
      </rPr>
      <t>品牌</t>
    </r>
  </si>
  <si>
    <r>
      <rPr>
        <b/>
        <sz val="14"/>
        <rFont val="Arial"/>
        <charset val="134"/>
      </rPr>
      <t xml:space="preserve">Harga
</t>
    </r>
    <r>
      <rPr>
        <b/>
        <sz val="14"/>
        <rFont val="微软雅黑"/>
        <charset val="134"/>
      </rPr>
      <t>单价</t>
    </r>
  </si>
  <si>
    <t>总价</t>
  </si>
  <si>
    <r>
      <rPr>
        <b/>
        <sz val="12"/>
        <rFont val="Arial"/>
        <charset val="134"/>
      </rPr>
      <t xml:space="preserve">Tanggal Pengiriman Barang
</t>
    </r>
    <r>
      <rPr>
        <b/>
        <sz val="12"/>
        <rFont val="微软雅黑"/>
        <charset val="134"/>
      </rPr>
      <t>交货日期</t>
    </r>
  </si>
  <si>
    <r>
      <rPr>
        <b/>
        <sz val="16"/>
        <rFont val="Arial"/>
        <charset val="134"/>
      </rPr>
      <t xml:space="preserve">Gambar Barang
</t>
    </r>
    <r>
      <rPr>
        <b/>
        <sz val="16"/>
        <rFont val="微软雅黑"/>
        <charset val="134"/>
      </rPr>
      <t>报价产品图片</t>
    </r>
  </si>
  <si>
    <r>
      <rPr>
        <b/>
        <sz val="14"/>
        <rFont val="Arial"/>
        <charset val="134"/>
      </rPr>
      <t xml:space="preserve">NOTE
</t>
    </r>
    <r>
      <rPr>
        <b/>
        <sz val="14"/>
        <rFont val="微软雅黑"/>
        <charset val="134"/>
      </rPr>
      <t>备注</t>
    </r>
  </si>
  <si>
    <t>50  90度弯头</t>
  </si>
  <si>
    <t>个</t>
  </si>
  <si>
    <t>90°弯头(带检查口)PVC-U排水配件白色 dn50</t>
  </si>
  <si>
    <t>dn50</t>
  </si>
  <si>
    <t>110 90度弯头</t>
  </si>
  <si>
    <t>90°直角弯头PVC-U排水配件白色 dn110</t>
  </si>
  <si>
    <t>dn110</t>
  </si>
  <si>
    <t>200 90度弯头</t>
  </si>
  <si>
    <t>90°弯头印尼(日标)PVC-U管件(D排水系列)灰色 DN200 (8") 联塑</t>
  </si>
  <si>
    <t>DN200 (8")</t>
  </si>
  <si>
    <t>联塑</t>
  </si>
  <si>
    <t>110 45度弯头</t>
  </si>
  <si>
    <t>45°弯头PVC-U排水配件白色 dn110</t>
  </si>
  <si>
    <t>110*50三通</t>
  </si>
  <si>
    <t>90°异径三通PVC-U排水配件白色 dn110×50</t>
  </si>
  <si>
    <t>dn110×50</t>
  </si>
  <si>
    <t>110*110三通</t>
  </si>
  <si>
    <t>短型顺水三通印尼(日标)PVC-U管件(D排水系列)灰色 DN100 (4") 联塑</t>
  </si>
  <si>
    <t>50*50三通</t>
  </si>
  <si>
    <t>短型顺水三通印尼(日标)PVC-U管件(D排水系列)灰色 DN50 (2") 联塑</t>
  </si>
  <si>
    <t>DN50 (2")</t>
  </si>
  <si>
    <t>110*50大小头</t>
  </si>
  <si>
    <t>大小头PVC-U排水配件白色 dn110×50</t>
  </si>
  <si>
    <t>160*110大小头</t>
  </si>
  <si>
    <t>异径套印尼(日标)PVC-U管件(D排水系列)灰色 DN150x100 (6"x4") 联塑</t>
  </si>
  <si>
    <t>dn160×110</t>
  </si>
  <si>
    <t>DN50管</t>
  </si>
  <si>
    <t>根</t>
  </si>
  <si>
    <t>印尼(日标)PVC-U排水扩直口管(D排水系列)白色 DN50 (2") 4M/根 联塑</t>
  </si>
  <si>
    <t>4m/根</t>
  </si>
  <si>
    <t>DN75管</t>
  </si>
  <si>
    <t>印尼(日标)PVC-U排水扩直口管(D排水系列)白色 DN75 (3") 4M/根 联塑</t>
  </si>
  <si>
    <t>DN75 (3")</t>
  </si>
  <si>
    <t>DN100管</t>
  </si>
  <si>
    <t>印尼(日标)PVC-U排水扩直口管(D排水系列)白色 DN100 (4") 4M/根 联塑</t>
  </si>
  <si>
    <t>DN100 (4"）</t>
  </si>
  <si>
    <t>印尼(日标)PVC-U排水扩直口管(D排水系列)白色 DN150 (6") 4M/根 联塑</t>
  </si>
  <si>
    <t>DN150 (6")</t>
  </si>
  <si>
    <t>Total Excluding PPN不含税总价</t>
  </si>
  <si>
    <t>是否含PPN 11%/ Inc.or Exc.PPN 11%</t>
  </si>
  <si>
    <t>运费支付Freight Payment</t>
  </si>
  <si>
    <t>Total Include PPN (11%)含税总价</t>
  </si>
  <si>
    <t>发货地址Shipping Address</t>
  </si>
  <si>
    <r>
      <rPr>
        <b/>
        <sz val="12"/>
        <rFont val="微软雅黑"/>
        <charset val="134"/>
      </rPr>
      <t>交货地点</t>
    </r>
    <r>
      <rPr>
        <b/>
        <sz val="12"/>
        <rFont val="Arial"/>
        <charset val="134"/>
      </rPr>
      <t xml:space="preserve"> / Franco / Pengiriman</t>
    </r>
  </si>
  <si>
    <r>
      <rPr>
        <b/>
        <sz val="12"/>
        <rFont val="微软雅黑"/>
        <charset val="134"/>
      </rPr>
      <t>付款方式</t>
    </r>
    <r>
      <rPr>
        <b/>
        <sz val="12"/>
        <rFont val="Arial"/>
        <charset val="134"/>
      </rPr>
      <t xml:space="preserve"> / Payment term</t>
    </r>
  </si>
  <si>
    <r>
      <rPr>
        <b/>
        <sz val="12"/>
        <rFont val="Arial"/>
        <charset val="134"/>
      </rPr>
      <t xml:space="preserve">Perusahaan yang memberikan penawaran
</t>
    </r>
    <r>
      <rPr>
        <b/>
        <sz val="12"/>
        <rFont val="微软雅黑"/>
        <charset val="134"/>
      </rPr>
      <t>报价公司名称</t>
    </r>
  </si>
  <si>
    <r>
      <rPr>
        <b/>
        <sz val="12"/>
        <rFont val="Arial"/>
        <charset val="134"/>
      </rPr>
      <t xml:space="preserve">Tanggal Penawaran 
</t>
    </r>
    <r>
      <rPr>
        <b/>
        <sz val="12"/>
        <rFont val="微软雅黑"/>
        <charset val="134"/>
      </rPr>
      <t>报价日期</t>
    </r>
  </si>
  <si>
    <r>
      <rPr>
        <b/>
        <sz val="12"/>
        <rFont val="Arial"/>
        <charset val="134"/>
      </rPr>
      <t xml:space="preserve">Petugas Pengisian Formulir                                                               </t>
    </r>
    <r>
      <rPr>
        <b/>
        <sz val="12"/>
        <rFont val="宋体"/>
        <charset val="134"/>
      </rPr>
      <t>报单人员</t>
    </r>
  </si>
  <si>
    <t>Petugas Pengecekkan           审查人员</t>
  </si>
  <si>
    <r>
      <rPr>
        <b/>
        <sz val="11"/>
        <color theme="1"/>
        <rFont val="Times New Roman"/>
        <charset val="134"/>
      </rPr>
      <t xml:space="preserve">TERMS &amp; CONDITION </t>
    </r>
    <r>
      <rPr>
        <b/>
        <sz val="11"/>
        <color theme="1"/>
        <rFont val="宋体"/>
        <charset val="134"/>
      </rPr>
      <t>条款</t>
    </r>
    <r>
      <rPr>
        <b/>
        <sz val="11"/>
        <color theme="1"/>
        <rFont val="Times New Roman"/>
        <charset val="134"/>
      </rPr>
      <t>&amp;</t>
    </r>
    <r>
      <rPr>
        <b/>
        <sz val="11"/>
        <color theme="1"/>
        <rFont val="宋体"/>
        <charset val="134"/>
      </rPr>
      <t>条件</t>
    </r>
  </si>
  <si>
    <r>
      <rPr>
        <b/>
        <sz val="11"/>
        <color theme="1"/>
        <rFont val="Times New Roman"/>
        <charset val="134"/>
      </rPr>
      <t xml:space="preserve">No. </t>
    </r>
    <r>
      <rPr>
        <b/>
        <sz val="11"/>
        <color theme="1"/>
        <rFont val="宋体"/>
        <charset val="134"/>
      </rPr>
      <t>序号</t>
    </r>
  </si>
  <si>
    <r>
      <rPr>
        <b/>
        <sz val="11"/>
        <color theme="1"/>
        <rFont val="Times New Roman"/>
        <charset val="134"/>
      </rPr>
      <t xml:space="preserve">Item </t>
    </r>
    <r>
      <rPr>
        <b/>
        <sz val="11"/>
        <color theme="1"/>
        <rFont val="宋体"/>
        <charset val="134"/>
      </rPr>
      <t>项目</t>
    </r>
  </si>
  <si>
    <r>
      <rPr>
        <b/>
        <sz val="11"/>
        <color theme="1"/>
        <rFont val="Times New Roman"/>
        <charset val="134"/>
      </rPr>
      <t xml:space="preserve">Description </t>
    </r>
    <r>
      <rPr>
        <b/>
        <sz val="11"/>
        <color theme="1"/>
        <rFont val="宋体"/>
        <charset val="134"/>
      </rPr>
      <t>说明</t>
    </r>
  </si>
  <si>
    <t>特备备注</t>
  </si>
  <si>
    <t>LALAMOVE，运费客户支付（lalamove，Freight paid by the customer）</t>
  </si>
  <si>
    <r>
      <rPr>
        <b/>
        <sz val="11"/>
        <color theme="1"/>
        <rFont val="Times New Roman"/>
        <charset val="134"/>
      </rPr>
      <t xml:space="preserve">Delivery Time </t>
    </r>
    <r>
      <rPr>
        <b/>
        <sz val="11"/>
        <color theme="1"/>
        <rFont val="宋体"/>
        <charset val="134"/>
      </rPr>
      <t>交货时间</t>
    </r>
  </si>
  <si>
    <t>（付款后）几天交货时间为工厂发出时间</t>
  </si>
  <si>
    <r>
      <rPr>
        <b/>
        <sz val="11"/>
        <color theme="1"/>
        <rFont val="Times New Roman"/>
        <charset val="134"/>
      </rPr>
      <t xml:space="preserve">Packaging </t>
    </r>
    <r>
      <rPr>
        <b/>
        <sz val="11"/>
        <color theme="1"/>
        <rFont val="宋体"/>
        <charset val="134"/>
      </rPr>
      <t>包装</t>
    </r>
  </si>
  <si>
    <r>
      <rPr>
        <b/>
        <sz val="11"/>
        <color theme="1"/>
        <rFont val="Times New Roman"/>
        <charset val="134"/>
      </rPr>
      <t xml:space="preserve">Guarantee </t>
    </r>
    <r>
      <rPr>
        <b/>
        <sz val="11"/>
        <color theme="1"/>
        <rFont val="宋体"/>
        <charset val="134"/>
      </rPr>
      <t>保证</t>
    </r>
  </si>
  <si>
    <r>
      <rPr>
        <sz val="11"/>
        <color theme="1"/>
        <rFont val="宋体"/>
        <charset val="134"/>
      </rPr>
      <t>卖方保证所售商品的质量和安全，所售商品不存在任何缺陷或损坏。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买方需要在收到货物后最多</t>
    </r>
    <r>
      <rPr>
        <sz val="11"/>
        <color theme="1"/>
        <rFont val="Times New Roman"/>
        <charset val="134"/>
      </rPr>
      <t xml:space="preserve"> 2 </t>
    </r>
    <r>
      <rPr>
        <sz val="11"/>
        <color theme="1"/>
        <rFont val="宋体"/>
        <charset val="134"/>
      </rPr>
      <t>天检查已收到的货物。</t>
    </r>
  </si>
  <si>
    <r>
      <rPr>
        <b/>
        <sz val="11"/>
        <color theme="1"/>
        <rFont val="Times New Roman"/>
        <charset val="134"/>
      </rPr>
      <t xml:space="preserve">Payment Methode </t>
    </r>
    <r>
      <rPr>
        <b/>
        <sz val="11"/>
        <color theme="1"/>
        <rFont val="宋体"/>
        <charset val="134"/>
      </rPr>
      <t>付款方式</t>
    </r>
  </si>
  <si>
    <t>现款</t>
  </si>
  <si>
    <r>
      <rPr>
        <b/>
        <sz val="11"/>
        <color theme="1"/>
        <rFont val="Times New Roman"/>
        <charset val="134"/>
      </rPr>
      <t xml:space="preserve">Beneficiery Account </t>
    </r>
    <r>
      <rPr>
        <b/>
        <sz val="11"/>
        <color theme="1"/>
        <rFont val="宋体"/>
        <charset val="134"/>
      </rPr>
      <t>收款账户</t>
    </r>
  </si>
  <si>
    <r>
      <rPr>
        <b/>
        <sz val="11"/>
        <color theme="1"/>
        <rFont val="Times New Roman"/>
        <charset val="134"/>
      </rPr>
      <t xml:space="preserve">Account Name </t>
    </r>
    <r>
      <rPr>
        <b/>
        <sz val="11"/>
        <color theme="1"/>
        <rFont val="宋体"/>
        <charset val="134"/>
      </rPr>
      <t>账户名称</t>
    </r>
  </si>
  <si>
    <t>PT. Vantsing International Group</t>
  </si>
  <si>
    <r>
      <rPr>
        <b/>
        <sz val="11"/>
        <color theme="1"/>
        <rFont val="Times New Roman"/>
        <charset val="134"/>
      </rPr>
      <t>Account No</t>
    </r>
    <r>
      <rPr>
        <b/>
        <sz val="11"/>
        <color theme="1"/>
        <rFont val="宋体"/>
        <charset val="134"/>
      </rPr>
      <t>账号</t>
    </r>
  </si>
  <si>
    <t>268-0321666</t>
  </si>
  <si>
    <r>
      <rPr>
        <b/>
        <sz val="11"/>
        <color theme="1"/>
        <rFont val="Times New Roman"/>
        <charset val="134"/>
      </rPr>
      <t xml:space="preserve">Bank </t>
    </r>
    <r>
      <rPr>
        <b/>
        <sz val="11"/>
        <color theme="1"/>
        <rFont val="宋体"/>
        <charset val="134"/>
      </rPr>
      <t>银行</t>
    </r>
  </si>
  <si>
    <t>Bank Central Asia KCP Grogol Muwardi</t>
  </si>
  <si>
    <r>
      <rPr>
        <b/>
        <sz val="11"/>
        <color theme="1"/>
        <rFont val="Times New Roman"/>
        <charset val="134"/>
      </rPr>
      <t xml:space="preserve">Branch </t>
    </r>
    <r>
      <rPr>
        <b/>
        <sz val="11"/>
        <color theme="1"/>
        <rFont val="宋体"/>
        <charset val="134"/>
      </rPr>
      <t>分行</t>
    </r>
  </si>
  <si>
    <t>Jl. Muwardi I No.44, RT.1/RW.4, Grogol, Kec. Grogol petamburan, Kota Jakarta Barat, Daerah Khusus Ibukota Jakarta 11460</t>
  </si>
  <si>
    <r>
      <rPr>
        <sz val="11"/>
        <color theme="1"/>
        <rFont val="Times New Roman"/>
        <charset val="134"/>
      </rPr>
      <t>This Purchase Order is made and signed on the day and date as stated, made in 2 (two) original copies signed by the parties with sufficient stamp duty, each of which has the same binding legal force.</t>
    </r>
    <r>
      <rPr>
        <sz val="11"/>
        <color theme="1"/>
        <rFont val="宋体"/>
        <charset val="134"/>
      </rPr>
      <t>本采购订单于规定日期签署，一式两（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）份原件，由双方签字并加盖足够的印花税，每份具有同等的法律约束力。</t>
    </r>
  </si>
  <si>
    <r>
      <rPr>
        <b/>
        <sz val="16"/>
        <color theme="1"/>
        <rFont val="Times New Roman"/>
        <charset val="134"/>
      </rPr>
      <t xml:space="preserve">Buyer </t>
    </r>
    <r>
      <rPr>
        <b/>
        <sz val="16"/>
        <color theme="1"/>
        <rFont val="宋体"/>
        <charset val="134"/>
      </rPr>
      <t>购买方</t>
    </r>
  </si>
  <si>
    <r>
      <rPr>
        <b/>
        <sz val="16"/>
        <color theme="1"/>
        <rFont val="Times New Roman"/>
        <charset val="134"/>
      </rPr>
      <t>Seller</t>
    </r>
    <r>
      <rPr>
        <b/>
        <sz val="16"/>
        <color theme="1"/>
        <rFont val="宋体"/>
        <charset val="134"/>
      </rPr>
      <t>出售方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</si>
</sst>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5" formatCode="&quot;￥&quot;#,##0;&quot;￥&quot;\-#,##0"/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_);\(#,##0.0\)"/>
    <numFmt numFmtId="177" formatCode="0_ "/>
    <numFmt numFmtId="178" formatCode="0.00_ "/>
    <numFmt numFmtId="179" formatCode="[$Rp-421]#,##0;\-[$Rp-421]#,##0"/>
  </numFmts>
  <fonts count="50">
    <font>
      <sz val="11"/>
      <color theme="1"/>
      <name val="等线"/>
      <charset val="134"/>
      <scheme val="minor"/>
    </font>
    <font>
      <sz val="10"/>
      <name val="Arial"/>
      <charset val="134"/>
    </font>
    <font>
      <sz val="14"/>
      <name val="微软雅黑"/>
      <charset val="134"/>
    </font>
    <font>
      <sz val="11"/>
      <color theme="1"/>
      <name val="Times New Roman"/>
      <charset val="134"/>
    </font>
    <font>
      <sz val="11"/>
      <name val="等线"/>
      <charset val="134"/>
      <scheme val="minor"/>
    </font>
    <font>
      <sz val="14"/>
      <name val="Arial"/>
      <charset val="134"/>
    </font>
    <font>
      <sz val="48"/>
      <name val="宋体"/>
      <charset val="134"/>
    </font>
    <font>
      <sz val="36"/>
      <name val="宋体"/>
      <charset val="134"/>
    </font>
    <font>
      <b/>
      <sz val="12"/>
      <name val="Arial"/>
      <charset val="134"/>
    </font>
    <font>
      <sz val="14"/>
      <color theme="1"/>
      <name val="微软雅黑"/>
      <charset val="134"/>
    </font>
    <font>
      <sz val="14"/>
      <color rgb="FF000000"/>
      <name val="微软雅黑"/>
      <charset val="134"/>
    </font>
    <font>
      <b/>
      <sz val="14"/>
      <name val="微软雅黑"/>
      <charset val="134"/>
    </font>
    <font>
      <sz val="18"/>
      <color rgb="FF000000"/>
      <name val="Segoe UI"/>
      <charset val="134"/>
    </font>
    <font>
      <b/>
      <sz val="12"/>
      <name val="微软雅黑"/>
      <charset val="134"/>
    </font>
    <font>
      <sz val="12"/>
      <name val="Arial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</font>
    <font>
      <sz val="11"/>
      <color rgb="FFFF0000"/>
      <name val="宋体"/>
      <charset val="134"/>
    </font>
    <font>
      <sz val="11"/>
      <color theme="1"/>
      <name val="宋体"/>
      <charset val="134"/>
    </font>
    <font>
      <b/>
      <sz val="16"/>
      <color theme="1"/>
      <name val="Times New Roman"/>
      <charset val="134"/>
    </font>
    <font>
      <b/>
      <sz val="12"/>
      <name val="宋体-简"/>
      <charset val="134"/>
    </font>
    <font>
      <b/>
      <sz val="14"/>
      <name val="Arial"/>
      <charset val="134"/>
    </font>
    <font>
      <b/>
      <sz val="14"/>
      <name val="宋体"/>
      <charset val="134"/>
    </font>
    <font>
      <sz val="12"/>
      <color rgb="FFFF0000"/>
      <name val="微软雅黑"/>
      <charset val="134"/>
    </font>
    <font>
      <b/>
      <sz val="16"/>
      <name val="Arial"/>
      <charset val="134"/>
    </font>
    <font>
      <sz val="14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i/>
      <sz val="28"/>
      <name val="宋体"/>
      <charset val="134"/>
    </font>
    <font>
      <b/>
      <sz val="16"/>
      <color theme="1"/>
      <name val="宋体"/>
      <charset val="134"/>
    </font>
    <font>
      <sz val="12"/>
      <name val="微软雅黑"/>
      <charset val="134"/>
    </font>
    <font>
      <b/>
      <sz val="12"/>
      <name val="宋体"/>
      <charset val="134"/>
    </font>
    <font>
      <b/>
      <sz val="16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3" borderId="16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4" borderId="19" applyNumberFormat="0" applyAlignment="0" applyProtection="0">
      <alignment vertical="center"/>
    </xf>
    <xf numFmtId="0" fontId="35" fillId="5" borderId="20" applyNumberFormat="0" applyAlignment="0" applyProtection="0">
      <alignment vertical="center"/>
    </xf>
    <xf numFmtId="0" fontId="36" fillId="5" borderId="19" applyNumberFormat="0" applyAlignment="0" applyProtection="0">
      <alignment vertical="center"/>
    </xf>
    <xf numFmtId="0" fontId="37" fillId="6" borderId="21" applyNumberFormat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176" fontId="0" fillId="0" borderId="0">
      <alignment vertical="center"/>
    </xf>
    <xf numFmtId="0" fontId="0" fillId="0" borderId="0"/>
  </cellStyleXfs>
  <cellXfs count="83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/>
    <xf numFmtId="0" fontId="4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177" fontId="1" fillId="0" borderId="0" xfId="0" applyNumberFormat="1" applyFont="1" applyFill="1" applyBorder="1" applyAlignment="1">
      <alignment horizontal="center" vertical="center"/>
    </xf>
    <xf numFmtId="5" fontId="5" fillId="0" borderId="0" xfId="0" applyNumberFormat="1" applyFont="1" applyFill="1" applyBorder="1" applyAlignment="1">
      <alignment horizontal="center" vertical="center"/>
    </xf>
    <xf numFmtId="7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78" fontId="6" fillId="0" borderId="1" xfId="0" applyNumberFormat="1" applyFont="1" applyFill="1" applyBorder="1" applyAlignment="1">
      <alignment horizontal="center" vertical="center" wrapText="1"/>
    </xf>
    <xf numFmtId="178" fontId="7" fillId="0" borderId="2" xfId="0" applyNumberFormat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9" fillId="0" borderId="4" xfId="0" applyFont="1" applyFill="1" applyBorder="1" applyAlignment="1"/>
    <xf numFmtId="0" fontId="10" fillId="0" borderId="4" xfId="0" applyNumberFormat="1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/>
    </xf>
    <xf numFmtId="0" fontId="11" fillId="0" borderId="4" xfId="5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49" fontId="12" fillId="0" borderId="5" xfId="0" applyNumberFormat="1" applyFont="1" applyFill="1" applyBorder="1" applyAlignment="1">
      <alignment horizontal="center" vertical="center" wrapText="1"/>
    </xf>
    <xf numFmtId="49" fontId="12" fillId="0" borderId="6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Fill="1" applyBorder="1" applyAlignment="1">
      <alignment horizontal="center" vertical="center" wrapText="1"/>
    </xf>
    <xf numFmtId="49" fontId="2" fillId="0" borderId="6" xfId="0" applyNumberFormat="1" applyFont="1" applyFill="1" applyBorder="1" applyAlignment="1">
      <alignment horizontal="center" vertical="center" wrapText="1"/>
    </xf>
    <xf numFmtId="0" fontId="11" fillId="0" borderId="5" xfId="50" applyNumberFormat="1" applyFont="1" applyFill="1" applyBorder="1" applyAlignment="1">
      <alignment horizontal="center" vertical="center"/>
    </xf>
    <xf numFmtId="0" fontId="11" fillId="0" borderId="7" xfId="50" applyNumberFormat="1" applyFont="1" applyFill="1" applyBorder="1" applyAlignment="1">
      <alignment horizontal="center" vertical="center"/>
    </xf>
    <xf numFmtId="0" fontId="2" fillId="0" borderId="5" xfId="50" applyNumberFormat="1" applyFont="1" applyFill="1" applyBorder="1" applyAlignment="1">
      <alignment horizontal="center" vertical="center" wrapText="1"/>
    </xf>
    <xf numFmtId="0" fontId="2" fillId="0" borderId="6" xfId="50" applyNumberFormat="1" applyFont="1" applyFill="1" applyBorder="1" applyAlignment="1">
      <alignment horizontal="center" vertical="center" wrapText="1"/>
    </xf>
    <xf numFmtId="0" fontId="13" fillId="0" borderId="4" xfId="5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/>
    </xf>
    <xf numFmtId="0" fontId="8" fillId="0" borderId="4" xfId="50" applyNumberFormat="1" applyFont="1" applyFill="1" applyBorder="1" applyAlignment="1">
      <alignment horizontal="center" vertical="center" wrapText="1"/>
    </xf>
    <xf numFmtId="0" fontId="8" fillId="0" borderId="8" xfId="50" applyNumberFormat="1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left" vertical="center"/>
    </xf>
    <xf numFmtId="0" fontId="15" fillId="0" borderId="4" xfId="0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horizontal="center" vertical="center"/>
    </xf>
    <xf numFmtId="58" fontId="17" fillId="0" borderId="4" xfId="0" applyNumberFormat="1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19" fillId="0" borderId="4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178" fontId="7" fillId="0" borderId="9" xfId="0" applyNumberFormat="1" applyFont="1" applyFill="1" applyBorder="1" applyAlignment="1">
      <alignment horizontal="center" vertical="center" wrapText="1"/>
    </xf>
    <xf numFmtId="178" fontId="6" fillId="0" borderId="2" xfId="0" applyNumberFormat="1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177" fontId="8" fillId="0" borderId="3" xfId="0" applyNumberFormat="1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177" fontId="14" fillId="0" borderId="4" xfId="0" applyNumberFormat="1" applyFont="1" applyFill="1" applyBorder="1" applyAlignment="1">
      <alignment horizontal="center" vertical="center"/>
    </xf>
    <xf numFmtId="177" fontId="8" fillId="0" borderId="4" xfId="50" applyNumberFormat="1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178" fontId="6" fillId="0" borderId="9" xfId="0" applyNumberFormat="1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/>
    </xf>
    <xf numFmtId="5" fontId="21" fillId="0" borderId="3" xfId="0" applyNumberFormat="1" applyFont="1" applyFill="1" applyBorder="1" applyAlignment="1">
      <alignment horizontal="center" vertical="center" wrapText="1"/>
    </xf>
    <xf numFmtId="7" fontId="22" fillId="0" borderId="3" xfId="0" applyNumberFormat="1" applyFont="1" applyFill="1" applyBorder="1" applyAlignment="1">
      <alignment horizontal="center" vertical="center" wrapText="1"/>
    </xf>
    <xf numFmtId="0" fontId="23" fillId="0" borderId="4" xfId="50" applyNumberFormat="1" applyFont="1" applyFill="1" applyBorder="1" applyAlignment="1">
      <alignment horizontal="center" vertical="center" wrapText="1"/>
    </xf>
    <xf numFmtId="179" fontId="9" fillId="0" borderId="4" xfId="0" applyNumberFormat="1" applyFont="1" applyFill="1" applyBorder="1" applyAlignment="1">
      <alignment horizontal="center" vertical="center"/>
    </xf>
    <xf numFmtId="179" fontId="2" fillId="0" borderId="4" xfId="0" applyNumberFormat="1" applyFont="1" applyFill="1" applyBorder="1" applyAlignment="1">
      <alignment horizontal="center" vertical="center"/>
    </xf>
    <xf numFmtId="0" fontId="2" fillId="0" borderId="4" xfId="50" applyNumberFormat="1" applyFont="1" applyFill="1" applyBorder="1" applyAlignment="1">
      <alignment horizontal="center" vertical="center" wrapText="1"/>
    </xf>
    <xf numFmtId="49" fontId="12" fillId="0" borderId="7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49" fontId="2" fillId="0" borderId="7" xfId="0" applyNumberFormat="1" applyFont="1" applyFill="1" applyBorder="1" applyAlignment="1">
      <alignment horizontal="center" vertical="center" wrapText="1"/>
    </xf>
    <xf numFmtId="0" fontId="2" fillId="0" borderId="7" xfId="50" applyNumberFormat="1" applyFont="1" applyFill="1" applyBorder="1" applyAlignment="1">
      <alignment horizontal="center" vertical="center" wrapText="1"/>
    </xf>
    <xf numFmtId="0" fontId="2" fillId="0" borderId="4" xfId="50" applyNumberFormat="1" applyFont="1" applyFill="1" applyBorder="1" applyAlignment="1">
      <alignment vertical="center" wrapText="1"/>
    </xf>
    <xf numFmtId="5" fontId="5" fillId="0" borderId="4" xfId="0" applyNumberFormat="1" applyFont="1" applyFill="1" applyBorder="1" applyAlignment="1">
      <alignment horizontal="center" vertical="center"/>
    </xf>
    <xf numFmtId="7" fontId="5" fillId="0" borderId="4" xfId="0" applyNumberFormat="1" applyFont="1" applyFill="1" applyBorder="1" applyAlignment="1">
      <alignment horizontal="center" vertical="center"/>
    </xf>
    <xf numFmtId="5" fontId="21" fillId="0" borderId="4" xfId="50" applyNumberFormat="1" applyFont="1" applyFill="1" applyBorder="1" applyAlignment="1">
      <alignment horizontal="center" vertical="center" wrapText="1"/>
    </xf>
    <xf numFmtId="7" fontId="21" fillId="0" borderId="4" xfId="50" applyNumberFormat="1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/>
    </xf>
    <xf numFmtId="5" fontId="1" fillId="0" borderId="12" xfId="0" applyNumberFormat="1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24" fillId="0" borderId="3" xfId="0" applyFont="1" applyFill="1" applyBorder="1" applyAlignment="1">
      <alignment horizontal="center" vertical="center" wrapText="1"/>
    </xf>
    <xf numFmtId="0" fontId="21" fillId="0" borderId="3" xfId="0" applyFont="1" applyFill="1" applyBorder="1" applyAlignment="1">
      <alignment horizontal="center" vertical="center" wrapText="1"/>
    </xf>
    <xf numFmtId="1" fontId="25" fillId="0" borderId="4" xfId="0" applyNumberFormat="1" applyFont="1" applyFill="1" applyBorder="1" applyAlignment="1">
      <alignment horizontal="center" vertical="center" shrinkToFit="1"/>
    </xf>
    <xf numFmtId="0" fontId="5" fillId="0" borderId="4" xfId="0" applyFont="1" applyFill="1" applyBorder="1" applyAlignment="1">
      <alignment horizontal="center" vertical="center"/>
    </xf>
    <xf numFmtId="0" fontId="21" fillId="0" borderId="4" xfId="50" applyNumberFormat="1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7 3" xfId="49"/>
    <cellStyle name="Normal 2" xfId="50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FFFF"/>
      <color rgb="00FFC000"/>
      <color rgb="0028F871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3.png"/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187960</xdr:colOff>
      <xdr:row>1</xdr:row>
      <xdr:rowOff>873125</xdr:rowOff>
    </xdr:from>
    <xdr:to>
      <xdr:col>6</xdr:col>
      <xdr:colOff>1183005</xdr:colOff>
      <xdr:row>1</xdr:row>
      <xdr:rowOff>902970</xdr:rowOff>
    </xdr:to>
    <xdr:pic>
      <xdr:nvPicPr>
        <xdr:cNvPr id="2" name="Picture 3" descr=" "/>
        <xdr:cNvPicPr/>
      </xdr:nvPicPr>
      <xdr:blipFill>
        <a:blip r:embed="rId1"/>
        <a:srcRect/>
        <a:stretch>
          <a:fillRect/>
        </a:stretch>
      </xdr:blipFill>
      <xdr:spPr>
        <a:xfrm>
          <a:off x="8393430" y="3349625"/>
          <a:ext cx="943610" cy="15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4"/>
  <sheetViews>
    <sheetView tabSelected="1" view="pageBreakPreview" zoomScale="58" zoomScaleNormal="90" workbookViewId="0">
      <pane ySplit="2" topLeftCell="A3" activePane="bottomLeft" state="frozen"/>
      <selection/>
      <selection pane="bottomLeft" activeCell="A40" sqref="A40:H44"/>
    </sheetView>
  </sheetViews>
  <sheetFormatPr defaultColWidth="9" defaultRowHeight="20.4"/>
  <cols>
    <col min="1" max="1" width="9" style="1" customWidth="1"/>
    <col min="2" max="2" width="39.5" style="6" customWidth="1"/>
    <col min="3" max="3" width="26.3035714285714" style="1" customWidth="1"/>
    <col min="4" max="4" width="13.7142857142857" style="1" customWidth="1"/>
    <col min="5" max="5" width="10.9464285714286" style="1" customWidth="1"/>
    <col min="6" max="7" width="15.9107142857143" style="1" customWidth="1"/>
    <col min="8" max="8" width="23.3035714285714" style="1" customWidth="1"/>
    <col min="9" max="9" width="45.4017857142857" style="7" customWidth="1"/>
    <col min="10" max="10" width="16.9017857142857" style="1" customWidth="1"/>
    <col min="11" max="11" width="9.01785714285714" style="1" customWidth="1"/>
    <col min="12" max="12" width="11.0625" style="8" customWidth="1"/>
    <col min="13" max="13" width="10.3571428571429" style="1" customWidth="1"/>
    <col min="14" max="14" width="16.3571428571429" style="9" customWidth="1"/>
    <col min="15" max="15" width="24.3482142857143" style="10" customWidth="1"/>
    <col min="16" max="16" width="16.5357142857143" style="1" customWidth="1"/>
    <col min="17" max="17" width="21.5089285714286" style="1" customWidth="1"/>
    <col min="18" max="18" width="18.0357142857143" style="11" customWidth="1"/>
    <col min="19" max="23" width="9" style="1"/>
    <col min="24" max="24" width="11.5803571428571" style="1"/>
    <col min="25" max="16384" width="9" style="1"/>
  </cols>
  <sheetData>
    <row r="1" customFormat="1" ht="195" customHeight="1" spans="1:18">
      <c r="A1" s="12" t="s">
        <v>0</v>
      </c>
      <c r="B1" s="13"/>
      <c r="C1" s="13"/>
      <c r="D1" s="13"/>
      <c r="E1" s="13"/>
      <c r="F1" s="13"/>
      <c r="G1" s="47"/>
      <c r="H1" s="48" t="s">
        <v>1</v>
      </c>
      <c r="I1" s="48"/>
      <c r="J1" s="48"/>
      <c r="K1" s="48"/>
      <c r="L1" s="48"/>
      <c r="M1" s="48"/>
      <c r="N1" s="48"/>
      <c r="O1" s="56"/>
      <c r="P1" s="57" t="str">
        <f>_xlfn.DISPIMG("ID_2AB6C2DF03EC4B189D9084FA977CA6E6",1)</f>
        <v>=DISPIMG("ID_2AB6C2DF03EC4B189D9084FA977CA6E6",1)</v>
      </c>
      <c r="Q1" s="75"/>
      <c r="R1" s="76"/>
    </row>
    <row r="2" s="1" customFormat="1" ht="70" customHeight="1" spans="1:18">
      <c r="A2" s="14" t="s">
        <v>2</v>
      </c>
      <c r="B2" s="14" t="s">
        <v>3</v>
      </c>
      <c r="C2" s="14" t="s">
        <v>4</v>
      </c>
      <c r="D2" s="14" t="s">
        <v>5</v>
      </c>
      <c r="E2" s="14" t="s">
        <v>6</v>
      </c>
      <c r="F2" s="49" t="s">
        <v>7</v>
      </c>
      <c r="G2" s="14" t="s">
        <v>8</v>
      </c>
      <c r="H2" s="14" t="s">
        <v>9</v>
      </c>
      <c r="I2" s="14" t="s">
        <v>10</v>
      </c>
      <c r="J2" s="14" t="s">
        <v>11</v>
      </c>
      <c r="K2" s="14" t="s">
        <v>12</v>
      </c>
      <c r="L2" s="51" t="s">
        <v>6</v>
      </c>
      <c r="M2" s="14" t="s">
        <v>13</v>
      </c>
      <c r="N2" s="58" t="s">
        <v>14</v>
      </c>
      <c r="O2" s="59" t="s">
        <v>15</v>
      </c>
      <c r="P2" s="14" t="s">
        <v>16</v>
      </c>
      <c r="Q2" s="77" t="s">
        <v>17</v>
      </c>
      <c r="R2" s="78" t="s">
        <v>18</v>
      </c>
    </row>
    <row r="3" s="2" customFormat="1" ht="65" customHeight="1" spans="1:18">
      <c r="A3" s="15">
        <v>1</v>
      </c>
      <c r="B3" s="16" t="s">
        <v>19</v>
      </c>
      <c r="C3" s="17"/>
      <c r="D3" s="18" t="s">
        <v>20</v>
      </c>
      <c r="E3" s="18">
        <v>159</v>
      </c>
      <c r="F3" s="20"/>
      <c r="G3" s="20"/>
      <c r="H3" s="50">
        <v>8020020643</v>
      </c>
      <c r="I3" s="20" t="s">
        <v>21</v>
      </c>
      <c r="J3" s="50" t="s">
        <v>22</v>
      </c>
      <c r="K3" s="18" t="s">
        <v>20</v>
      </c>
      <c r="L3" s="18">
        <v>159</v>
      </c>
      <c r="M3" s="60"/>
      <c r="N3" s="61">
        <v>3266.25</v>
      </c>
      <c r="O3" s="62">
        <f t="shared" ref="O3:O24" si="0">N3*L3</f>
        <v>519333.75</v>
      </c>
      <c r="P3" s="63"/>
      <c r="Q3" s="20"/>
      <c r="R3" s="79"/>
    </row>
    <row r="4" s="2" customFormat="1" ht="65" customHeight="1" spans="1:18">
      <c r="A4" s="15">
        <v>2</v>
      </c>
      <c r="B4" s="16" t="s">
        <v>23</v>
      </c>
      <c r="C4" s="17"/>
      <c r="D4" s="18" t="s">
        <v>20</v>
      </c>
      <c r="E4" s="18">
        <v>84</v>
      </c>
      <c r="F4" s="20"/>
      <c r="G4" s="20"/>
      <c r="H4" s="50">
        <v>8020020588</v>
      </c>
      <c r="I4" s="20" t="s">
        <v>24</v>
      </c>
      <c r="J4" s="50" t="s">
        <v>25</v>
      </c>
      <c r="K4" s="18" t="s">
        <v>20</v>
      </c>
      <c r="L4" s="18">
        <v>84</v>
      </c>
      <c r="M4" s="60"/>
      <c r="N4" s="61">
        <v>13315</v>
      </c>
      <c r="O4" s="62">
        <f t="shared" si="0"/>
        <v>1118460</v>
      </c>
      <c r="P4" s="63"/>
      <c r="Q4" s="20"/>
      <c r="R4" s="79"/>
    </row>
    <row r="5" s="2" customFormat="1" ht="65" customHeight="1" spans="1:18">
      <c r="A5" s="15">
        <v>3</v>
      </c>
      <c r="B5" s="16" t="s">
        <v>26</v>
      </c>
      <c r="C5" s="17"/>
      <c r="D5" s="18" t="s">
        <v>20</v>
      </c>
      <c r="E5" s="18">
        <v>14</v>
      </c>
      <c r="F5" s="20"/>
      <c r="G5" s="20"/>
      <c r="H5" s="50">
        <v>8020026144</v>
      </c>
      <c r="I5" s="20" t="s">
        <v>27</v>
      </c>
      <c r="J5" s="50" t="s">
        <v>28</v>
      </c>
      <c r="K5" s="18" t="s">
        <v>20</v>
      </c>
      <c r="L5" s="18">
        <v>14</v>
      </c>
      <c r="M5" s="60" t="s">
        <v>29</v>
      </c>
      <c r="N5" s="61">
        <v>123076</v>
      </c>
      <c r="O5" s="62">
        <f t="shared" si="0"/>
        <v>1723064</v>
      </c>
      <c r="P5" s="63"/>
      <c r="Q5" s="20"/>
      <c r="R5" s="79"/>
    </row>
    <row r="6" s="2" customFormat="1" ht="65" customHeight="1" spans="1:18">
      <c r="A6" s="15">
        <v>4</v>
      </c>
      <c r="B6" s="16" t="s">
        <v>30</v>
      </c>
      <c r="C6" s="17"/>
      <c r="D6" s="18" t="s">
        <v>20</v>
      </c>
      <c r="E6" s="18">
        <v>28</v>
      </c>
      <c r="F6" s="20"/>
      <c r="G6" s="20"/>
      <c r="H6" s="50">
        <v>8020020556</v>
      </c>
      <c r="I6" s="20" t="s">
        <v>31</v>
      </c>
      <c r="J6" s="50" t="s">
        <v>25</v>
      </c>
      <c r="K6" s="18" t="s">
        <v>20</v>
      </c>
      <c r="L6" s="18">
        <v>28</v>
      </c>
      <c r="M6" s="60"/>
      <c r="N6" s="61">
        <v>10025</v>
      </c>
      <c r="O6" s="62">
        <f t="shared" si="0"/>
        <v>280700</v>
      </c>
      <c r="P6" s="63"/>
      <c r="Q6" s="20"/>
      <c r="R6" s="79"/>
    </row>
    <row r="7" s="2" customFormat="1" ht="65" customHeight="1" spans="1:18">
      <c r="A7" s="15">
        <v>5</v>
      </c>
      <c r="B7" s="16" t="s">
        <v>32</v>
      </c>
      <c r="C7" s="17"/>
      <c r="D7" s="18" t="s">
        <v>20</v>
      </c>
      <c r="E7" s="18">
        <v>112</v>
      </c>
      <c r="F7" s="20"/>
      <c r="G7" s="20"/>
      <c r="H7" s="50">
        <v>8020020430</v>
      </c>
      <c r="I7" s="20" t="s">
        <v>33</v>
      </c>
      <c r="J7" s="50" t="s">
        <v>34</v>
      </c>
      <c r="K7" s="18" t="s">
        <v>20</v>
      </c>
      <c r="L7" s="18">
        <v>112</v>
      </c>
      <c r="M7" s="60"/>
      <c r="N7" s="61">
        <v>11113.75</v>
      </c>
      <c r="O7" s="62">
        <f t="shared" si="0"/>
        <v>1244740</v>
      </c>
      <c r="P7" s="63"/>
      <c r="Q7" s="20"/>
      <c r="R7" s="79"/>
    </row>
    <row r="8" s="2" customFormat="1" ht="65" customHeight="1" spans="1:18">
      <c r="A8" s="15">
        <v>6</v>
      </c>
      <c r="B8" s="16" t="s">
        <v>35</v>
      </c>
      <c r="C8" s="17"/>
      <c r="D8" s="18" t="s">
        <v>20</v>
      </c>
      <c r="E8" s="18">
        <v>112</v>
      </c>
      <c r="F8" s="20"/>
      <c r="G8" s="20"/>
      <c r="H8" s="50">
        <v>8020022653</v>
      </c>
      <c r="I8" s="20" t="s">
        <v>36</v>
      </c>
      <c r="J8" s="50" t="s">
        <v>25</v>
      </c>
      <c r="K8" s="18" t="s">
        <v>20</v>
      </c>
      <c r="L8" s="18">
        <v>112</v>
      </c>
      <c r="M8" s="60" t="s">
        <v>29</v>
      </c>
      <c r="N8" s="61">
        <v>20369</v>
      </c>
      <c r="O8" s="62">
        <f t="shared" si="0"/>
        <v>2281328</v>
      </c>
      <c r="P8" s="63"/>
      <c r="Q8" s="20"/>
      <c r="R8" s="79"/>
    </row>
    <row r="9" s="2" customFormat="1" ht="65" customHeight="1" spans="1:18">
      <c r="A9" s="15">
        <v>7</v>
      </c>
      <c r="B9" s="16" t="s">
        <v>37</v>
      </c>
      <c r="C9" s="17"/>
      <c r="D9" s="18" t="s">
        <v>20</v>
      </c>
      <c r="E9" s="18">
        <v>56</v>
      </c>
      <c r="F9" s="20"/>
      <c r="G9" s="20"/>
      <c r="H9" s="50">
        <v>8020022784</v>
      </c>
      <c r="I9" s="20" t="s">
        <v>38</v>
      </c>
      <c r="J9" s="50" t="s">
        <v>39</v>
      </c>
      <c r="K9" s="18" t="s">
        <v>20</v>
      </c>
      <c r="L9" s="18">
        <v>56</v>
      </c>
      <c r="M9" s="60" t="s">
        <v>29</v>
      </c>
      <c r="N9" s="61">
        <v>4458</v>
      </c>
      <c r="O9" s="62">
        <f t="shared" si="0"/>
        <v>249648</v>
      </c>
      <c r="P9" s="63"/>
      <c r="Q9" s="20"/>
      <c r="R9" s="79"/>
    </row>
    <row r="10" s="2" customFormat="1" ht="65" customHeight="1" spans="1:18">
      <c r="A10" s="15">
        <v>8</v>
      </c>
      <c r="B10" s="16" t="s">
        <v>40</v>
      </c>
      <c r="C10" s="17"/>
      <c r="D10" s="18" t="s">
        <v>20</v>
      </c>
      <c r="E10" s="18">
        <v>14</v>
      </c>
      <c r="F10" s="20"/>
      <c r="G10" s="20"/>
      <c r="H10" s="50">
        <v>8020020047</v>
      </c>
      <c r="I10" s="20" t="s">
        <v>41</v>
      </c>
      <c r="J10" s="50" t="s">
        <v>34</v>
      </c>
      <c r="K10" s="18" t="s">
        <v>20</v>
      </c>
      <c r="L10" s="18">
        <v>14</v>
      </c>
      <c r="M10" s="60"/>
      <c r="N10" s="61">
        <v>4321.25</v>
      </c>
      <c r="O10" s="62">
        <f t="shared" si="0"/>
        <v>60497.5</v>
      </c>
      <c r="P10" s="63"/>
      <c r="Q10" s="20"/>
      <c r="R10" s="79"/>
    </row>
    <row r="11" s="3" customFormat="1" ht="65" customHeight="1" spans="1:18">
      <c r="A11" s="15">
        <v>9</v>
      </c>
      <c r="B11" s="16" t="s">
        <v>42</v>
      </c>
      <c r="C11" s="17"/>
      <c r="D11" s="18" t="s">
        <v>20</v>
      </c>
      <c r="E11" s="18">
        <v>1</v>
      </c>
      <c r="F11" s="20"/>
      <c r="G11" s="20"/>
      <c r="H11" s="50">
        <v>8020022666</v>
      </c>
      <c r="I11" s="20" t="s">
        <v>43</v>
      </c>
      <c r="J11" s="50" t="s">
        <v>44</v>
      </c>
      <c r="K11" s="18" t="s">
        <v>20</v>
      </c>
      <c r="L11" s="18">
        <v>1</v>
      </c>
      <c r="M11" s="60" t="s">
        <v>29</v>
      </c>
      <c r="N11" s="61">
        <v>28123</v>
      </c>
      <c r="O11" s="62">
        <f t="shared" si="0"/>
        <v>28123</v>
      </c>
      <c r="P11" s="63"/>
      <c r="Q11" s="20"/>
      <c r="R11" s="79"/>
    </row>
    <row r="12" s="2" customFormat="1" ht="65" customHeight="1" spans="1:18">
      <c r="A12" s="15">
        <v>10</v>
      </c>
      <c r="B12" s="16" t="s">
        <v>45</v>
      </c>
      <c r="C12" s="17"/>
      <c r="D12" s="18" t="s">
        <v>46</v>
      </c>
      <c r="E12" s="18">
        <v>2</v>
      </c>
      <c r="F12" s="20"/>
      <c r="G12" s="20"/>
      <c r="H12" s="50">
        <v>8020012379</v>
      </c>
      <c r="I12" s="20" t="s">
        <v>47</v>
      </c>
      <c r="J12" s="50" t="s">
        <v>39</v>
      </c>
      <c r="K12" s="18" t="s">
        <v>48</v>
      </c>
      <c r="L12" s="18">
        <v>2</v>
      </c>
      <c r="M12" s="60" t="s">
        <v>29</v>
      </c>
      <c r="N12" s="61">
        <v>32729</v>
      </c>
      <c r="O12" s="62">
        <f t="shared" si="0"/>
        <v>65458</v>
      </c>
      <c r="P12" s="63"/>
      <c r="Q12" s="20"/>
      <c r="R12" s="79"/>
    </row>
    <row r="13" s="2" customFormat="1" ht="65" customHeight="1" spans="1:18">
      <c r="A13" s="15">
        <v>11</v>
      </c>
      <c r="B13" s="16" t="s">
        <v>49</v>
      </c>
      <c r="C13" s="17"/>
      <c r="D13" s="18" t="s">
        <v>46</v>
      </c>
      <c r="E13" s="18">
        <v>2</v>
      </c>
      <c r="F13" s="20"/>
      <c r="G13" s="20"/>
      <c r="H13" s="50">
        <v>8020012381</v>
      </c>
      <c r="I13" s="20" t="s">
        <v>50</v>
      </c>
      <c r="J13" s="50" t="s">
        <v>51</v>
      </c>
      <c r="K13" s="18" t="s">
        <v>48</v>
      </c>
      <c r="L13" s="18">
        <v>2</v>
      </c>
      <c r="M13" s="60" t="s">
        <v>29</v>
      </c>
      <c r="N13" s="61">
        <v>61904</v>
      </c>
      <c r="O13" s="62">
        <f t="shared" si="0"/>
        <v>123808</v>
      </c>
      <c r="P13" s="63"/>
      <c r="Q13" s="20"/>
      <c r="R13" s="79"/>
    </row>
    <row r="14" s="2" customFormat="1" ht="65" customHeight="1" spans="1:18">
      <c r="A14" s="15">
        <v>12</v>
      </c>
      <c r="B14" s="16" t="s">
        <v>52</v>
      </c>
      <c r="C14" s="17"/>
      <c r="D14" s="18" t="s">
        <v>46</v>
      </c>
      <c r="E14" s="18">
        <v>2</v>
      </c>
      <c r="F14" s="20"/>
      <c r="G14" s="20"/>
      <c r="H14" s="50">
        <v>8020012382</v>
      </c>
      <c r="I14" s="20" t="s">
        <v>53</v>
      </c>
      <c r="J14" s="50" t="s">
        <v>54</v>
      </c>
      <c r="K14" s="18" t="s">
        <v>48</v>
      </c>
      <c r="L14" s="18">
        <v>2</v>
      </c>
      <c r="M14" s="60" t="s">
        <v>29</v>
      </c>
      <c r="N14" s="61">
        <v>92211</v>
      </c>
      <c r="O14" s="62">
        <f t="shared" si="0"/>
        <v>184422</v>
      </c>
      <c r="P14" s="63"/>
      <c r="Q14" s="20"/>
      <c r="R14" s="79"/>
    </row>
    <row r="15" s="2" customFormat="1" ht="65" customHeight="1" spans="1:18">
      <c r="A15" s="15">
        <v>13</v>
      </c>
      <c r="B15" s="16" t="s">
        <v>45</v>
      </c>
      <c r="C15" s="17"/>
      <c r="D15" s="18" t="s">
        <v>46</v>
      </c>
      <c r="E15" s="18">
        <v>2</v>
      </c>
      <c r="F15" s="20"/>
      <c r="G15" s="20"/>
      <c r="H15" s="50">
        <v>8020012383</v>
      </c>
      <c r="I15" s="20" t="s">
        <v>55</v>
      </c>
      <c r="J15" s="50" t="s">
        <v>56</v>
      </c>
      <c r="K15" s="18" t="s">
        <v>48</v>
      </c>
      <c r="L15" s="18">
        <v>2</v>
      </c>
      <c r="M15" s="60" t="s">
        <v>29</v>
      </c>
      <c r="N15" s="61">
        <v>187113</v>
      </c>
      <c r="O15" s="62">
        <f t="shared" si="0"/>
        <v>374226</v>
      </c>
      <c r="P15" s="63"/>
      <c r="Q15" s="20"/>
      <c r="R15" s="79"/>
    </row>
    <row r="16" s="3" customFormat="1" ht="65" customHeight="1" spans="1:18">
      <c r="A16" s="19" t="s">
        <v>57</v>
      </c>
      <c r="B16" s="20"/>
      <c r="C16" s="21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64"/>
      <c r="O16" s="62">
        <f>SUM(O3:O15)</f>
        <v>8253808.25</v>
      </c>
      <c r="P16" s="65"/>
      <c r="Q16" s="65"/>
      <c r="R16" s="79"/>
    </row>
    <row r="17" s="3" customFormat="1" ht="65" customHeight="1" spans="1:18">
      <c r="A17" s="19" t="s">
        <v>58</v>
      </c>
      <c r="B17" s="20"/>
      <c r="C17" s="23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66"/>
      <c r="O17" s="62">
        <f>O16*0.11</f>
        <v>907918.9075</v>
      </c>
      <c r="P17" s="63"/>
      <c r="Q17" s="63"/>
      <c r="R17" s="65"/>
    </row>
    <row r="18" s="3" customFormat="1" ht="65" customHeight="1" spans="1:18">
      <c r="A18" s="25" t="s">
        <v>59</v>
      </c>
      <c r="B18" s="26"/>
      <c r="C18" s="23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66"/>
      <c r="O18" s="62">
        <f>N18*L18</f>
        <v>0</v>
      </c>
      <c r="P18" s="63"/>
      <c r="Q18" s="63"/>
      <c r="R18" s="65"/>
    </row>
    <row r="19" s="3" customFormat="1" ht="60" customHeight="1" spans="1:18">
      <c r="A19" s="19" t="s">
        <v>60</v>
      </c>
      <c r="B19" s="20"/>
      <c r="C19" s="27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67"/>
      <c r="O19" s="62">
        <f>SUM(O16:O18)</f>
        <v>9161727.1575</v>
      </c>
      <c r="P19" s="68"/>
      <c r="Q19" s="68"/>
      <c r="R19" s="68"/>
    </row>
    <row r="20" s="3" customFormat="1" ht="60" customHeight="1" spans="1:18">
      <c r="A20" s="25" t="s">
        <v>61</v>
      </c>
      <c r="B20" s="26"/>
      <c r="C20" s="27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67"/>
    </row>
    <row r="21" s="1" customFormat="1" ht="60" customHeight="1" spans="1:18">
      <c r="A21" s="29" t="s">
        <v>62</v>
      </c>
      <c r="B21" s="30"/>
      <c r="C21" s="31"/>
      <c r="D21" s="31"/>
      <c r="E21" s="31"/>
      <c r="F21" s="31"/>
      <c r="G21" s="31"/>
      <c r="H21" s="31"/>
      <c r="I21" s="52"/>
      <c r="J21" s="31"/>
      <c r="K21" s="31"/>
      <c r="L21" s="53"/>
      <c r="M21" s="31"/>
      <c r="N21" s="69"/>
      <c r="O21" s="70"/>
      <c r="P21" s="31"/>
      <c r="Q21" s="31"/>
      <c r="R21" s="80"/>
    </row>
    <row r="22" s="1" customFormat="1" ht="60" customHeight="1" spans="1:18">
      <c r="A22" s="29" t="s">
        <v>63</v>
      </c>
      <c r="B22" s="30"/>
      <c r="C22" s="31"/>
      <c r="D22" s="31"/>
      <c r="E22" s="31"/>
      <c r="F22" s="31"/>
      <c r="G22" s="31"/>
      <c r="H22" s="31"/>
      <c r="I22" s="52"/>
      <c r="J22" s="31"/>
      <c r="K22" s="31"/>
      <c r="L22" s="53"/>
      <c r="M22" s="31"/>
      <c r="N22" s="69"/>
      <c r="O22" s="70"/>
      <c r="P22" s="31"/>
      <c r="Q22" s="31"/>
      <c r="R22" s="80"/>
    </row>
    <row r="23" s="1" customFormat="1" ht="60" customHeight="1" spans="1:18">
      <c r="A23" s="32" t="s">
        <v>64</v>
      </c>
      <c r="B23" s="30"/>
      <c r="C23" s="32"/>
      <c r="D23" s="32"/>
      <c r="E23" s="32"/>
      <c r="F23" s="32"/>
      <c r="G23" s="32"/>
      <c r="H23" s="32"/>
      <c r="I23" s="32"/>
      <c r="J23" s="32" t="s">
        <v>65</v>
      </c>
      <c r="K23" s="32"/>
      <c r="L23" s="54"/>
      <c r="M23" s="32"/>
      <c r="N23" s="71"/>
      <c r="O23" s="72"/>
      <c r="P23" s="32"/>
      <c r="Q23" s="32"/>
      <c r="R23" s="81"/>
    </row>
    <row r="24" s="1" customFormat="1" ht="70" customHeight="1" spans="1:18">
      <c r="A24" s="33" t="s">
        <v>66</v>
      </c>
      <c r="B24" s="34"/>
      <c r="C24" s="35"/>
      <c r="D24" s="35"/>
      <c r="E24" s="35"/>
      <c r="F24" s="35"/>
      <c r="G24" s="35"/>
      <c r="H24" s="35"/>
      <c r="I24" s="35"/>
      <c r="J24" s="33" t="s">
        <v>67</v>
      </c>
      <c r="K24" s="33"/>
      <c r="L24" s="55"/>
      <c r="M24" s="73"/>
      <c r="N24" s="74"/>
      <c r="O24" s="73"/>
      <c r="P24" s="73"/>
      <c r="Q24" s="73"/>
      <c r="R24" s="82"/>
    </row>
    <row r="25" s="4" customFormat="1" ht="22" customHeight="1" spans="1:18">
      <c r="A25" s="36" t="s">
        <v>68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</row>
    <row r="26" s="4" customFormat="1" ht="27" customHeight="1" spans="1:18">
      <c r="A26" s="37" t="s">
        <v>69</v>
      </c>
      <c r="B26" s="37" t="s">
        <v>70</v>
      </c>
      <c r="C26" s="37" t="s">
        <v>71</v>
      </c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</row>
    <row r="27" s="4" customFormat="1" ht="27" customHeight="1" spans="1:18">
      <c r="A27" s="37">
        <v>1</v>
      </c>
      <c r="B27" s="38" t="s">
        <v>72</v>
      </c>
      <c r="C27" s="39" t="s">
        <v>73</v>
      </c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</row>
    <row r="28" s="4" customFormat="1" ht="27" customHeight="1" spans="1:18">
      <c r="A28" s="37">
        <v>2</v>
      </c>
      <c r="B28" s="37" t="s">
        <v>74</v>
      </c>
      <c r="C28" s="40" t="s">
        <v>75</v>
      </c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</row>
    <row r="29" s="4" customFormat="1" ht="27" customHeight="1" spans="1:18">
      <c r="A29" s="37">
        <v>3</v>
      </c>
      <c r="B29" s="37" t="s">
        <v>76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</row>
    <row r="30" s="4" customFormat="1" ht="27" customHeight="1" spans="1:18">
      <c r="A30" s="37">
        <v>4</v>
      </c>
      <c r="B30" s="37" t="s">
        <v>77</v>
      </c>
      <c r="C30" s="42" t="s">
        <v>78</v>
      </c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</row>
    <row r="31" s="4" customFormat="1" ht="27" customHeight="1" spans="1:18">
      <c r="A31" s="37">
        <v>5</v>
      </c>
      <c r="B31" s="37" t="s">
        <v>79</v>
      </c>
      <c r="C31" s="41" t="s">
        <v>80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</row>
    <row r="32" s="4" customFormat="1" ht="27" customHeight="1" spans="1:18">
      <c r="A32" s="37"/>
      <c r="B32" s="37" t="s">
        <v>81</v>
      </c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</row>
    <row r="33" s="4" customFormat="1" ht="27" customHeight="1" spans="1:18">
      <c r="A33" s="37"/>
      <c r="B33" s="37" t="s">
        <v>82</v>
      </c>
      <c r="C33" s="43" t="s">
        <v>83</v>
      </c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</row>
    <row r="34" s="4" customFormat="1" ht="27" customHeight="1" spans="1:18">
      <c r="A34" s="37"/>
      <c r="B34" s="37" t="s">
        <v>84</v>
      </c>
      <c r="C34" s="43" t="s">
        <v>85</v>
      </c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</row>
    <row r="35" s="4" customFormat="1" ht="27" customHeight="1" spans="1:18">
      <c r="A35" s="37"/>
      <c r="B35" s="37" t="s">
        <v>86</v>
      </c>
      <c r="C35" s="43" t="s">
        <v>87</v>
      </c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</row>
    <row r="36" s="4" customFormat="1" ht="27" customHeight="1" spans="1:18">
      <c r="A36" s="37"/>
      <c r="B36" s="37" t="s">
        <v>88</v>
      </c>
      <c r="C36" s="44" t="s">
        <v>89</v>
      </c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</row>
    <row r="37" s="4" customFormat="1" ht="25" customHeight="1" spans="1:18">
      <c r="A37" s="44" t="s">
        <v>90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</row>
    <row r="38" s="4" customFormat="1" ht="25" customHeight="1" spans="1:18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</row>
    <row r="39" s="5" customFormat="1" ht="41" customHeight="1" spans="1:18">
      <c r="A39" s="45" t="s">
        <v>91</v>
      </c>
      <c r="B39" s="45"/>
      <c r="C39" s="45"/>
      <c r="D39" s="45"/>
      <c r="E39" s="45"/>
      <c r="F39" s="45"/>
      <c r="G39" s="45"/>
      <c r="H39" s="45"/>
      <c r="I39" s="45" t="s">
        <v>92</v>
      </c>
      <c r="J39" s="45"/>
      <c r="K39" s="45"/>
      <c r="L39" s="45"/>
      <c r="M39" s="45"/>
      <c r="N39" s="45"/>
      <c r="O39" s="45"/>
      <c r="P39" s="45"/>
      <c r="Q39" s="45"/>
      <c r="R39" s="45"/>
    </row>
    <row r="40" s="5" customFormat="1" ht="16.8" spans="1:18">
      <c r="A40" s="46" t="str">
        <f>_xlfn.DISPIMG("ID_59A3B94ECAA946E386D86519C8E1E117",1)</f>
        <v>=DISPIMG("ID_59A3B94ECAA946E386D86519C8E1E117",1)</v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</row>
    <row r="41" s="5" customFormat="1" ht="16.8" spans="1:18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</row>
    <row r="42" s="5" customFormat="1" ht="16.8" spans="1:18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</row>
    <row r="43" s="5" customFormat="1" ht="16.8" spans="1:18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</row>
    <row r="44" s="5" customFormat="1" ht="46" customHeight="1" spans="1:18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</row>
  </sheetData>
  <autoFilter xmlns:etc="http://www.wps.cn/officeDocument/2017/etCustomData" ref="A2:R39" etc:filterBottomFollowUsedRange="0">
    <extLst/>
  </autoFilter>
  <mergeCells count="43">
    <mergeCell ref="A1:G1"/>
    <mergeCell ref="H1:O1"/>
    <mergeCell ref="P1:R1"/>
    <mergeCell ref="A16:B16"/>
    <mergeCell ref="C16:N16"/>
    <mergeCell ref="A17:B17"/>
    <mergeCell ref="C17:N17"/>
    <mergeCell ref="A18:B18"/>
    <mergeCell ref="C18:N18"/>
    <mergeCell ref="A19:B19"/>
    <mergeCell ref="C19:N19"/>
    <mergeCell ref="A20:B20"/>
    <mergeCell ref="C20:R20"/>
    <mergeCell ref="A21:B21"/>
    <mergeCell ref="C21:R21"/>
    <mergeCell ref="A22:B22"/>
    <mergeCell ref="C22:R22"/>
    <mergeCell ref="A23:B23"/>
    <mergeCell ref="C23:I23"/>
    <mergeCell ref="J23:K23"/>
    <mergeCell ref="L23:R23"/>
    <mergeCell ref="A24:B24"/>
    <mergeCell ref="C24:I24"/>
    <mergeCell ref="J24:K24"/>
    <mergeCell ref="L24:R24"/>
    <mergeCell ref="A25:R25"/>
    <mergeCell ref="C26:R26"/>
    <mergeCell ref="C27:R27"/>
    <mergeCell ref="C28:R28"/>
    <mergeCell ref="C29:R29"/>
    <mergeCell ref="C30:R30"/>
    <mergeCell ref="C31:R31"/>
    <mergeCell ref="C32:R32"/>
    <mergeCell ref="C33:R33"/>
    <mergeCell ref="C34:R34"/>
    <mergeCell ref="C35:R35"/>
    <mergeCell ref="C36:R36"/>
    <mergeCell ref="A39:H39"/>
    <mergeCell ref="I39:R39"/>
    <mergeCell ref="A31:A36"/>
    <mergeCell ref="A40:H44"/>
    <mergeCell ref="A37:R38"/>
    <mergeCell ref="I40:R44"/>
  </mergeCells>
  <conditionalFormatting sqref="A12">
    <cfRule type="duplicateValues" dxfId="0" priority="4"/>
  </conditionalFormatting>
  <conditionalFormatting sqref="A13">
    <cfRule type="duplicateValues" dxfId="0" priority="3"/>
  </conditionalFormatting>
  <conditionalFormatting sqref="A14">
    <cfRule type="duplicateValues" dxfId="0" priority="2"/>
  </conditionalFormatting>
  <conditionalFormatting sqref="A15">
    <cfRule type="duplicateValues" dxfId="0" priority="1"/>
  </conditionalFormatting>
  <conditionalFormatting sqref="A3:A11">
    <cfRule type="duplicateValues" dxfId="0" priority="166"/>
  </conditionalFormatting>
  <pageMargins left="0.2" right="0.0395833333333333" top="0.3" bottom="0.2" header="0.5" footer="0.5"/>
  <pageSetup paperSize="9" scale="36" fitToHeight="0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询价单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IMIP</dc:creator>
  <cp:lastModifiedBy>我的.</cp:lastModifiedBy>
  <dcterms:created xsi:type="dcterms:W3CDTF">2015-06-08T18:17:00Z</dcterms:created>
  <dcterms:modified xsi:type="dcterms:W3CDTF">2025-10-28T13:27:12Z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2052-12.1.22522.22522</vt:lpwstr>
  </property>
  <property fmtid="{D5CDD505-2E9C-101B-9397-08002B2CF9AE}" pid="3" name="ICV">
    <vt:lpwstr>B46A61717BD5D0D1BDC9ED6856D212A2_43</vt:lpwstr>
  </property>
  <property fmtid="{D5CDD505-2E9C-101B-9397-08002B2CF9AE}" pid="4" name="KSOReadingLayout">
    <vt:bool>false</vt:bool>
  </property>
</Properties>
</file>